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INA\Downloads\"/>
    </mc:Choice>
  </mc:AlternateContent>
  <xr:revisionPtr revIDLastSave="0" documentId="13_ncr:1_{2215FA6B-021D-44B0-87B5-D54327D6BC9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Friday EST" sheetId="2" r:id="rId1"/>
    <sheet name="Busi. &amp; Pol only" sheetId="6" r:id="rId2"/>
    <sheet name="Control_Rooms" sheetId="4" r:id="rId3"/>
  </sheets>
  <definedNames>
    <definedName name="_xlnm.Print_Area" localSheetId="0">'Friday EST'!$A$1:$H$33</definedName>
  </definedNames>
  <calcPr calcId="191029" calcMode="manual"/>
</workbook>
</file>

<file path=xl/calcChain.xml><?xml version="1.0" encoding="utf-8"?>
<calcChain xmlns="http://schemas.openxmlformats.org/spreadsheetml/2006/main">
  <c r="E24" i="6" l="1"/>
  <c r="E45" i="6" s="1"/>
  <c r="C24" i="6"/>
  <c r="D43" i="6"/>
  <c r="E43" i="6"/>
  <c r="C43" i="6"/>
  <c r="D24" i="6"/>
  <c r="B16" i="6"/>
  <c r="C32" i="2"/>
  <c r="D32" i="2"/>
  <c r="B20" i="2"/>
  <c r="E32" i="2"/>
  <c r="H6" i="2"/>
  <c r="E52" i="2"/>
  <c r="E66" i="2"/>
  <c r="H7" i="2" s="1"/>
  <c r="C66" i="2"/>
  <c r="D66" i="2"/>
  <c r="H5" i="6"/>
  <c r="E15" i="6"/>
  <c r="G6" i="2"/>
  <c r="G5" i="2"/>
  <c r="E19" i="2"/>
  <c r="H5" i="2" s="1"/>
  <c r="D19" i="2"/>
  <c r="C19" i="2"/>
  <c r="B11" i="2"/>
  <c r="E10" i="2"/>
  <c r="H7" i="6" l="1"/>
  <c r="H9" i="6"/>
  <c r="E67" i="2"/>
  <c r="B3" i="2"/>
  <c r="B33" i="2"/>
  <c r="H4" i="2"/>
  <c r="D52" i="2"/>
  <c r="C52" i="2"/>
  <c r="H3" i="2"/>
  <c r="D10" i="2"/>
  <c r="C10" i="2"/>
  <c r="D67" i="2" l="1"/>
  <c r="H8" i="2"/>
  <c r="C67" i="2"/>
</calcChain>
</file>

<file path=xl/sharedStrings.xml><?xml version="1.0" encoding="utf-8"?>
<sst xmlns="http://schemas.openxmlformats.org/spreadsheetml/2006/main" count="152" uniqueCount="84">
  <si>
    <t>Faculty</t>
  </si>
  <si>
    <t xml:space="preserve">Lecture Hall name: </t>
  </si>
  <si>
    <t>Max Capacity per Hall</t>
  </si>
  <si>
    <t xml:space="preserve">50% Capacity </t>
  </si>
  <si>
    <t>Dentistry</t>
  </si>
  <si>
    <t>H201</t>
  </si>
  <si>
    <t>H202</t>
  </si>
  <si>
    <t>Capacity</t>
  </si>
  <si>
    <t>H301</t>
  </si>
  <si>
    <t>H302</t>
  </si>
  <si>
    <t>Pharmacy</t>
  </si>
  <si>
    <t>H401</t>
  </si>
  <si>
    <t>Political Sc.</t>
  </si>
  <si>
    <t>H402</t>
  </si>
  <si>
    <t>Total</t>
  </si>
  <si>
    <t>Business</t>
  </si>
  <si>
    <t>Engineering</t>
  </si>
  <si>
    <t xml:space="preserve">Total </t>
  </si>
  <si>
    <t>C1.7</t>
  </si>
  <si>
    <t>C1.8</t>
  </si>
  <si>
    <t>C1.9</t>
  </si>
  <si>
    <t>C3.2</t>
  </si>
  <si>
    <t>C3.3</t>
  </si>
  <si>
    <t>C3.4</t>
  </si>
  <si>
    <t>C5.3</t>
  </si>
  <si>
    <t>C5.4</t>
  </si>
  <si>
    <t>C5.6</t>
  </si>
  <si>
    <t>C5.7</t>
  </si>
  <si>
    <t>C5.8</t>
  </si>
  <si>
    <t>C5.9</t>
  </si>
  <si>
    <t>C5.10</t>
  </si>
  <si>
    <t>Overall Total</t>
  </si>
  <si>
    <t>Column1</t>
  </si>
  <si>
    <t>Control Rooms</t>
  </si>
  <si>
    <t>F2.8</t>
  </si>
  <si>
    <t>C2.3</t>
  </si>
  <si>
    <t>Building2</t>
  </si>
  <si>
    <t>Control Room3</t>
  </si>
  <si>
    <t>H204</t>
  </si>
  <si>
    <t>E2.2</t>
  </si>
  <si>
    <t>Comp Sc.</t>
  </si>
  <si>
    <t>B2.4</t>
  </si>
  <si>
    <t>C4.1</t>
  </si>
  <si>
    <t>C4.2</t>
  </si>
  <si>
    <t>C4.3</t>
  </si>
  <si>
    <t>C4.4</t>
  </si>
  <si>
    <t>C1.3</t>
  </si>
  <si>
    <t>D4.1</t>
  </si>
  <si>
    <t>D4.2</t>
  </si>
  <si>
    <t>E1.1</t>
  </si>
  <si>
    <t>E2.1</t>
  </si>
  <si>
    <t>E3.1</t>
  </si>
  <si>
    <t>E4.1</t>
  </si>
  <si>
    <t>E5.1</t>
  </si>
  <si>
    <t>F2.2</t>
  </si>
  <si>
    <t>F3.2</t>
  </si>
  <si>
    <t>F3.5</t>
  </si>
  <si>
    <t>F3.6</t>
  </si>
  <si>
    <t>F4.2</t>
  </si>
  <si>
    <t>F4.3</t>
  </si>
  <si>
    <t>F4.4</t>
  </si>
  <si>
    <t>F4.5</t>
  </si>
  <si>
    <t>F4.6</t>
  </si>
  <si>
    <t>6 Halls</t>
  </si>
  <si>
    <t>A2.1</t>
  </si>
  <si>
    <t>A3.1</t>
  </si>
  <si>
    <t>A3.2</t>
  </si>
  <si>
    <t>A4.1</t>
  </si>
  <si>
    <t>A5.1 a</t>
  </si>
  <si>
    <t>A5.1 b</t>
  </si>
  <si>
    <t>10 Halls</t>
  </si>
  <si>
    <t>F1.2</t>
  </si>
  <si>
    <t>A3.8</t>
  </si>
  <si>
    <t>A3.7</t>
  </si>
  <si>
    <t>A3.4</t>
  </si>
  <si>
    <t>A4.4</t>
  </si>
  <si>
    <t>A4.7</t>
  </si>
  <si>
    <t>A4.8</t>
  </si>
  <si>
    <t>F3.1</t>
  </si>
  <si>
    <t>A2.2</t>
  </si>
  <si>
    <t>JanTrial Capcity</t>
  </si>
  <si>
    <t>Jan Trial Capcity</t>
  </si>
  <si>
    <t>Available Halls for EST on Saturday Jan. 2026</t>
  </si>
  <si>
    <t>Available Halls for EST on Friday Jan.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</si>
</sst>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9013336588644"/>
        <bgColor theme="4" tint="0.7998901333658864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/>
    </xf>
    <xf numFmtId="0" fontId="5" fillId="4" borderId="4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11" xfId="0" applyBorder="1"/>
    <xf numFmtId="0" fontId="0" fillId="5" borderId="12" xfId="0" applyFill="1" applyBorder="1"/>
    <xf numFmtId="0" fontId="6" fillId="0" borderId="0" xfId="0" applyFont="1"/>
    <xf numFmtId="0" fontId="6" fillId="0" borderId="3" xfId="0" applyFont="1" applyBorder="1"/>
    <xf numFmtId="0" fontId="6" fillId="0" borderId="4" xfId="0" applyFont="1" applyBorder="1"/>
    <xf numFmtId="0" fontId="6" fillId="3" borderId="5" xfId="0" applyFont="1" applyFill="1" applyBorder="1"/>
    <xf numFmtId="0" fontId="0" fillId="6" borderId="0" xfId="0" applyFill="1"/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right"/>
    </xf>
    <xf numFmtId="0" fontId="0" fillId="0" borderId="15" xfId="0" applyBorder="1"/>
    <xf numFmtId="0" fontId="0" fillId="0" borderId="0" xfId="0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left"/>
    </xf>
    <xf numFmtId="0" fontId="0" fillId="5" borderId="17" xfId="0" applyFill="1" applyBorder="1"/>
    <xf numFmtId="0" fontId="0" fillId="0" borderId="10" xfId="0" applyBorder="1" applyAlignment="1">
      <alignment horizontal="left"/>
    </xf>
    <xf numFmtId="0" fontId="0" fillId="0" borderId="18" xfId="0" applyBorder="1"/>
    <xf numFmtId="0" fontId="6" fillId="0" borderId="21" xfId="0" applyFont="1" applyBorder="1"/>
    <xf numFmtId="0" fontId="6" fillId="0" borderId="2" xfId="0" applyFont="1" applyBorder="1"/>
    <xf numFmtId="0" fontId="0" fillId="3" borderId="17" xfId="0" applyFill="1" applyBorder="1"/>
    <xf numFmtId="0" fontId="0" fillId="3" borderId="12" xfId="0" applyFill="1" applyBorder="1"/>
    <xf numFmtId="0" fontId="6" fillId="3" borderId="22" xfId="0" applyFont="1" applyFill="1" applyBorder="1"/>
    <xf numFmtId="0" fontId="2" fillId="0" borderId="16" xfId="0" applyFont="1" applyBorder="1"/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right"/>
    </xf>
    <xf numFmtId="0" fontId="0" fillId="4" borderId="15" xfId="0" applyFill="1" applyBorder="1"/>
    <xf numFmtId="0" fontId="0" fillId="5" borderId="15" xfId="0" applyFill="1" applyBorder="1"/>
    <xf numFmtId="0" fontId="0" fillId="4" borderId="11" xfId="0" applyFill="1" applyBorder="1"/>
    <xf numFmtId="0" fontId="0" fillId="4" borderId="25" xfId="0" applyFill="1" applyBorder="1"/>
    <xf numFmtId="0" fontId="6" fillId="4" borderId="19" xfId="0" applyFont="1" applyFill="1" applyBorder="1"/>
    <xf numFmtId="0" fontId="6" fillId="4" borderId="4" xfId="0" applyFont="1" applyFill="1" applyBorder="1"/>
    <xf numFmtId="0" fontId="6" fillId="5" borderId="20" xfId="0" applyFont="1" applyFill="1" applyBorder="1"/>
    <xf numFmtId="0" fontId="0" fillId="0" borderId="25" xfId="0" applyBorder="1"/>
    <xf numFmtId="0" fontId="1" fillId="0" borderId="25" xfId="0" applyFont="1" applyBorder="1"/>
    <xf numFmtId="0" fontId="0" fillId="5" borderId="11" xfId="0" applyFill="1" applyBorder="1"/>
    <xf numFmtId="0" fontId="1" fillId="0" borderId="11" xfId="0" applyFont="1" applyBorder="1"/>
    <xf numFmtId="0" fontId="1" fillId="0" borderId="18" xfId="0" applyFont="1" applyBorder="1"/>
    <xf numFmtId="0" fontId="6" fillId="5" borderId="22" xfId="0" applyFont="1" applyFill="1" applyBorder="1"/>
    <xf numFmtId="0" fontId="0" fillId="8" borderId="12" xfId="0" applyFill="1" applyBorder="1"/>
    <xf numFmtId="0" fontId="0" fillId="8" borderId="17" xfId="0" applyFill="1" applyBorder="1"/>
    <xf numFmtId="0" fontId="6" fillId="0" borderId="19" xfId="0" applyFont="1" applyBorder="1"/>
    <xf numFmtId="0" fontId="6" fillId="0" borderId="20" xfId="0" applyFont="1" applyBorder="1"/>
    <xf numFmtId="0" fontId="6" fillId="4" borderId="3" xfId="0" applyFont="1" applyFill="1" applyBorder="1"/>
    <xf numFmtId="0" fontId="6" fillId="5" borderId="5" xfId="0" applyFont="1" applyFill="1" applyBorder="1"/>
    <xf numFmtId="0" fontId="0" fillId="5" borderId="27" xfId="0" applyFill="1" applyBorder="1"/>
    <xf numFmtId="0" fontId="6" fillId="7" borderId="5" xfId="0" applyFont="1" applyFill="1" applyBorder="1"/>
    <xf numFmtId="0" fontId="0" fillId="9" borderId="11" xfId="0" applyFill="1" applyBorder="1"/>
    <xf numFmtId="0" fontId="0" fillId="9" borderId="12" xfId="0" applyFill="1" applyBorder="1"/>
    <xf numFmtId="0" fontId="9" fillId="10" borderId="14" xfId="0" applyFont="1" applyFill="1" applyBorder="1" applyAlignment="1">
      <alignment horizontal="left"/>
    </xf>
    <xf numFmtId="0" fontId="9" fillId="10" borderId="15" xfId="0" applyFont="1" applyFill="1" applyBorder="1" applyAlignment="1">
      <alignment horizontal="right"/>
    </xf>
    <xf numFmtId="0" fontId="9" fillId="10" borderId="15" xfId="0" applyFont="1" applyFill="1" applyBorder="1"/>
    <xf numFmtId="0" fontId="9" fillId="10" borderId="12" xfId="0" applyFont="1" applyFill="1" applyBorder="1"/>
    <xf numFmtId="0" fontId="10" fillId="0" borderId="0" xfId="0" applyFont="1" applyAlignment="1">
      <alignment wrapText="1"/>
    </xf>
    <xf numFmtId="0" fontId="6" fillId="4" borderId="7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 val="0"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G2:H8" totalsRowShown="0">
  <autoFilter ref="G2:H8" xr:uid="{00000000-0009-0000-0100-000001000000}"/>
  <tableColumns count="2">
    <tableColumn id="1" xr3:uid="{00000000-0010-0000-0000-000001000000}" name="Faculty"/>
    <tableColumn id="2" xr3:uid="{00000000-0010-0000-0000-000002000000}" name="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245" displayName="Table245" ref="G3:H14" totalsRowShown="0">
  <autoFilter ref="G3:H14" xr:uid="{00000000-0009-0000-0100-000004000000}"/>
  <tableColumns count="2">
    <tableColumn id="1" xr3:uid="{00000000-0010-0000-0100-000001000000}" name="Faculty"/>
    <tableColumn id="3" xr3:uid="{00000000-0010-0000-0100-000003000000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A2:B8" totalsRowShown="0">
  <autoFilter ref="A2:B8" xr:uid="{00000000-0009-0000-0100-000002000000}"/>
  <tableColumns count="2">
    <tableColumn id="3" xr3:uid="{00000000-0010-0000-0200-000003000000}" name="Building2" dataDxfId="1"/>
    <tableColumn id="4" xr3:uid="{00000000-0010-0000-0200-000004000000}" name="Control Room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topLeftCell="A51" zoomScaleNormal="100" workbookViewId="0">
      <selection sqref="A1:H67"/>
    </sheetView>
  </sheetViews>
  <sheetFormatPr defaultColWidth="9" defaultRowHeight="15"/>
  <cols>
    <col min="1" max="1" width="13.7109375" customWidth="1"/>
    <col min="2" max="4" width="12.7109375" customWidth="1"/>
    <col min="5" max="5" width="14.140625" customWidth="1"/>
    <col min="6" max="6" width="12.28515625" customWidth="1"/>
    <col min="7" max="7" width="17.140625" customWidth="1"/>
    <col min="8" max="8" width="8.28515625" customWidth="1"/>
  </cols>
  <sheetData>
    <row r="1" spans="1:8" ht="27" customHeight="1" thickBot="1">
      <c r="A1" s="71" t="s">
        <v>83</v>
      </c>
      <c r="B1" s="71"/>
      <c r="C1" s="71"/>
      <c r="D1" s="71"/>
      <c r="E1" s="71"/>
    </row>
    <row r="2" spans="1:8" ht="57" customHeight="1" thickBot="1">
      <c r="A2" s="29" t="s">
        <v>0</v>
      </c>
      <c r="B2" s="30" t="s">
        <v>1</v>
      </c>
      <c r="C2" s="30" t="s">
        <v>2</v>
      </c>
      <c r="D2" s="30" t="s">
        <v>3</v>
      </c>
      <c r="E2" s="31" t="s">
        <v>80</v>
      </c>
      <c r="G2" t="s">
        <v>0</v>
      </c>
      <c r="H2" t="s">
        <v>7</v>
      </c>
    </row>
    <row r="3" spans="1:8">
      <c r="A3" s="66" t="s">
        <v>4</v>
      </c>
      <c r="B3" s="72" t="str">
        <f>COUNTA(B4:B9)&amp;" Halls"</f>
        <v>6 Halls</v>
      </c>
      <c r="C3" s="73"/>
      <c r="D3" s="73"/>
      <c r="E3" s="74"/>
      <c r="G3" t="s">
        <v>4</v>
      </c>
      <c r="H3">
        <f>E10</f>
        <v>240</v>
      </c>
    </row>
    <row r="4" spans="1:8">
      <c r="A4" s="67"/>
      <c r="B4" s="7" t="s">
        <v>5</v>
      </c>
      <c r="C4" s="7">
        <v>160</v>
      </c>
      <c r="D4" s="7">
        <v>80</v>
      </c>
      <c r="E4" s="8">
        <v>40</v>
      </c>
      <c r="G4" t="s">
        <v>15</v>
      </c>
      <c r="H4">
        <f>E52</f>
        <v>485</v>
      </c>
    </row>
    <row r="5" spans="1:8">
      <c r="A5" s="67"/>
      <c r="B5" s="7" t="s">
        <v>6</v>
      </c>
      <c r="C5" s="7">
        <v>160</v>
      </c>
      <c r="D5" s="7">
        <v>80</v>
      </c>
      <c r="E5" s="8">
        <v>40</v>
      </c>
      <c r="G5" t="str">
        <f>A11</f>
        <v>Pharmacy</v>
      </c>
      <c r="H5">
        <f>E19</f>
        <v>250</v>
      </c>
    </row>
    <row r="6" spans="1:8">
      <c r="A6" s="67"/>
      <c r="B6" s="7" t="s">
        <v>8</v>
      </c>
      <c r="C6" s="7">
        <v>160</v>
      </c>
      <c r="D6" s="7">
        <v>80</v>
      </c>
      <c r="E6" s="8">
        <v>40</v>
      </c>
      <c r="G6" t="str">
        <f>A20</f>
        <v>Political Sc.</v>
      </c>
      <c r="H6">
        <f>E32</f>
        <v>290</v>
      </c>
    </row>
    <row r="7" spans="1:8">
      <c r="A7" s="67"/>
      <c r="B7" s="7" t="s">
        <v>9</v>
      </c>
      <c r="C7" s="7">
        <v>160</v>
      </c>
      <c r="D7" s="7">
        <v>80</v>
      </c>
      <c r="E7" s="8">
        <v>40</v>
      </c>
      <c r="G7" t="s">
        <v>16</v>
      </c>
      <c r="H7">
        <f>E66</f>
        <v>331</v>
      </c>
    </row>
    <row r="8" spans="1:8">
      <c r="A8" s="67"/>
      <c r="B8" s="7" t="s">
        <v>11</v>
      </c>
      <c r="C8" s="7">
        <v>160</v>
      </c>
      <c r="D8" s="7">
        <v>80</v>
      </c>
      <c r="E8" s="8">
        <v>40</v>
      </c>
      <c r="G8" s="9" t="s">
        <v>14</v>
      </c>
      <c r="H8">
        <f>SUM(H3:H7)</f>
        <v>1596</v>
      </c>
    </row>
    <row r="9" spans="1:8" ht="15.75" thickBot="1">
      <c r="A9" s="67"/>
      <c r="B9" s="22" t="s">
        <v>13</v>
      </c>
      <c r="C9" s="22">
        <v>160</v>
      </c>
      <c r="D9" s="22">
        <v>80</v>
      </c>
      <c r="E9" s="8">
        <v>40</v>
      </c>
    </row>
    <row r="10" spans="1:8" ht="15.75" thickBot="1">
      <c r="A10" s="68"/>
      <c r="B10" s="10" t="s">
        <v>14</v>
      </c>
      <c r="C10" s="11">
        <f>SUM(C4:C9)</f>
        <v>960</v>
      </c>
      <c r="D10" s="11">
        <f>SUM(D4:D9)</f>
        <v>480</v>
      </c>
      <c r="E10" s="12">
        <f>SUM(E4:E9)</f>
        <v>240</v>
      </c>
    </row>
    <row r="11" spans="1:8" ht="22.9" customHeight="1">
      <c r="A11" s="75" t="s">
        <v>10</v>
      </c>
      <c r="B11" s="61" t="str">
        <f>COUNTA(B12:B18)&amp;" Halls"</f>
        <v>7 Halls</v>
      </c>
      <c r="C11" s="62"/>
      <c r="D11" s="62"/>
      <c r="E11" s="63"/>
    </row>
    <row r="12" spans="1:8">
      <c r="A12" s="76"/>
      <c r="B12" s="32" t="s">
        <v>47</v>
      </c>
      <c r="C12" s="32">
        <v>50</v>
      </c>
      <c r="D12" s="33">
        <v>25</v>
      </c>
      <c r="E12" s="34">
        <v>25</v>
      </c>
    </row>
    <row r="13" spans="1:8">
      <c r="A13" s="76"/>
      <c r="B13" s="32" t="s">
        <v>48</v>
      </c>
      <c r="C13" s="32">
        <v>50</v>
      </c>
      <c r="D13" s="33">
        <v>25</v>
      </c>
      <c r="E13" s="34">
        <v>25</v>
      </c>
    </row>
    <row r="14" spans="1:8">
      <c r="A14" s="76"/>
      <c r="B14" s="35" t="s">
        <v>49</v>
      </c>
      <c r="C14" s="35">
        <v>220</v>
      </c>
      <c r="D14" s="35">
        <v>110</v>
      </c>
      <c r="E14" s="8">
        <v>40</v>
      </c>
    </row>
    <row r="15" spans="1:8">
      <c r="A15" s="76"/>
      <c r="B15" s="35" t="s">
        <v>50</v>
      </c>
      <c r="C15" s="35">
        <v>220</v>
      </c>
      <c r="D15" s="35">
        <v>110</v>
      </c>
      <c r="E15" s="8">
        <v>40</v>
      </c>
    </row>
    <row r="16" spans="1:8">
      <c r="A16" s="76"/>
      <c r="B16" s="35" t="s">
        <v>51</v>
      </c>
      <c r="C16" s="35">
        <v>220</v>
      </c>
      <c r="D16" s="35">
        <v>110</v>
      </c>
      <c r="E16" s="8">
        <v>40</v>
      </c>
    </row>
    <row r="17" spans="1:5">
      <c r="A17" s="76"/>
      <c r="B17" s="35" t="s">
        <v>52</v>
      </c>
      <c r="C17" s="35">
        <v>220</v>
      </c>
      <c r="D17" s="35">
        <v>110</v>
      </c>
      <c r="E17" s="8">
        <v>40</v>
      </c>
    </row>
    <row r="18" spans="1:5" ht="15.75" thickBot="1">
      <c r="A18" s="76"/>
      <c r="B18" s="36" t="s">
        <v>53</v>
      </c>
      <c r="C18" s="36">
        <v>220</v>
      </c>
      <c r="D18" s="36">
        <v>110</v>
      </c>
      <c r="E18" s="8">
        <v>40</v>
      </c>
    </row>
    <row r="19" spans="1:5" ht="15.75" thickBot="1">
      <c r="A19" s="77"/>
      <c r="B19" s="37" t="s">
        <v>14</v>
      </c>
      <c r="C19" s="38">
        <f>SUM(C12:C18)</f>
        <v>1200</v>
      </c>
      <c r="D19" s="38">
        <f>SUM(D12:D18)</f>
        <v>600</v>
      </c>
      <c r="E19" s="39">
        <f>SUM(E12:E18)</f>
        <v>250</v>
      </c>
    </row>
    <row r="20" spans="1:5">
      <c r="A20" s="78" t="s">
        <v>12</v>
      </c>
      <c r="B20" s="72" t="str">
        <f>COUNTA(B21:B31)&amp;" Halls"</f>
        <v>11 Halls</v>
      </c>
      <c r="C20" s="73"/>
      <c r="D20" s="73"/>
      <c r="E20" s="74"/>
    </row>
    <row r="21" spans="1:5">
      <c r="A21" s="79"/>
      <c r="B21" s="54" t="s">
        <v>71</v>
      </c>
      <c r="C21" s="54">
        <v>100</v>
      </c>
      <c r="D21" s="54">
        <v>50</v>
      </c>
      <c r="E21" s="55">
        <v>40</v>
      </c>
    </row>
    <row r="22" spans="1:5">
      <c r="A22" s="79"/>
      <c r="B22" s="7" t="s">
        <v>54</v>
      </c>
      <c r="C22" s="7">
        <v>100</v>
      </c>
      <c r="D22" s="7">
        <v>50</v>
      </c>
      <c r="E22" s="8">
        <v>40</v>
      </c>
    </row>
    <row r="23" spans="1:5">
      <c r="A23" s="79"/>
      <c r="B23" s="56" t="s">
        <v>78</v>
      </c>
      <c r="C23" s="57">
        <v>46</v>
      </c>
      <c r="D23" s="58">
        <v>20</v>
      </c>
      <c r="E23" s="59">
        <v>20</v>
      </c>
    </row>
    <row r="24" spans="1:5">
      <c r="A24" s="79"/>
      <c r="B24" s="40" t="s">
        <v>55</v>
      </c>
      <c r="C24" s="40">
        <v>100</v>
      </c>
      <c r="D24" s="40">
        <v>50</v>
      </c>
      <c r="E24" s="8">
        <v>40</v>
      </c>
    </row>
    <row r="25" spans="1:5">
      <c r="A25" s="79"/>
      <c r="B25" s="41" t="s">
        <v>56</v>
      </c>
      <c r="C25" s="40"/>
      <c r="D25" s="40">
        <v>15</v>
      </c>
      <c r="E25" s="8">
        <v>15</v>
      </c>
    </row>
    <row r="26" spans="1:5">
      <c r="A26" s="79"/>
      <c r="B26" s="41" t="s">
        <v>57</v>
      </c>
      <c r="C26" s="7"/>
      <c r="D26" s="7">
        <v>15</v>
      </c>
      <c r="E26" s="42">
        <v>15</v>
      </c>
    </row>
    <row r="27" spans="1:5">
      <c r="A27" s="79"/>
      <c r="B27" s="43" t="s">
        <v>58</v>
      </c>
      <c r="C27" s="7">
        <v>100</v>
      </c>
      <c r="D27" s="7">
        <v>50</v>
      </c>
      <c r="E27" s="42">
        <v>40</v>
      </c>
    </row>
    <row r="28" spans="1:5">
      <c r="A28" s="79"/>
      <c r="B28" s="43" t="s">
        <v>59</v>
      </c>
      <c r="C28" s="7"/>
      <c r="D28" s="7">
        <v>23</v>
      </c>
      <c r="E28" s="42">
        <v>20</v>
      </c>
    </row>
    <row r="29" spans="1:5">
      <c r="A29" s="79"/>
      <c r="B29" s="43" t="s">
        <v>60</v>
      </c>
      <c r="C29" s="40"/>
      <c r="D29" s="40">
        <v>30</v>
      </c>
      <c r="E29" s="8">
        <v>30</v>
      </c>
    </row>
    <row r="30" spans="1:5">
      <c r="A30" s="79"/>
      <c r="B30" s="43" t="s">
        <v>61</v>
      </c>
      <c r="C30" s="40"/>
      <c r="D30" s="40">
        <v>15</v>
      </c>
      <c r="E30" s="8">
        <v>15</v>
      </c>
    </row>
    <row r="31" spans="1:5" ht="15.75" thickBot="1">
      <c r="A31" s="79"/>
      <c r="B31" s="44" t="s">
        <v>62</v>
      </c>
      <c r="C31" s="22"/>
      <c r="D31" s="22">
        <v>15</v>
      </c>
      <c r="E31" s="8">
        <v>15</v>
      </c>
    </row>
    <row r="32" spans="1:5" ht="15.75" thickBot="1">
      <c r="A32" s="80"/>
      <c r="B32" s="23" t="s">
        <v>17</v>
      </c>
      <c r="C32" s="24">
        <f>SUM(C21:C31)</f>
        <v>446</v>
      </c>
      <c r="D32" s="24">
        <f>SUM(D21:D31)</f>
        <v>333</v>
      </c>
      <c r="E32" s="45">
        <f>SUM(E21:E31)</f>
        <v>290</v>
      </c>
    </row>
    <row r="33" spans="1:5">
      <c r="A33" s="69" t="s">
        <v>15</v>
      </c>
      <c r="B33" s="72" t="str">
        <f>COUNTA(B35:B51)&amp;" Halls"</f>
        <v>17 Halls</v>
      </c>
      <c r="C33" s="73"/>
      <c r="D33" s="73"/>
      <c r="E33" s="74"/>
    </row>
    <row r="34" spans="1:5">
      <c r="A34" s="70"/>
      <c r="B34" s="56" t="s">
        <v>46</v>
      </c>
      <c r="C34" s="57">
        <v>40</v>
      </c>
      <c r="D34" s="58">
        <v>20</v>
      </c>
      <c r="E34" s="59">
        <v>20</v>
      </c>
    </row>
    <row r="35" spans="1:5">
      <c r="A35" s="70"/>
      <c r="B35" s="14" t="s">
        <v>18</v>
      </c>
      <c r="C35" s="15">
        <v>80</v>
      </c>
      <c r="D35" s="16">
        <v>40</v>
      </c>
      <c r="E35" s="8">
        <v>40</v>
      </c>
    </row>
    <row r="36" spans="1:5">
      <c r="A36" s="70"/>
      <c r="B36" s="14" t="s">
        <v>19</v>
      </c>
      <c r="C36" s="15">
        <v>80</v>
      </c>
      <c r="D36" s="16">
        <v>40</v>
      </c>
      <c r="E36" s="8">
        <v>40</v>
      </c>
    </row>
    <row r="37" spans="1:5">
      <c r="A37" s="70"/>
      <c r="B37" s="14" t="s">
        <v>20</v>
      </c>
      <c r="C37" s="15">
        <v>80</v>
      </c>
      <c r="D37" s="16">
        <v>40</v>
      </c>
      <c r="E37" s="8">
        <v>40</v>
      </c>
    </row>
    <row r="38" spans="1:5">
      <c r="A38" s="70"/>
      <c r="B38" s="14" t="s">
        <v>21</v>
      </c>
      <c r="C38" s="15">
        <v>50</v>
      </c>
      <c r="D38" s="16">
        <v>25</v>
      </c>
      <c r="E38" s="8">
        <v>25</v>
      </c>
    </row>
    <row r="39" spans="1:5">
      <c r="A39" s="70"/>
      <c r="B39" s="14" t="s">
        <v>22</v>
      </c>
      <c r="C39" s="15">
        <v>40</v>
      </c>
      <c r="D39" s="16">
        <v>20</v>
      </c>
      <c r="E39" s="8">
        <v>20</v>
      </c>
    </row>
    <row r="40" spans="1:5">
      <c r="A40" s="70"/>
      <c r="B40" s="18" t="s">
        <v>23</v>
      </c>
      <c r="C40" s="7">
        <v>200</v>
      </c>
      <c r="D40" s="7">
        <v>100</v>
      </c>
      <c r="E40" s="46">
        <v>40</v>
      </c>
    </row>
    <row r="41" spans="1:5">
      <c r="A41" s="70"/>
      <c r="B41" s="28" t="s">
        <v>42</v>
      </c>
      <c r="C41" s="16"/>
      <c r="D41" s="16">
        <v>20</v>
      </c>
      <c r="E41" s="20">
        <v>20</v>
      </c>
    </row>
    <row r="42" spans="1:5">
      <c r="A42" s="70"/>
      <c r="B42" s="28" t="s">
        <v>43</v>
      </c>
      <c r="C42" s="16"/>
      <c r="D42" s="16">
        <v>20</v>
      </c>
      <c r="E42" s="20">
        <v>20</v>
      </c>
    </row>
    <row r="43" spans="1:5">
      <c r="A43" s="70"/>
      <c r="B43" s="28" t="s">
        <v>44</v>
      </c>
      <c r="C43" s="16"/>
      <c r="D43" s="16">
        <v>15</v>
      </c>
      <c r="E43" s="20">
        <v>15</v>
      </c>
    </row>
    <row r="44" spans="1:5">
      <c r="A44" s="70"/>
      <c r="B44" s="28" t="s">
        <v>45</v>
      </c>
      <c r="C44" s="16">
        <v>200</v>
      </c>
      <c r="D44" s="16">
        <v>100</v>
      </c>
      <c r="E44" s="47">
        <v>40</v>
      </c>
    </row>
    <row r="45" spans="1:5">
      <c r="A45" s="70"/>
      <c r="B45" s="19" t="s">
        <v>24</v>
      </c>
      <c r="C45" s="16">
        <v>50</v>
      </c>
      <c r="D45" s="16">
        <v>25</v>
      </c>
      <c r="E45" s="20">
        <v>25</v>
      </c>
    </row>
    <row r="46" spans="1:5">
      <c r="A46" s="70"/>
      <c r="B46" s="19" t="s">
        <v>25</v>
      </c>
      <c r="C46" s="7">
        <v>200</v>
      </c>
      <c r="D46" s="7">
        <v>100</v>
      </c>
      <c r="E46" s="8">
        <v>40</v>
      </c>
    </row>
    <row r="47" spans="1:5">
      <c r="A47" s="70"/>
      <c r="B47" s="19" t="s">
        <v>26</v>
      </c>
      <c r="C47" s="16">
        <v>42</v>
      </c>
      <c r="D47" s="16">
        <v>21</v>
      </c>
      <c r="E47" s="20">
        <v>21</v>
      </c>
    </row>
    <row r="48" spans="1:5">
      <c r="A48" s="70"/>
      <c r="B48" s="56" t="s">
        <v>27</v>
      </c>
      <c r="C48" s="57">
        <v>40</v>
      </c>
      <c r="D48" s="58">
        <v>20</v>
      </c>
      <c r="E48" s="59">
        <v>20</v>
      </c>
    </row>
    <row r="49" spans="1:5">
      <c r="A49" s="70"/>
      <c r="B49" s="19" t="s">
        <v>28</v>
      </c>
      <c r="C49" s="16">
        <v>36</v>
      </c>
      <c r="D49" s="16">
        <v>18</v>
      </c>
      <c r="E49" s="25">
        <v>18</v>
      </c>
    </row>
    <row r="50" spans="1:5">
      <c r="A50" s="70"/>
      <c r="B50" s="21" t="s">
        <v>29</v>
      </c>
      <c r="C50" s="7">
        <v>40</v>
      </c>
      <c r="D50" s="7">
        <v>20</v>
      </c>
      <c r="E50" s="26">
        <v>20</v>
      </c>
    </row>
    <row r="51" spans="1:5">
      <c r="A51" s="70"/>
      <c r="B51" s="18" t="s">
        <v>30</v>
      </c>
      <c r="C51" s="7">
        <v>41</v>
      </c>
      <c r="D51" s="7">
        <v>21</v>
      </c>
      <c r="E51" s="26">
        <v>21</v>
      </c>
    </row>
    <row r="52" spans="1:5" ht="15.75" thickBot="1">
      <c r="A52" s="68"/>
      <c r="B52" s="23" t="s">
        <v>17</v>
      </c>
      <c r="C52" s="24">
        <f>SUM(C35:C51)</f>
        <v>1179</v>
      </c>
      <c r="D52" s="24">
        <f>SUM(D35:D51)</f>
        <v>645</v>
      </c>
      <c r="E52" s="27">
        <f>SUM(E34:E51)</f>
        <v>485</v>
      </c>
    </row>
    <row r="53" spans="1:5">
      <c r="A53" s="64" t="s">
        <v>16</v>
      </c>
      <c r="B53" s="61" t="s">
        <v>63</v>
      </c>
      <c r="C53" s="62"/>
      <c r="D53" s="62"/>
      <c r="E53" s="63"/>
    </row>
    <row r="54" spans="1:5">
      <c r="A54" s="65"/>
      <c r="B54" s="35" t="s">
        <v>64</v>
      </c>
      <c r="C54" s="33">
        <v>200</v>
      </c>
      <c r="D54" s="33">
        <v>100</v>
      </c>
      <c r="E54" s="8">
        <v>40</v>
      </c>
    </row>
    <row r="55" spans="1:5">
      <c r="A55" s="65"/>
      <c r="B55" s="35" t="s">
        <v>65</v>
      </c>
      <c r="C55" s="33">
        <v>200</v>
      </c>
      <c r="D55" s="33">
        <v>100</v>
      </c>
      <c r="E55" s="8">
        <v>40</v>
      </c>
    </row>
    <row r="56" spans="1:5">
      <c r="A56" s="65"/>
      <c r="B56" s="35" t="s">
        <v>66</v>
      </c>
      <c r="C56" s="33">
        <v>100</v>
      </c>
      <c r="D56" s="33">
        <v>80</v>
      </c>
      <c r="E56" s="8">
        <v>40</v>
      </c>
    </row>
    <row r="57" spans="1:5">
      <c r="A57" s="65"/>
      <c r="B57" s="56" t="s">
        <v>74</v>
      </c>
      <c r="C57" s="57">
        <v>26</v>
      </c>
      <c r="D57" s="58">
        <v>12</v>
      </c>
      <c r="E57" s="59">
        <v>12</v>
      </c>
    </row>
    <row r="58" spans="1:5">
      <c r="A58" s="65"/>
      <c r="B58" s="56" t="s">
        <v>73</v>
      </c>
      <c r="C58" s="57">
        <v>30</v>
      </c>
      <c r="D58" s="58">
        <v>15</v>
      </c>
      <c r="E58" s="59">
        <v>15</v>
      </c>
    </row>
    <row r="59" spans="1:5">
      <c r="A59" s="65"/>
      <c r="B59" s="56" t="s">
        <v>72</v>
      </c>
      <c r="C59" s="57">
        <v>48</v>
      </c>
      <c r="D59" s="58">
        <v>24</v>
      </c>
      <c r="E59" s="59">
        <v>24</v>
      </c>
    </row>
    <row r="60" spans="1:5">
      <c r="A60" s="65"/>
      <c r="B60" s="35" t="s">
        <v>67</v>
      </c>
      <c r="C60" s="33">
        <v>200</v>
      </c>
      <c r="D60" s="33">
        <v>100</v>
      </c>
      <c r="E60" s="8">
        <v>40</v>
      </c>
    </row>
    <row r="61" spans="1:5">
      <c r="A61" s="65"/>
      <c r="B61" s="56" t="s">
        <v>75</v>
      </c>
      <c r="C61" s="57">
        <v>42</v>
      </c>
      <c r="D61" s="58">
        <v>15</v>
      </c>
      <c r="E61" s="59">
        <v>20</v>
      </c>
    </row>
    <row r="62" spans="1:5">
      <c r="A62" s="65"/>
      <c r="B62" s="56" t="s">
        <v>76</v>
      </c>
      <c r="C62" s="57">
        <v>42</v>
      </c>
      <c r="D62" s="58">
        <v>15</v>
      </c>
      <c r="E62" s="59">
        <v>20</v>
      </c>
    </row>
    <row r="63" spans="1:5">
      <c r="A63" s="65"/>
      <c r="B63" s="56" t="s">
        <v>77</v>
      </c>
      <c r="C63" s="57">
        <v>42</v>
      </c>
      <c r="D63" s="58">
        <v>15</v>
      </c>
      <c r="E63" s="59">
        <v>20</v>
      </c>
    </row>
    <row r="64" spans="1:5">
      <c r="A64" s="65"/>
      <c r="B64" s="35" t="s">
        <v>68</v>
      </c>
      <c r="C64" s="35">
        <v>65</v>
      </c>
      <c r="D64" s="35">
        <v>30</v>
      </c>
      <c r="E64" s="8">
        <v>30</v>
      </c>
    </row>
    <row r="65" spans="1:5" ht="15.75" thickBot="1">
      <c r="A65" s="65"/>
      <c r="B65" s="35" t="s">
        <v>69</v>
      </c>
      <c r="C65" s="35">
        <v>65</v>
      </c>
      <c r="D65" s="35">
        <v>30</v>
      </c>
      <c r="E65" s="8">
        <v>30</v>
      </c>
    </row>
    <row r="66" spans="1:5" ht="15.75" thickBot="1">
      <c r="B66" s="50" t="s">
        <v>17</v>
      </c>
      <c r="C66" s="38">
        <f>SUM(C54:C65)</f>
        <v>1060</v>
      </c>
      <c r="D66" s="38">
        <f>SUM(D54:D65)</f>
        <v>536</v>
      </c>
      <c r="E66" s="51">
        <f>SUM(E54:E65)</f>
        <v>331</v>
      </c>
    </row>
    <row r="67" spans="1:5" ht="15.75" thickBot="1">
      <c r="B67" s="48" t="s">
        <v>31</v>
      </c>
      <c r="C67" s="49">
        <f>SUM(C10,C52,)</f>
        <v>2139</v>
      </c>
      <c r="D67" s="49">
        <f>SUM(D10,D52,D19,D66)</f>
        <v>2261</v>
      </c>
      <c r="E67" s="49">
        <f>SUM(E10,E52,E19,E32,E66)</f>
        <v>1596</v>
      </c>
    </row>
  </sheetData>
  <mergeCells count="11">
    <mergeCell ref="B53:E53"/>
    <mergeCell ref="A53:A65"/>
    <mergeCell ref="A3:A10"/>
    <mergeCell ref="A33:A52"/>
    <mergeCell ref="A1:E1"/>
    <mergeCell ref="B3:E3"/>
    <mergeCell ref="B33:E33"/>
    <mergeCell ref="A11:A19"/>
    <mergeCell ref="B11:E11"/>
    <mergeCell ref="A20:A32"/>
    <mergeCell ref="B20:E20"/>
  </mergeCells>
  <phoneticPr fontId="7" type="noConversion"/>
  <pageMargins left="0.25" right="0.25" top="0.75" bottom="0.75" header="0.3" footer="0.3"/>
  <pageSetup paperSize="9" scale="95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5"/>
  <sheetViews>
    <sheetView tabSelected="1" topLeftCell="A29" workbookViewId="0">
      <selection activeCell="J35" sqref="J35"/>
    </sheetView>
  </sheetViews>
  <sheetFormatPr defaultColWidth="9" defaultRowHeight="15"/>
  <cols>
    <col min="1" max="1" width="13.7109375" customWidth="1"/>
    <col min="2" max="4" width="12.7109375" customWidth="1"/>
    <col min="5" max="6" width="14.7109375" customWidth="1"/>
    <col min="7" max="7" width="14.28515625" customWidth="1"/>
    <col min="8" max="8" width="14.140625" bestFit="1" customWidth="1"/>
    <col min="9" max="9" width="11.140625" bestFit="1" customWidth="1"/>
  </cols>
  <sheetData>
    <row r="1" spans="1:9" ht="24" thickBot="1">
      <c r="A1" s="71" t="s">
        <v>82</v>
      </c>
      <c r="B1" s="71"/>
      <c r="C1" s="71"/>
      <c r="D1" s="71"/>
      <c r="E1" s="71"/>
      <c r="F1" s="2"/>
    </row>
    <row r="2" spans="1:9" ht="57" customHeight="1" thickBot="1">
      <c r="A2" s="3" t="s">
        <v>0</v>
      </c>
      <c r="B2" s="4" t="s">
        <v>1</v>
      </c>
      <c r="C2" s="4" t="s">
        <v>2</v>
      </c>
      <c r="D2" s="4" t="s">
        <v>3</v>
      </c>
      <c r="E2" s="31" t="s">
        <v>81</v>
      </c>
      <c r="F2" s="5"/>
    </row>
    <row r="3" spans="1:9" ht="21" customHeight="1">
      <c r="A3" s="78" t="s">
        <v>12</v>
      </c>
      <c r="B3" s="72" t="s">
        <v>70</v>
      </c>
      <c r="C3" s="73"/>
      <c r="D3" s="73"/>
      <c r="E3" s="74"/>
      <c r="F3" s="6"/>
      <c r="G3" t="s">
        <v>0</v>
      </c>
      <c r="H3" t="s">
        <v>32</v>
      </c>
    </row>
    <row r="4" spans="1:9" ht="21" customHeight="1">
      <c r="A4" s="79"/>
      <c r="B4" s="7" t="s">
        <v>71</v>
      </c>
      <c r="C4" s="7">
        <v>100</v>
      </c>
      <c r="D4" s="7">
        <v>50</v>
      </c>
      <c r="E4" s="8">
        <v>40</v>
      </c>
      <c r="F4" s="6"/>
    </row>
    <row r="5" spans="1:9" ht="15" customHeight="1">
      <c r="A5" s="79"/>
      <c r="B5" s="7" t="s">
        <v>54</v>
      </c>
      <c r="C5" s="7">
        <v>100</v>
      </c>
      <c r="D5" s="7">
        <v>50</v>
      </c>
      <c r="E5" s="8">
        <v>40</v>
      </c>
      <c r="F5" s="17"/>
      <c r="G5" t="s">
        <v>15</v>
      </c>
      <c r="H5">
        <f>E43</f>
        <v>440</v>
      </c>
    </row>
    <row r="6" spans="1:9" ht="15" customHeight="1">
      <c r="A6" s="79"/>
      <c r="B6" s="56" t="s">
        <v>78</v>
      </c>
      <c r="C6" s="57">
        <v>46</v>
      </c>
      <c r="D6" s="58">
        <v>20</v>
      </c>
      <c r="E6" s="59">
        <v>20</v>
      </c>
      <c r="F6" s="17"/>
    </row>
    <row r="7" spans="1:9" ht="15" customHeight="1">
      <c r="A7" s="79"/>
      <c r="B7" s="40" t="s">
        <v>55</v>
      </c>
      <c r="C7" s="40">
        <v>100</v>
      </c>
      <c r="D7" s="40">
        <v>50</v>
      </c>
      <c r="E7" s="8">
        <v>40</v>
      </c>
      <c r="F7" s="17"/>
      <c r="G7" t="s">
        <v>12</v>
      </c>
      <c r="H7">
        <f>E15</f>
        <v>293</v>
      </c>
    </row>
    <row r="8" spans="1:9" ht="15" customHeight="1">
      <c r="A8" s="79"/>
      <c r="B8" s="40" t="s">
        <v>56</v>
      </c>
      <c r="C8" s="40">
        <v>30</v>
      </c>
      <c r="D8" s="40">
        <v>15</v>
      </c>
      <c r="E8" s="52">
        <v>15</v>
      </c>
      <c r="F8" s="17"/>
    </row>
    <row r="9" spans="1:9" ht="15" customHeight="1">
      <c r="A9" s="79"/>
      <c r="B9" s="40" t="s">
        <v>57</v>
      </c>
      <c r="C9" s="40">
        <v>30</v>
      </c>
      <c r="D9" s="40">
        <v>15</v>
      </c>
      <c r="E9" s="52">
        <v>15</v>
      </c>
      <c r="G9" t="s">
        <v>14</v>
      </c>
      <c r="H9" s="9">
        <f>SUBTOTAL(109,H4:H7)</f>
        <v>733</v>
      </c>
    </row>
    <row r="10" spans="1:9">
      <c r="A10" s="79"/>
      <c r="B10" s="40" t="s">
        <v>58</v>
      </c>
      <c r="C10" s="40">
        <v>100</v>
      </c>
      <c r="D10" s="40">
        <v>50</v>
      </c>
      <c r="E10" s="52">
        <v>40</v>
      </c>
    </row>
    <row r="11" spans="1:9">
      <c r="A11" s="79"/>
      <c r="B11" s="7" t="s">
        <v>59</v>
      </c>
      <c r="C11" s="7">
        <v>45</v>
      </c>
      <c r="D11" s="7">
        <v>23</v>
      </c>
      <c r="E11" s="42">
        <v>23</v>
      </c>
      <c r="G11" t="s">
        <v>33</v>
      </c>
    </row>
    <row r="12" spans="1:9">
      <c r="A12" s="79"/>
      <c r="B12" s="7" t="s">
        <v>60</v>
      </c>
      <c r="C12" s="7">
        <v>60</v>
      </c>
      <c r="D12" s="7">
        <v>30</v>
      </c>
      <c r="E12" s="42">
        <v>30</v>
      </c>
      <c r="G12" t="s">
        <v>12</v>
      </c>
      <c r="H12" t="s">
        <v>34</v>
      </c>
    </row>
    <row r="13" spans="1:9">
      <c r="A13" s="79"/>
      <c r="B13" s="7" t="s">
        <v>61</v>
      </c>
      <c r="C13" s="7">
        <v>30</v>
      </c>
      <c r="D13" s="7">
        <v>15</v>
      </c>
      <c r="E13" s="42">
        <v>15</v>
      </c>
      <c r="G13" t="s">
        <v>15</v>
      </c>
      <c r="H13" t="s">
        <v>35</v>
      </c>
    </row>
    <row r="14" spans="1:9" ht="15.75" thickBot="1">
      <c r="A14" s="79"/>
      <c r="B14" s="40" t="s">
        <v>62</v>
      </c>
      <c r="C14" s="40">
        <v>30</v>
      </c>
      <c r="D14" s="40">
        <v>15</v>
      </c>
      <c r="E14" s="42">
        <v>15</v>
      </c>
    </row>
    <row r="15" spans="1:9" ht="15.75" thickBot="1">
      <c r="A15" s="83"/>
      <c r="B15" s="10" t="s">
        <v>14</v>
      </c>
      <c r="C15" s="11">
        <v>625</v>
      </c>
      <c r="D15" s="11">
        <v>313</v>
      </c>
      <c r="E15" s="12">
        <f>SUM(E4:E14)</f>
        <v>293</v>
      </c>
      <c r="G15" s="17"/>
      <c r="H15" s="13"/>
      <c r="I15" s="13"/>
    </row>
    <row r="16" spans="1:9">
      <c r="A16" s="75" t="s">
        <v>10</v>
      </c>
      <c r="B16" s="61" t="str">
        <f>COUNTA(B17:B23)&amp;" Halls"</f>
        <v>7 Halls</v>
      </c>
      <c r="C16" s="62"/>
      <c r="D16" s="62"/>
      <c r="E16" s="63"/>
      <c r="G16" s="17"/>
    </row>
    <row r="17" spans="1:7">
      <c r="A17" s="76"/>
      <c r="B17" s="32" t="s">
        <v>47</v>
      </c>
      <c r="C17" s="32">
        <v>50</v>
      </c>
      <c r="D17" s="33">
        <v>25</v>
      </c>
      <c r="E17" s="34">
        <v>25</v>
      </c>
      <c r="G17" s="17"/>
    </row>
    <row r="18" spans="1:7">
      <c r="A18" s="76"/>
      <c r="B18" s="32" t="s">
        <v>48</v>
      </c>
      <c r="C18" s="32">
        <v>50</v>
      </c>
      <c r="D18" s="33">
        <v>25</v>
      </c>
      <c r="E18" s="34">
        <v>25</v>
      </c>
    </row>
    <row r="19" spans="1:7" ht="18" customHeight="1">
      <c r="A19" s="76"/>
      <c r="B19" s="35" t="s">
        <v>49</v>
      </c>
      <c r="C19" s="35">
        <v>220</v>
      </c>
      <c r="D19" s="35">
        <v>110</v>
      </c>
      <c r="E19" s="8">
        <v>40</v>
      </c>
      <c r="F19" s="9"/>
    </row>
    <row r="20" spans="1:7">
      <c r="A20" s="76"/>
      <c r="B20" s="35" t="s">
        <v>50</v>
      </c>
      <c r="C20" s="35">
        <v>220</v>
      </c>
      <c r="D20" s="35">
        <v>110</v>
      </c>
      <c r="E20" s="8">
        <v>40</v>
      </c>
    </row>
    <row r="21" spans="1:7">
      <c r="A21" s="76"/>
      <c r="B21" s="35" t="s">
        <v>51</v>
      </c>
      <c r="C21" s="35">
        <v>220</v>
      </c>
      <c r="D21" s="35">
        <v>110</v>
      </c>
      <c r="E21" s="8">
        <v>40</v>
      </c>
    </row>
    <row r="22" spans="1:7">
      <c r="A22" s="76"/>
      <c r="B22" s="35" t="s">
        <v>52</v>
      </c>
      <c r="C22" s="35">
        <v>220</v>
      </c>
      <c r="D22" s="35">
        <v>110</v>
      </c>
      <c r="E22" s="8">
        <v>40</v>
      </c>
    </row>
    <row r="23" spans="1:7" ht="15.75" thickBot="1">
      <c r="A23" s="76"/>
      <c r="B23" s="36" t="s">
        <v>53</v>
      </c>
      <c r="C23" s="36">
        <v>220</v>
      </c>
      <c r="D23" s="36">
        <v>110</v>
      </c>
      <c r="E23" s="8">
        <v>40</v>
      </c>
    </row>
    <row r="24" spans="1:7" ht="15.75" thickBot="1">
      <c r="A24" s="77"/>
      <c r="B24" s="37" t="s">
        <v>14</v>
      </c>
      <c r="C24" s="38">
        <f>SUM(C17:C23)</f>
        <v>1200</v>
      </c>
      <c r="D24" s="38">
        <f>SUM(D17:D23)</f>
        <v>600</v>
      </c>
      <c r="E24" s="39">
        <f>SUM(E17:E23)</f>
        <v>250</v>
      </c>
    </row>
    <row r="25" spans="1:7">
      <c r="A25" s="81" t="s">
        <v>15</v>
      </c>
      <c r="B25" s="56" t="s">
        <v>46</v>
      </c>
      <c r="C25" s="57">
        <v>40</v>
      </c>
      <c r="D25" s="58">
        <v>20</v>
      </c>
      <c r="E25" s="59">
        <v>20</v>
      </c>
    </row>
    <row r="26" spans="1:7">
      <c r="A26" s="82"/>
      <c r="B26" s="14" t="s">
        <v>18</v>
      </c>
      <c r="C26" s="15">
        <v>80</v>
      </c>
      <c r="D26" s="16">
        <v>40</v>
      </c>
      <c r="E26" s="8">
        <v>30</v>
      </c>
    </row>
    <row r="27" spans="1:7">
      <c r="A27" s="82"/>
      <c r="B27" s="14" t="s">
        <v>19</v>
      </c>
      <c r="C27" s="15">
        <v>80</v>
      </c>
      <c r="D27" s="16">
        <v>40</v>
      </c>
      <c r="E27" s="8">
        <v>30</v>
      </c>
    </row>
    <row r="28" spans="1:7">
      <c r="A28" s="82"/>
      <c r="B28" s="14" t="s">
        <v>20</v>
      </c>
      <c r="C28" s="15">
        <v>80</v>
      </c>
      <c r="D28" s="16">
        <v>40</v>
      </c>
      <c r="E28" s="8">
        <v>30</v>
      </c>
    </row>
    <row r="29" spans="1:7">
      <c r="A29" s="82"/>
      <c r="B29" s="14" t="s">
        <v>21</v>
      </c>
      <c r="C29" s="15">
        <v>50</v>
      </c>
      <c r="D29" s="16">
        <v>25</v>
      </c>
      <c r="E29" s="8">
        <v>25</v>
      </c>
    </row>
    <row r="30" spans="1:7">
      <c r="A30" s="82"/>
      <c r="B30" s="14" t="s">
        <v>22</v>
      </c>
      <c r="C30" s="15">
        <v>40</v>
      </c>
      <c r="D30" s="16">
        <v>20</v>
      </c>
      <c r="E30" s="8">
        <v>20</v>
      </c>
    </row>
    <row r="31" spans="1:7">
      <c r="A31" s="82"/>
      <c r="B31" s="18" t="s">
        <v>23</v>
      </c>
      <c r="C31" s="7">
        <v>200</v>
      </c>
      <c r="D31" s="7">
        <v>100</v>
      </c>
      <c r="E31" s="46">
        <v>35</v>
      </c>
    </row>
    <row r="32" spans="1:7">
      <c r="A32" s="82"/>
      <c r="B32" s="28" t="s">
        <v>42</v>
      </c>
      <c r="C32" s="16"/>
      <c r="D32" s="16">
        <v>20</v>
      </c>
      <c r="E32" s="20">
        <v>20</v>
      </c>
    </row>
    <row r="33" spans="1:5">
      <c r="A33" s="82"/>
      <c r="B33" s="28" t="s">
        <v>43</v>
      </c>
      <c r="C33" s="16"/>
      <c r="D33" s="16">
        <v>20</v>
      </c>
      <c r="E33" s="20">
        <v>20</v>
      </c>
    </row>
    <row r="34" spans="1:5">
      <c r="A34" s="82"/>
      <c r="B34" s="28" t="s">
        <v>44</v>
      </c>
      <c r="C34" s="16"/>
      <c r="D34" s="16">
        <v>15</v>
      </c>
      <c r="E34" s="20">
        <v>15</v>
      </c>
    </row>
    <row r="35" spans="1:5">
      <c r="A35" s="82"/>
      <c r="B35" s="28" t="s">
        <v>45</v>
      </c>
      <c r="C35" s="16">
        <v>200</v>
      </c>
      <c r="D35" s="16">
        <v>100</v>
      </c>
      <c r="E35" s="47">
        <v>35</v>
      </c>
    </row>
    <row r="36" spans="1:5">
      <c r="A36" s="82"/>
      <c r="B36" s="19" t="s">
        <v>24</v>
      </c>
      <c r="C36" s="16">
        <v>50</v>
      </c>
      <c r="D36" s="16">
        <v>25</v>
      </c>
      <c r="E36" s="20">
        <v>25</v>
      </c>
    </row>
    <row r="37" spans="1:5">
      <c r="A37" s="82"/>
      <c r="B37" s="19" t="s">
        <v>25</v>
      </c>
      <c r="C37" s="7">
        <v>200</v>
      </c>
      <c r="D37" s="7">
        <v>100</v>
      </c>
      <c r="E37" s="8">
        <v>35</v>
      </c>
    </row>
    <row r="38" spans="1:5">
      <c r="A38" s="82"/>
      <c r="B38" s="19" t="s">
        <v>26</v>
      </c>
      <c r="C38" s="16">
        <v>42</v>
      </c>
      <c r="D38" s="16">
        <v>21</v>
      </c>
      <c r="E38" s="20">
        <v>21</v>
      </c>
    </row>
    <row r="39" spans="1:5">
      <c r="A39" s="82"/>
      <c r="B39" s="56" t="s">
        <v>27</v>
      </c>
      <c r="C39" s="57">
        <v>40</v>
      </c>
      <c r="D39" s="58">
        <v>20</v>
      </c>
      <c r="E39" s="59">
        <v>20</v>
      </c>
    </row>
    <row r="40" spans="1:5">
      <c r="A40" s="82"/>
      <c r="B40" s="19" t="s">
        <v>28</v>
      </c>
      <c r="C40" s="16">
        <v>36</v>
      </c>
      <c r="D40" s="16">
        <v>18</v>
      </c>
      <c r="E40" s="25">
        <v>18</v>
      </c>
    </row>
    <row r="41" spans="1:5">
      <c r="A41" s="82"/>
      <c r="B41" s="21" t="s">
        <v>29</v>
      </c>
      <c r="C41" s="7">
        <v>40</v>
      </c>
      <c r="D41" s="7">
        <v>20</v>
      </c>
      <c r="E41" s="26">
        <v>20</v>
      </c>
    </row>
    <row r="42" spans="1:5" ht="15.75" thickBot="1">
      <c r="A42" s="82"/>
      <c r="B42" s="18" t="s">
        <v>30</v>
      </c>
      <c r="C42" s="7">
        <v>41</v>
      </c>
      <c r="D42" s="7">
        <v>21</v>
      </c>
      <c r="E42" s="26">
        <v>21</v>
      </c>
    </row>
    <row r="43" spans="1:5" ht="15.75" thickBot="1">
      <c r="A43" s="77"/>
      <c r="B43" s="10" t="s">
        <v>14</v>
      </c>
      <c r="C43" s="11">
        <f>SUM(C25:C42)</f>
        <v>1219</v>
      </c>
      <c r="D43" s="11">
        <f t="shared" ref="D43:E43" si="0">SUM(D25:D42)</f>
        <v>665</v>
      </c>
      <c r="E43" s="11">
        <f t="shared" si="0"/>
        <v>440</v>
      </c>
    </row>
    <row r="44" spans="1:5" ht="15.75" thickBot="1"/>
    <row r="45" spans="1:5" ht="15.75" thickBot="1">
      <c r="B45" s="10" t="s">
        <v>31</v>
      </c>
      <c r="C45" s="11">
        <v>1604</v>
      </c>
      <c r="D45" s="11">
        <v>803</v>
      </c>
      <c r="E45" s="53">
        <f>SUM(E15,E43,E24)</f>
        <v>983</v>
      </c>
    </row>
  </sheetData>
  <mergeCells count="6">
    <mergeCell ref="A25:A43"/>
    <mergeCell ref="A1:E1"/>
    <mergeCell ref="B3:E3"/>
    <mergeCell ref="A3:A15"/>
    <mergeCell ref="A16:A24"/>
    <mergeCell ref="B16:E16"/>
  </mergeCells>
  <phoneticPr fontId="8" type="noConversion"/>
  <pageMargins left="0.7" right="0.7" top="0.25" bottom="0.25" header="0.3" footer="0.3"/>
  <pageSetup paperSize="9" scale="72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8"/>
  <sheetViews>
    <sheetView workbookViewId="0">
      <selection activeCell="B18" sqref="B18"/>
    </sheetView>
  </sheetViews>
  <sheetFormatPr defaultColWidth="9" defaultRowHeight="15"/>
  <cols>
    <col min="1" max="2" width="19.7109375" customWidth="1"/>
  </cols>
  <sheetData>
    <row r="2" spans="1:2">
      <c r="A2" s="1" t="s">
        <v>36</v>
      </c>
      <c r="B2" s="1" t="s">
        <v>37</v>
      </c>
    </row>
    <row r="3" spans="1:2">
      <c r="A3" t="s">
        <v>4</v>
      </c>
      <c r="B3" t="s">
        <v>38</v>
      </c>
    </row>
    <row r="4" spans="1:2">
      <c r="A4" t="s">
        <v>10</v>
      </c>
      <c r="B4" t="s">
        <v>39</v>
      </c>
    </row>
    <row r="5" spans="1:2">
      <c r="A5" t="s">
        <v>15</v>
      </c>
      <c r="B5" t="s">
        <v>35</v>
      </c>
    </row>
    <row r="6" spans="1:2">
      <c r="A6" t="s">
        <v>16</v>
      </c>
      <c r="B6" s="60" t="s">
        <v>79</v>
      </c>
    </row>
    <row r="7" spans="1:2">
      <c r="A7" t="s">
        <v>40</v>
      </c>
      <c r="B7" t="s">
        <v>41</v>
      </c>
    </row>
    <row r="8" spans="1:2">
      <c r="A8" t="s">
        <v>12</v>
      </c>
      <c r="B8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Friday EST</vt:lpstr>
      <vt:lpstr>Busi. &amp; Pol only</vt:lpstr>
      <vt:lpstr>Control_Rooms</vt:lpstr>
      <vt:lpstr>'Friday EST'!Print_Area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 Ahmed Kamaleldin Hussien Elkolaey</dc:creator>
  <cp:lastModifiedBy>Dina Hasan</cp:lastModifiedBy>
  <cp:lastPrinted>2026-01-03T07:50:31Z</cp:lastPrinted>
  <dcterms:created xsi:type="dcterms:W3CDTF">2021-11-10T12:18:00Z</dcterms:created>
  <dcterms:modified xsi:type="dcterms:W3CDTF">2026-01-03T08:44:29Z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3451056200A740FDBB55F0E4F471381B_12</vt:lpwstr>
  </property>
  <property fmtid="{D5CDD505-2E9C-101B-9397-08002B2CF9AE}" pid="3" name="KSOProductBuildVer">
    <vt:lpwstr>1033-12.2.0.13306</vt:lpwstr>
  </property>
</Properties>
</file>