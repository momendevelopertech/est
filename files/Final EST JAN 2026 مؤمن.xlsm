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220e8f0981adca2/Desktop/"/>
    </mc:Choice>
  </mc:AlternateContent>
  <xr:revisionPtr revIDLastSave="9" documentId="13_ncr:1_{6914B229-4FA0-4016-B6CF-8913093572FC}" xr6:coauthVersionLast="47" xr6:coauthVersionMax="47" xr10:uidLastSave="{24FF7A76-FF67-48B1-A600-15DE860B21D7}"/>
  <bookViews>
    <workbookView xWindow="-120" yWindow="-120" windowWidth="20730" windowHeight="11040" tabRatio="833" xr2:uid="{E737BCED-09FE-4842-982F-582B0AD60B7E}"/>
  </bookViews>
  <sheets>
    <sheet name="MAIN" sheetId="1" r:id="rId1"/>
    <sheet name="اكواد البنوك" sheetId="4" state="hidden" r:id="rId2"/>
  </sheets>
  <definedNames>
    <definedName name="_xlnm._FilterDatabase" localSheetId="0" hidden="1">MAIN!$B$1:$AG$1006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" i="1" l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E384" i="1" l="1"/>
  <c r="AE431" i="1" l="1"/>
  <c r="AE248" i="1"/>
  <c r="AE212" i="1"/>
  <c r="AE589" i="1"/>
  <c r="AE267" i="1"/>
  <c r="AE218" i="1"/>
  <c r="AE522" i="1" l="1"/>
  <c r="AE523" i="1"/>
  <c r="AE524" i="1"/>
  <c r="AE757" i="1"/>
  <c r="AE758" i="1"/>
  <c r="AE759" i="1"/>
  <c r="AE760" i="1"/>
  <c r="AE761" i="1"/>
  <c r="AE1004" i="1"/>
  <c r="AE1005" i="1"/>
  <c r="AE207" i="1"/>
  <c r="AE385" i="1"/>
  <c r="AE389" i="1"/>
  <c r="AE456" i="1"/>
  <c r="AE468" i="1"/>
  <c r="AE486" i="1"/>
  <c r="AE397" i="1"/>
  <c r="AE416" i="1"/>
  <c r="AE259" i="1"/>
  <c r="AE374" i="1"/>
  <c r="AE219" i="1"/>
  <c r="AE300" i="1"/>
  <c r="AE474" i="1"/>
  <c r="AE224" i="1"/>
  <c r="AE281" i="1"/>
  <c r="AE353" i="1"/>
  <c r="AE488" i="1"/>
  <c r="AE354" i="1"/>
  <c r="AE478" i="1"/>
  <c r="AE4" i="1"/>
  <c r="AE5" i="1"/>
  <c r="AE36" i="1"/>
  <c r="AE15" i="1"/>
  <c r="AE27" i="1"/>
  <c r="AE42" i="1"/>
  <c r="AE12" i="1"/>
  <c r="AE19" i="1"/>
  <c r="AE43" i="1"/>
  <c r="AE78" i="1"/>
  <c r="AE81" i="1"/>
  <c r="AE100" i="1"/>
  <c r="AE14" i="1"/>
  <c r="AE30" i="1"/>
  <c r="AE135" i="1"/>
  <c r="AE136" i="1"/>
  <c r="AE137" i="1"/>
  <c r="AE20" i="1"/>
  <c r="AE25" i="1"/>
  <c r="AE22" i="1"/>
  <c r="AE45" i="1"/>
  <c r="AE16" i="1"/>
  <c r="AE40" i="1"/>
  <c r="AE11" i="1"/>
  <c r="AE41" i="1"/>
  <c r="AE46" i="1"/>
  <c r="AE82" i="1"/>
  <c r="AE115" i="1"/>
  <c r="AE51" i="1"/>
  <c r="AE52" i="1"/>
  <c r="AE53" i="1"/>
  <c r="AE48" i="1"/>
  <c r="AE50" i="1"/>
  <c r="AE10" i="1"/>
  <c r="AE31" i="1"/>
  <c r="AE37" i="1"/>
  <c r="AE326" i="1"/>
  <c r="AE406" i="1"/>
  <c r="AE28" i="1"/>
  <c r="AE39" i="1"/>
  <c r="AE44" i="1"/>
  <c r="AE83" i="1"/>
  <c r="AE118" i="1"/>
  <c r="AE84" i="1"/>
  <c r="AE126" i="1"/>
  <c r="AE85" i="1"/>
  <c r="AE94" i="1"/>
  <c r="AE451" i="1"/>
  <c r="AE211" i="1"/>
  <c r="AE510" i="1"/>
  <c r="AE321" i="1"/>
  <c r="AE428" i="1"/>
  <c r="AE33" i="1"/>
  <c r="AE110" i="1"/>
  <c r="AE117" i="1"/>
  <c r="AE234" i="1"/>
  <c r="AE320" i="1"/>
  <c r="AE104" i="1"/>
  <c r="AE128" i="1"/>
  <c r="AE49" i="1"/>
  <c r="AE108" i="1"/>
  <c r="AE322" i="1"/>
  <c r="AE410" i="1"/>
  <c r="AE423" i="1"/>
  <c r="AE305" i="1"/>
  <c r="AE499" i="1"/>
  <c r="AE210" i="1"/>
  <c r="AE306" i="1"/>
  <c r="AE86" i="1"/>
  <c r="AE98" i="1"/>
  <c r="AE101" i="1"/>
  <c r="AE239" i="1"/>
  <c r="AE244" i="1"/>
  <c r="AE87" i="1"/>
  <c r="AE120" i="1"/>
  <c r="AE323" i="1"/>
  <c r="AE88" i="1"/>
  <c r="AE125" i="1"/>
  <c r="AE99" i="1"/>
  <c r="AE114" i="1"/>
  <c r="AE271" i="1"/>
  <c r="AE272" i="1"/>
  <c r="AE529" i="1"/>
  <c r="AE541" i="1"/>
  <c r="AE601" i="1"/>
  <c r="AE614" i="1"/>
  <c r="AE736" i="1"/>
  <c r="AE771" i="1"/>
  <c r="AE929" i="1"/>
  <c r="AE932" i="1"/>
  <c r="AE191" i="1"/>
  <c r="AE255" i="1"/>
  <c r="AE317" i="1"/>
  <c r="AE477" i="1"/>
  <c r="AE308" i="1"/>
  <c r="AE403" i="1"/>
  <c r="AE492" i="1"/>
  <c r="AE318" i="1"/>
  <c r="AE350" i="1"/>
  <c r="AE485" i="1"/>
  <c r="AE7" i="1"/>
  <c r="AE26" i="1"/>
  <c r="AE63" i="1"/>
  <c r="AE80" i="1"/>
  <c r="AE103" i="1"/>
  <c r="AE343" i="1"/>
  <c r="AE430" i="1"/>
  <c r="AE473" i="1"/>
  <c r="AE579" i="1"/>
  <c r="AE581" i="1"/>
  <c r="AE647" i="1"/>
  <c r="AE686" i="1"/>
  <c r="AE687" i="1"/>
  <c r="AE688" i="1"/>
  <c r="AE737" i="1"/>
  <c r="AE217" i="1"/>
  <c r="AE420" i="1"/>
  <c r="AE215" i="1"/>
  <c r="AE246" i="1"/>
  <c r="AE517" i="1"/>
  <c r="AE229" i="1"/>
  <c r="AE9" i="1"/>
  <c r="AE17" i="1"/>
  <c r="AE61" i="1"/>
  <c r="AE62" i="1"/>
  <c r="AE113" i="1"/>
  <c r="AE390" i="1"/>
  <c r="AE422" i="1"/>
  <c r="AE445" i="1"/>
  <c r="AE498" i="1"/>
  <c r="AE527" i="1"/>
  <c r="AE551" i="1"/>
  <c r="AE592" i="1"/>
  <c r="AE627" i="1"/>
  <c r="AE791" i="1"/>
  <c r="AE793" i="1"/>
  <c r="AE897" i="1"/>
  <c r="AE899" i="1"/>
  <c r="AE221" i="1"/>
  <c r="AE375" i="1"/>
  <c r="AE220" i="1"/>
  <c r="AE251" i="1"/>
  <c r="AE222" i="1"/>
  <c r="AE351" i="1"/>
  <c r="AE232" i="1"/>
  <c r="AE360" i="1"/>
  <c r="AE233" i="1"/>
  <c r="AE256" i="1"/>
  <c r="AE77" i="1"/>
  <c r="AE79" i="1"/>
  <c r="AE206" i="1"/>
  <c r="AE254" i="1"/>
  <c r="AE313" i="1"/>
  <c r="AE393" i="1"/>
  <c r="AE394" i="1"/>
  <c r="AE825" i="1"/>
  <c r="AE827" i="1"/>
  <c r="AE828" i="1"/>
  <c r="AE829" i="1"/>
  <c r="AE931" i="1"/>
  <c r="AE274" i="1"/>
  <c r="AE286" i="1"/>
  <c r="AE240" i="1"/>
  <c r="AE380" i="1"/>
  <c r="AE236" i="1"/>
  <c r="AE399" i="1"/>
  <c r="AE8" i="1"/>
  <c r="AE18" i="1"/>
  <c r="AE35" i="1"/>
  <c r="AE209" i="1"/>
  <c r="AE359" i="1"/>
  <c r="AE457" i="1"/>
  <c r="AE512" i="1"/>
  <c r="AE857" i="1"/>
  <c r="AE859" i="1"/>
  <c r="AE860" i="1"/>
  <c r="AE861" i="1"/>
  <c r="AE959" i="1"/>
  <c r="AE962" i="1"/>
  <c r="AE799" i="1"/>
  <c r="AE807" i="1"/>
  <c r="AE849" i="1"/>
  <c r="AE995" i="1"/>
  <c r="AE815" i="1"/>
  <c r="AE847" i="1"/>
  <c r="AE866" i="1"/>
  <c r="AE872" i="1"/>
  <c r="AE940" i="1"/>
  <c r="AE968" i="1"/>
  <c r="AE970" i="1"/>
  <c r="AE948" i="1"/>
  <c r="AE980" i="1"/>
  <c r="AE1000" i="1"/>
  <c r="AE795" i="1"/>
  <c r="AE804" i="1"/>
  <c r="AE806" i="1"/>
  <c r="AE835" i="1"/>
  <c r="AE863" i="1"/>
  <c r="AE927" i="1"/>
  <c r="AE836" i="1"/>
  <c r="AE839" i="1"/>
  <c r="AE841" i="1"/>
  <c r="AE843" i="1"/>
  <c r="AE851" i="1"/>
  <c r="AE853" i="1"/>
  <c r="AE869" i="1"/>
  <c r="AE877" i="1"/>
  <c r="AE879" i="1"/>
  <c r="AE926" i="1"/>
  <c r="AE945" i="1"/>
  <c r="AE951" i="1"/>
  <c r="AE967" i="1"/>
  <c r="AE991" i="1"/>
  <c r="AE775" i="1"/>
  <c r="AE808" i="1"/>
  <c r="AE874" i="1"/>
  <c r="AE824" i="1"/>
  <c r="AE876" i="1"/>
  <c r="AE864" i="1"/>
  <c r="AE881" i="1"/>
  <c r="AE905" i="1"/>
  <c r="AE941" i="1"/>
  <c r="AE957" i="1"/>
  <c r="AE990" i="1"/>
  <c r="AE964" i="1"/>
  <c r="AE999" i="1"/>
  <c r="AE803" i="1"/>
  <c r="AE810" i="1"/>
  <c r="AE922" i="1"/>
  <c r="AE778" i="1"/>
  <c r="AE817" i="1"/>
  <c r="AE798" i="1"/>
  <c r="AE819" i="1"/>
  <c r="AE779" i="1"/>
  <c r="AE782" i="1"/>
  <c r="AE812" i="1"/>
  <c r="AE783" i="1"/>
  <c r="AE785" i="1"/>
  <c r="AE790" i="1"/>
  <c r="AE818" i="1"/>
  <c r="AE984" i="1"/>
  <c r="AE1001" i="1"/>
  <c r="AE953" i="1"/>
  <c r="AE972" i="1"/>
  <c r="AE901" i="1"/>
  <c r="AE942" i="1"/>
  <c r="AE773" i="1"/>
  <c r="AE870" i="1"/>
  <c r="AE845" i="1"/>
  <c r="AE900" i="1"/>
  <c r="AE809" i="1"/>
  <c r="AE933" i="1"/>
  <c r="AE840" i="1"/>
  <c r="AE949" i="1"/>
  <c r="AE993" i="1"/>
  <c r="AE994" i="1"/>
  <c r="AE780" i="1"/>
  <c r="AE781" i="1"/>
  <c r="AE786" i="1"/>
  <c r="AE796" i="1"/>
  <c r="AE800" i="1"/>
  <c r="AE805" i="1"/>
  <c r="AE813" i="1"/>
  <c r="AE816" i="1"/>
  <c r="AE834" i="1"/>
  <c r="AE838" i="1"/>
  <c r="AE848" i="1"/>
  <c r="AE850" i="1"/>
  <c r="AE865" i="1"/>
  <c r="AE868" i="1"/>
  <c r="AE871" i="1"/>
  <c r="AE873" i="1"/>
  <c r="AE875" i="1"/>
  <c r="AE878" i="1"/>
  <c r="AE885" i="1"/>
  <c r="AE889" i="1"/>
  <c r="AE891" i="1"/>
  <c r="AE893" i="1"/>
  <c r="AE895" i="1"/>
  <c r="AE903" i="1"/>
  <c r="AE911" i="1"/>
  <c r="AE914" i="1"/>
  <c r="AE916" i="1"/>
  <c r="AE2" i="1"/>
  <c r="AE528" i="1"/>
  <c r="AE626" i="1"/>
  <c r="AE664" i="1"/>
  <c r="AE713" i="1"/>
  <c r="AE714" i="1"/>
  <c r="AE566" i="1"/>
  <c r="AE671" i="1"/>
  <c r="AE540" i="1"/>
  <c r="AE616" i="1"/>
  <c r="AE677" i="1"/>
  <c r="AE681" i="1"/>
  <c r="AE539" i="1"/>
  <c r="AE582" i="1"/>
  <c r="AE680" i="1"/>
  <c r="AE538" i="1"/>
  <c r="AE554" i="1"/>
  <c r="AE587" i="1"/>
  <c r="AE643" i="1"/>
  <c r="AE644" i="1"/>
  <c r="AE645" i="1"/>
  <c r="AE710" i="1"/>
  <c r="AE712" i="1"/>
  <c r="AE549" i="1"/>
  <c r="AE612" i="1"/>
  <c r="AE550" i="1"/>
  <c r="AE606" i="1"/>
  <c r="AE568" i="1"/>
  <c r="AE597" i="1"/>
  <c r="AE754" i="1"/>
  <c r="AE706" i="1"/>
  <c r="AE708" i="1"/>
  <c r="AE709" i="1"/>
  <c r="AE586" i="1"/>
  <c r="AE690" i="1"/>
  <c r="AE535" i="1"/>
  <c r="AE717" i="1"/>
  <c r="AE576" i="1"/>
  <c r="AE705" i="1"/>
  <c r="AE604" i="1"/>
  <c r="AE683" i="1"/>
  <c r="AE695" i="1"/>
  <c r="AE720" i="1"/>
  <c r="AE610" i="1"/>
  <c r="AE733" i="1"/>
  <c r="AE611" i="1"/>
  <c r="AE623" i="1"/>
  <c r="AE663" i="1"/>
  <c r="AE742" i="1"/>
  <c r="AE617" i="1"/>
  <c r="AE753" i="1"/>
  <c r="AE615" i="1"/>
  <c r="AE756" i="1"/>
  <c r="AE634" i="1"/>
  <c r="AE725" i="1"/>
  <c r="AE701" i="1"/>
  <c r="AE1006" i="1"/>
  <c r="AE189" i="1"/>
  <c r="AE190" i="1"/>
  <c r="AE199" i="1"/>
  <c r="AE201" i="1"/>
  <c r="AE560" i="1"/>
  <c r="AE629" i="1"/>
  <c r="AE558" i="1"/>
  <c r="AE636" i="1"/>
  <c r="AE546" i="1"/>
  <c r="AE631" i="1"/>
  <c r="AE651" i="1"/>
  <c r="AE693" i="1"/>
  <c r="AE740" i="1"/>
  <c r="AE559" i="1"/>
  <c r="AE621" i="1"/>
  <c r="AE654" i="1"/>
  <c r="AE657" i="1"/>
  <c r="AE641" i="1"/>
  <c r="AE650" i="1"/>
  <c r="AE652" i="1"/>
  <c r="AE702" i="1"/>
  <c r="AE533" i="1"/>
  <c r="AE585" i="1"/>
  <c r="AE632" i="1"/>
  <c r="AE656" i="1"/>
  <c r="AE557" i="1"/>
  <c r="AE573" i="1"/>
  <c r="AE655" i="1"/>
  <c r="AE660" i="1"/>
  <c r="AE689" i="1"/>
  <c r="AE545" i="1"/>
  <c r="AE578" i="1"/>
  <c r="AE603" i="1"/>
  <c r="AE666" i="1"/>
  <c r="AE727" i="1"/>
  <c r="AE605" i="1"/>
  <c r="AE625" i="1"/>
  <c r="AE642" i="1"/>
  <c r="AE752" i="1"/>
  <c r="AE598" i="1"/>
  <c r="AE599" i="1"/>
  <c r="AE600" i="1"/>
  <c r="AE719" i="1"/>
  <c r="AE731" i="1"/>
  <c r="AE588" i="1"/>
  <c r="AE620" i="1"/>
  <c r="AE649" i="1"/>
  <c r="AE728" i="1"/>
  <c r="AE564" i="1"/>
  <c r="AE699" i="1"/>
  <c r="AE685" i="1"/>
  <c r="AE746" i="1"/>
  <c r="AE567" i="1"/>
  <c r="AE572" i="1"/>
  <c r="AE596" i="1"/>
  <c r="AE659" i="1"/>
  <c r="AE667" i="1"/>
  <c r="AE593" i="1"/>
  <c r="AE669" i="1"/>
  <c r="AE532" i="1"/>
  <c r="AE676" i="1"/>
  <c r="AE745" i="1"/>
  <c r="AE662" i="1"/>
  <c r="AE750" i="1"/>
  <c r="AE639" i="1"/>
  <c r="AE668" i="1"/>
  <c r="AE525" i="1"/>
  <c r="AE526" i="1"/>
  <c r="AE340" i="1"/>
  <c r="AE458" i="1"/>
  <c r="AE530" i="1"/>
  <c r="AE562" i="1"/>
  <c r="AE569" i="1"/>
  <c r="AE762" i="1"/>
  <c r="AE763" i="1"/>
  <c r="AE765" i="1"/>
  <c r="AE766" i="1"/>
  <c r="AE767" i="1"/>
  <c r="AE768" i="1"/>
  <c r="AE769" i="1"/>
  <c r="AE150" i="1"/>
  <c r="AE165" i="1"/>
  <c r="AE167" i="1"/>
  <c r="AE280" i="1"/>
  <c r="AE470" i="1"/>
  <c r="AE471" i="1"/>
  <c r="AE152" i="1"/>
  <c r="AE168" i="1"/>
  <c r="AE148" i="1"/>
  <c r="AE180" i="1"/>
  <c r="AE139" i="1"/>
  <c r="AE164" i="1"/>
  <c r="AE166" i="1"/>
  <c r="AE182" i="1"/>
  <c r="AE138" i="1"/>
  <c r="AE142" i="1"/>
  <c r="AE179" i="1"/>
  <c r="AE169" i="1"/>
  <c r="AE175" i="1"/>
  <c r="AE176" i="1"/>
  <c r="AE140" i="1"/>
  <c r="AE141" i="1"/>
  <c r="AE153" i="1"/>
  <c r="AE1003" i="1"/>
  <c r="AE1002" i="1"/>
  <c r="AE192" i="1"/>
  <c r="AE202" i="1"/>
  <c r="AE197" i="1"/>
  <c r="AE198" i="1"/>
  <c r="AE133" i="1"/>
  <c r="AE134" i="1"/>
  <c r="AE188" i="1"/>
  <c r="AE3" i="1"/>
  <c r="AE6" i="1"/>
  <c r="AE13" i="1"/>
  <c r="AE21" i="1"/>
  <c r="AE23" i="1"/>
  <c r="AE24" i="1"/>
  <c r="AE29" i="1"/>
  <c r="AE32" i="1"/>
  <c r="AE34" i="1"/>
  <c r="AE38" i="1"/>
  <c r="AE47" i="1"/>
  <c r="AE54" i="1"/>
  <c r="AE55" i="1"/>
  <c r="AE56" i="1"/>
  <c r="AE57" i="1"/>
  <c r="AE58" i="1"/>
  <c r="AE59" i="1"/>
  <c r="AE60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89" i="1"/>
  <c r="AE90" i="1"/>
  <c r="AE91" i="1"/>
  <c r="AE92" i="1"/>
  <c r="AE93" i="1"/>
  <c r="AE95" i="1"/>
  <c r="AE96" i="1"/>
  <c r="AE97" i="1"/>
  <c r="AE102" i="1"/>
  <c r="AE105" i="1"/>
  <c r="AE106" i="1"/>
  <c r="AE107" i="1"/>
  <c r="AE109" i="1"/>
  <c r="AE111" i="1"/>
  <c r="AE112" i="1"/>
  <c r="AE116" i="1"/>
  <c r="AE119" i="1"/>
  <c r="AE121" i="1"/>
  <c r="AE122" i="1"/>
  <c r="AE123" i="1"/>
  <c r="AE124" i="1"/>
  <c r="AE127" i="1"/>
  <c r="AE129" i="1"/>
  <c r="AE130" i="1"/>
  <c r="AE131" i="1"/>
  <c r="AE132" i="1"/>
  <c r="AE143" i="1"/>
  <c r="AE144" i="1"/>
  <c r="AE145" i="1"/>
  <c r="AE146" i="1"/>
  <c r="AE147" i="1"/>
  <c r="AE149" i="1"/>
  <c r="AE151" i="1"/>
  <c r="AE154" i="1"/>
  <c r="AE155" i="1"/>
  <c r="AE156" i="1"/>
  <c r="AE157" i="1"/>
  <c r="AE158" i="1"/>
  <c r="AE159" i="1"/>
  <c r="AE160" i="1"/>
  <c r="AE161" i="1"/>
  <c r="AE162" i="1"/>
  <c r="AE163" i="1"/>
  <c r="AE170" i="1"/>
  <c r="AE171" i="1"/>
  <c r="AE172" i="1"/>
  <c r="AE173" i="1"/>
  <c r="AE174" i="1"/>
  <c r="AE177" i="1"/>
  <c r="AE178" i="1"/>
  <c r="AE181" i="1"/>
  <c r="AE183" i="1"/>
  <c r="AE184" i="1"/>
  <c r="AE185" i="1"/>
  <c r="AE186" i="1"/>
  <c r="AE187" i="1"/>
  <c r="AE193" i="1"/>
  <c r="AE194" i="1"/>
  <c r="AE195" i="1"/>
  <c r="AE196" i="1"/>
  <c r="AE200" i="1"/>
  <c r="AE203" i="1"/>
  <c r="AE204" i="1"/>
  <c r="AE205" i="1"/>
  <c r="AE208" i="1"/>
  <c r="AE213" i="1"/>
  <c r="AE214" i="1"/>
  <c r="AE216" i="1"/>
  <c r="AE223" i="1"/>
  <c r="AE225" i="1"/>
  <c r="AE226" i="1"/>
  <c r="AE227" i="1"/>
  <c r="AE228" i="1"/>
  <c r="AE231" i="1"/>
  <c r="AE235" i="1"/>
  <c r="AE237" i="1"/>
  <c r="AE238" i="1"/>
  <c r="AE241" i="1"/>
  <c r="AE242" i="1"/>
  <c r="AE243" i="1"/>
  <c r="AE245" i="1"/>
  <c r="AE247" i="1"/>
  <c r="AE249" i="1"/>
  <c r="AE250" i="1"/>
  <c r="AE252" i="1"/>
  <c r="AE257" i="1"/>
  <c r="AE260" i="1"/>
  <c r="AE261" i="1"/>
  <c r="AE263" i="1"/>
  <c r="AE264" i="1"/>
  <c r="AE265" i="1"/>
  <c r="AE266" i="1"/>
  <c r="AE268" i="1"/>
  <c r="AE269" i="1"/>
  <c r="AE270" i="1"/>
  <c r="AE273" i="1"/>
  <c r="AE275" i="1"/>
  <c r="AE276" i="1"/>
  <c r="AE277" i="1"/>
  <c r="AE279" i="1"/>
  <c r="AE282" i="1"/>
  <c r="AE283" i="1"/>
  <c r="AE284" i="1"/>
  <c r="AE285" i="1"/>
  <c r="AE287" i="1"/>
  <c r="AE288" i="1"/>
  <c r="AE289" i="1"/>
  <c r="AE290" i="1"/>
  <c r="AE291" i="1"/>
  <c r="AE292" i="1"/>
  <c r="AE293" i="1"/>
  <c r="AE294" i="1"/>
  <c r="AE296" i="1"/>
  <c r="AE297" i="1"/>
  <c r="AE298" i="1"/>
  <c r="AE299" i="1"/>
  <c r="AE301" i="1"/>
  <c r="AE302" i="1"/>
  <c r="AE303" i="1"/>
  <c r="AE304" i="1"/>
  <c r="AE307" i="1"/>
  <c r="AE309" i="1"/>
  <c r="AE310" i="1"/>
  <c r="AE312" i="1"/>
  <c r="AE314" i="1"/>
  <c r="AE315" i="1"/>
  <c r="AE316" i="1"/>
  <c r="AE319" i="1"/>
  <c r="AE324" i="1"/>
  <c r="AE325" i="1"/>
  <c r="AE327" i="1"/>
  <c r="AE328" i="1"/>
  <c r="AE329" i="1"/>
  <c r="AE330" i="1"/>
  <c r="AE331" i="1"/>
  <c r="AE332" i="1"/>
  <c r="AE333" i="1"/>
  <c r="AE335" i="1"/>
  <c r="AE336" i="1"/>
  <c r="AE337" i="1"/>
  <c r="AE338" i="1"/>
  <c r="AE339" i="1"/>
  <c r="AE341" i="1"/>
  <c r="AE342" i="1"/>
  <c r="AE344" i="1"/>
  <c r="AE345" i="1"/>
  <c r="AE347" i="1"/>
  <c r="AE348" i="1"/>
  <c r="AE349" i="1"/>
  <c r="AE352" i="1"/>
  <c r="AE355" i="1"/>
  <c r="AE356" i="1"/>
  <c r="AE357" i="1"/>
  <c r="AE358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6" i="1"/>
  <c r="AE377" i="1"/>
  <c r="AE378" i="1"/>
  <c r="AE379" i="1"/>
  <c r="AE381" i="1"/>
  <c r="AE382" i="1"/>
  <c r="AE383" i="1"/>
  <c r="AE386" i="1"/>
  <c r="AE387" i="1"/>
  <c r="AE388" i="1"/>
  <c r="AE391" i="1"/>
  <c r="AE392" i="1"/>
  <c r="AE395" i="1"/>
  <c r="AE396" i="1"/>
  <c r="AE398" i="1"/>
  <c r="AE400" i="1"/>
  <c r="AE401" i="1"/>
  <c r="AE402" i="1"/>
  <c r="AE404" i="1"/>
  <c r="AE405" i="1"/>
  <c r="AE407" i="1"/>
  <c r="AE408" i="1"/>
  <c r="AE409" i="1"/>
  <c r="AE411" i="1"/>
  <c r="AE412" i="1"/>
  <c r="AE413" i="1"/>
  <c r="AE414" i="1"/>
  <c r="AE415" i="1"/>
  <c r="AE417" i="1"/>
  <c r="AE418" i="1"/>
  <c r="AE419" i="1"/>
  <c r="AE421" i="1"/>
  <c r="AE424" i="1"/>
  <c r="AE425" i="1"/>
  <c r="AE426" i="1"/>
  <c r="AE427" i="1"/>
  <c r="AE429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6" i="1"/>
  <c r="AE447" i="1"/>
  <c r="AE448" i="1"/>
  <c r="AE449" i="1"/>
  <c r="AE450" i="1"/>
  <c r="AE452" i="1"/>
  <c r="AE453" i="1"/>
  <c r="AE454" i="1"/>
  <c r="AE455" i="1"/>
  <c r="AE459" i="1"/>
  <c r="AE460" i="1"/>
  <c r="AE461" i="1"/>
  <c r="AE462" i="1"/>
  <c r="AE463" i="1"/>
  <c r="AE464" i="1"/>
  <c r="AE465" i="1"/>
  <c r="AE466" i="1"/>
  <c r="AE467" i="1"/>
  <c r="AE469" i="1"/>
  <c r="AE472" i="1"/>
  <c r="AE475" i="1"/>
  <c r="AE476" i="1"/>
  <c r="AE479" i="1"/>
  <c r="AE480" i="1"/>
  <c r="AE481" i="1"/>
  <c r="AE482" i="1"/>
  <c r="AE483" i="1"/>
  <c r="AE484" i="1"/>
  <c r="AE487" i="1"/>
  <c r="AE489" i="1"/>
  <c r="AE491" i="1"/>
  <c r="AE493" i="1"/>
  <c r="AE494" i="1"/>
  <c r="AE495" i="1"/>
  <c r="AE496" i="1"/>
  <c r="AE497" i="1"/>
  <c r="AE500" i="1"/>
  <c r="AE501" i="1"/>
  <c r="AE503" i="1"/>
  <c r="AE504" i="1"/>
  <c r="AE505" i="1"/>
  <c r="AE506" i="1"/>
  <c r="AE507" i="1"/>
  <c r="AE508" i="1"/>
  <c r="AE509" i="1"/>
  <c r="AE511" i="1"/>
  <c r="AE513" i="1"/>
  <c r="AE514" i="1"/>
  <c r="AE515" i="1"/>
  <c r="AE516" i="1"/>
  <c r="AE518" i="1"/>
  <c r="AE519" i="1"/>
  <c r="AE520" i="1"/>
  <c r="AE531" i="1"/>
  <c r="AE534" i="1"/>
  <c r="AE536" i="1"/>
  <c r="AE537" i="1"/>
  <c r="AE543" i="1"/>
  <c r="AE544" i="1"/>
  <c r="AE547" i="1"/>
  <c r="AE548" i="1"/>
  <c r="AE552" i="1"/>
  <c r="AE553" i="1"/>
  <c r="AE555" i="1"/>
  <c r="AE556" i="1"/>
  <c r="AE561" i="1"/>
  <c r="AE563" i="1"/>
  <c r="AE565" i="1"/>
  <c r="AE570" i="1"/>
  <c r="AE571" i="1"/>
  <c r="AE574" i="1"/>
  <c r="AE575" i="1"/>
  <c r="AE577" i="1"/>
  <c r="AE580" i="1"/>
  <c r="AE583" i="1"/>
  <c r="AE584" i="1"/>
  <c r="AE590" i="1"/>
  <c r="AE591" i="1"/>
  <c r="AE594" i="1"/>
  <c r="AE595" i="1"/>
  <c r="AE602" i="1"/>
  <c r="AE607" i="1"/>
  <c r="AE608" i="1"/>
  <c r="AE609" i="1"/>
  <c r="AE613" i="1"/>
  <c r="AE618" i="1"/>
  <c r="AE619" i="1"/>
  <c r="AE622" i="1"/>
  <c r="AE624" i="1"/>
  <c r="AE628" i="1"/>
  <c r="AE630" i="1"/>
  <c r="AE633" i="1"/>
  <c r="AE635" i="1"/>
  <c r="AE637" i="1"/>
  <c r="AE638" i="1"/>
  <c r="AE640" i="1"/>
  <c r="AE646" i="1"/>
  <c r="AE648" i="1"/>
  <c r="AE653" i="1"/>
  <c r="AE658" i="1"/>
  <c r="AE661" i="1"/>
  <c r="AE665" i="1"/>
  <c r="AE670" i="1"/>
  <c r="AE672" i="1"/>
  <c r="AE673" i="1"/>
  <c r="AE674" i="1"/>
  <c r="AE675" i="1"/>
  <c r="AE678" i="1"/>
  <c r="AE679" i="1"/>
  <c r="AE682" i="1"/>
  <c r="AE684" i="1"/>
  <c r="AE691" i="1"/>
  <c r="AE692" i="1"/>
  <c r="AE694" i="1"/>
  <c r="AE696" i="1"/>
  <c r="AE697" i="1"/>
  <c r="AE698" i="1"/>
  <c r="AE700" i="1"/>
  <c r="AE703" i="1"/>
  <c r="AE704" i="1"/>
  <c r="AE707" i="1"/>
  <c r="AE711" i="1"/>
  <c r="AE715" i="1"/>
  <c r="AE716" i="1"/>
  <c r="AE718" i="1"/>
  <c r="AE721" i="1"/>
  <c r="AE722" i="1"/>
  <c r="AE723" i="1"/>
  <c r="AE724" i="1"/>
  <c r="AE726" i="1"/>
  <c r="AE729" i="1"/>
  <c r="AE730" i="1"/>
  <c r="AE732" i="1"/>
  <c r="AE734" i="1"/>
  <c r="AE735" i="1"/>
  <c r="AE738" i="1"/>
  <c r="AE739" i="1"/>
  <c r="AE741" i="1"/>
  <c r="AE743" i="1"/>
  <c r="AE744" i="1"/>
  <c r="AE747" i="1"/>
  <c r="AE748" i="1"/>
  <c r="AE749" i="1"/>
  <c r="AE751" i="1"/>
  <c r="AE755" i="1"/>
  <c r="AE764" i="1"/>
  <c r="AE770" i="1"/>
  <c r="AE772" i="1"/>
  <c r="AE774" i="1"/>
  <c r="AE776" i="1"/>
  <c r="AE777" i="1"/>
  <c r="AE784" i="1"/>
  <c r="AE787" i="1"/>
  <c r="AE788" i="1"/>
  <c r="AE792" i="1"/>
  <c r="AE794" i="1"/>
  <c r="AE797" i="1"/>
  <c r="AE801" i="1"/>
  <c r="AE802" i="1"/>
  <c r="AE811" i="1"/>
  <c r="AE814" i="1"/>
  <c r="AE820" i="1"/>
  <c r="AE821" i="1"/>
  <c r="AE822" i="1"/>
  <c r="AE823" i="1"/>
  <c r="AE826" i="1"/>
  <c r="AE830" i="1"/>
  <c r="AE831" i="1"/>
  <c r="AE832" i="1"/>
  <c r="AE833" i="1"/>
  <c r="AE837" i="1"/>
  <c r="AE842" i="1"/>
  <c r="AE846" i="1"/>
  <c r="AE852" i="1"/>
  <c r="AE854" i="1"/>
  <c r="AE855" i="1"/>
  <c r="AE856" i="1"/>
  <c r="AE858" i="1"/>
  <c r="AE862" i="1"/>
  <c r="AE867" i="1"/>
  <c r="AE880" i="1"/>
  <c r="AE882" i="1"/>
  <c r="AE884" i="1"/>
  <c r="AE886" i="1"/>
  <c r="AE887" i="1"/>
  <c r="AE888" i="1"/>
  <c r="AE890" i="1"/>
  <c r="AE892" i="1"/>
  <c r="AE894" i="1"/>
  <c r="AE896" i="1"/>
  <c r="AE898" i="1"/>
  <c r="AE902" i="1"/>
  <c r="AE904" i="1"/>
  <c r="AE906" i="1"/>
  <c r="AE907" i="1"/>
  <c r="AE908" i="1"/>
  <c r="AE909" i="1"/>
  <c r="AE910" i="1"/>
  <c r="AE912" i="1"/>
  <c r="AE913" i="1"/>
  <c r="AE915" i="1"/>
  <c r="AE917" i="1"/>
  <c r="AE918" i="1"/>
  <c r="AE919" i="1"/>
  <c r="AE920" i="1"/>
  <c r="AE921" i="1"/>
  <c r="AE923" i="1"/>
  <c r="AE924" i="1"/>
  <c r="AE925" i="1"/>
  <c r="AE928" i="1"/>
  <c r="AE930" i="1"/>
  <c r="AE934" i="1"/>
  <c r="AE935" i="1"/>
  <c r="AE936" i="1"/>
  <c r="AE937" i="1"/>
  <c r="AE938" i="1"/>
  <c r="AE939" i="1"/>
  <c r="AE943" i="1"/>
  <c r="AE944" i="1"/>
  <c r="AE946" i="1"/>
  <c r="AE947" i="1"/>
  <c r="AE950" i="1"/>
  <c r="AE952" i="1"/>
  <c r="AE954" i="1"/>
  <c r="AE955" i="1"/>
  <c r="AE956" i="1"/>
  <c r="AE958" i="1"/>
  <c r="AE960" i="1"/>
  <c r="AE961" i="1"/>
  <c r="AE963" i="1"/>
  <c r="AE965" i="1"/>
  <c r="AE966" i="1"/>
  <c r="AE969" i="1"/>
  <c r="AE971" i="1"/>
  <c r="AE973" i="1"/>
  <c r="AE974" i="1"/>
  <c r="AE975" i="1"/>
  <c r="AE976" i="1"/>
  <c r="AE977" i="1"/>
  <c r="AE978" i="1"/>
  <c r="AE979" i="1"/>
  <c r="AE981" i="1"/>
  <c r="AE982" i="1"/>
  <c r="AE983" i="1"/>
  <c r="AE985" i="1"/>
  <c r="AE986" i="1"/>
  <c r="AE987" i="1"/>
  <c r="AE988" i="1"/>
  <c r="AE989" i="1"/>
  <c r="AE992" i="1"/>
  <c r="AE996" i="1"/>
  <c r="AE997" i="1"/>
  <c r="AE998" i="1"/>
  <c r="AE521" i="1"/>
  <c r="B433" i="1" l="1"/>
  <c r="B425" i="1"/>
  <c r="B423" i="1"/>
  <c r="B394" i="1"/>
  <c r="B377" i="1"/>
  <c r="B339" i="1"/>
  <c r="B346" i="1" s="1"/>
  <c r="B293" i="1"/>
  <c r="B291" i="1"/>
  <c r="B272" i="1"/>
  <c r="B221" i="1"/>
  <c r="B207" i="1"/>
  <c r="B360" i="1" l="1"/>
  <c r="B331" i="1"/>
  <c r="B358" i="1"/>
  <c r="B210" i="1"/>
  <c r="B380" i="1"/>
  <c r="B317" i="1"/>
  <c r="B333" i="1" l="1"/>
  <c r="B520" i="1"/>
  <c r="B477" i="1"/>
  <c r="B421" i="1" l="1"/>
  <c r="B436" i="1" l="1"/>
  <c r="B438" i="1" s="1"/>
  <c r="B442" i="1" s="1"/>
  <c r="B382" i="1" l="1"/>
  <c r="B406" i="1" l="1"/>
  <c r="B407" i="1" s="1"/>
  <c r="B409" i="1" l="1"/>
  <c r="B211" i="1" l="1"/>
  <c r="B227" i="1" s="1"/>
  <c r="B279" i="1" l="1"/>
  <c r="B370" i="1"/>
  <c r="B378" i="1" l="1"/>
  <c r="B273" i="1"/>
  <c r="B444" i="1" l="1"/>
  <c r="B505" i="1"/>
  <c r="B507" i="1" s="1"/>
  <c r="B509" i="1" s="1"/>
  <c r="B397" i="1"/>
  <c r="B400" i="1" s="1"/>
  <c r="B267" i="1" s="1"/>
  <c r="B268" i="1" s="1"/>
  <c r="B307" i="1"/>
  <c r="B335" i="1"/>
  <c r="B471" i="1" l="1"/>
  <c r="B309" i="1"/>
  <c r="B368" i="1" l="1"/>
  <c r="B305" i="1" s="1"/>
  <c r="B411" i="1"/>
  <c r="B275" i="1"/>
  <c r="B499" i="1"/>
  <c r="B324" i="1" l="1"/>
  <c r="B446" i="1"/>
  <c r="B500" i="1" s="1"/>
  <c r="B515" i="1" s="1"/>
  <c r="B516" i="1" s="1"/>
  <c r="B451" i="1"/>
  <c r="B457" i="1" s="1"/>
  <c r="B356" i="1"/>
  <c r="B327" i="1"/>
  <c r="B511" i="1"/>
  <c r="B295" i="1"/>
  <c r="B364" i="1"/>
  <c r="B493" i="1" s="1"/>
  <c r="B448" i="1" s="1"/>
  <c r="B449" i="1" s="1"/>
  <c r="B212" i="1" l="1"/>
  <c r="B453" i="1"/>
  <c r="B347" i="1"/>
  <c r="B233" i="1" s="1"/>
  <c r="B322" i="1" s="1"/>
  <c r="B170" i="1"/>
  <c r="B234" i="1" l="1"/>
  <c r="B239" i="1" s="1"/>
  <c r="B240" i="1" s="1"/>
  <c r="B241" i="1" s="1"/>
  <c r="B311" i="1"/>
  <c r="B318" i="1" s="1"/>
  <c r="B246" i="1"/>
  <c r="B171" i="1"/>
  <c r="B404" i="1"/>
  <c r="B431" i="1" s="1"/>
  <c r="B413" i="1" s="1"/>
  <c r="B363" i="1"/>
  <c r="B261" i="1"/>
  <c r="B427" i="1"/>
  <c r="B337" i="1"/>
  <c r="B141" i="1"/>
  <c r="B314" i="1"/>
  <c r="B513" i="1"/>
  <c r="B312" i="1" l="1"/>
  <c r="B366" i="1" s="1"/>
  <c r="B264" i="1"/>
  <c r="B228" i="1"/>
  <c r="B230" i="1" s="1"/>
  <c r="B231" i="1" s="1"/>
  <c r="B490" i="1"/>
  <c r="B502" i="1" s="1"/>
  <c r="B503" i="1" s="1"/>
  <c r="B497" i="1"/>
  <c r="B429" i="1" s="1"/>
  <c r="B315" i="1"/>
  <c r="B325" i="1" s="1"/>
  <c r="B329" i="1" s="1"/>
  <c r="B224" i="1"/>
  <c r="B262" i="1"/>
  <c r="B417" i="1"/>
  <c r="B419" i="1" s="1"/>
  <c r="B395" i="1"/>
  <c r="B164" i="1"/>
  <c r="B166" i="1"/>
  <c r="B167" i="1" s="1"/>
  <c r="B142" i="1"/>
  <c r="B480" i="1" s="1"/>
  <c r="B172" i="1"/>
  <c r="B491" i="1" l="1"/>
  <c r="B495" i="1" s="1"/>
  <c r="B284" i="1"/>
  <c r="B285" i="1" s="1"/>
  <c r="B186" i="1"/>
  <c r="B225" i="1"/>
  <c r="B386" i="1"/>
  <c r="B387" i="1" s="1"/>
  <c r="B388" i="1" s="1"/>
  <c r="B389" i="1" s="1"/>
  <c r="B372" i="1"/>
  <c r="B518" i="1" s="1"/>
  <c r="B192" i="1"/>
  <c r="B277" i="1"/>
  <c r="B398" i="1"/>
  <c r="B344" i="1"/>
  <c r="B222" i="1"/>
  <c r="B151" i="1"/>
  <c r="B236" i="1" l="1"/>
  <c r="B237" i="1" s="1"/>
  <c r="B187" i="1"/>
  <c r="B152" i="1"/>
  <c r="B182" i="1"/>
  <c r="B375" i="1"/>
  <c r="B258" i="1"/>
  <c r="B259" i="1" s="1"/>
  <c r="B349" i="1"/>
  <c r="B269" i="1"/>
  <c r="B270" i="1" s="1"/>
  <c r="B287" i="1" s="1"/>
  <c r="B176" i="1"/>
  <c r="B143" i="1"/>
  <c r="B184" i="1" s="1"/>
  <c r="B154" i="1" s="1"/>
  <c r="B145" i="1"/>
  <c r="B289" i="1" s="1"/>
  <c r="B434" i="1"/>
  <c r="B392" i="1"/>
  <c r="B281" i="1"/>
  <c r="B354" i="1" s="1"/>
  <c r="B488" i="1" s="1"/>
  <c r="B361" i="1"/>
  <c r="B160" i="1" s="1"/>
  <c r="B168" i="1" s="1"/>
  <c r="B139" i="1" s="1"/>
  <c r="B373" i="1" s="1"/>
  <c r="B415" i="1" s="1"/>
  <c r="B320" i="1"/>
  <c r="B472" i="1"/>
  <c r="B178" i="1" s="1"/>
  <c r="B162" i="1" s="1"/>
  <c r="B174" i="1" s="1"/>
  <c r="B384" i="1"/>
  <c r="B218" i="1"/>
  <c r="B352" i="1" s="1"/>
  <c r="B282" i="1" l="1"/>
  <c r="B219" i="1"/>
  <c r="B158" i="1"/>
  <c r="B155" i="1"/>
  <c r="B156" i="1" s="1"/>
  <c r="B252" i="1"/>
  <c r="B253" i="1" s="1"/>
  <c r="B402" i="1"/>
  <c r="B265" i="1" s="1"/>
  <c r="B440" i="1"/>
  <c r="B458" i="1"/>
  <c r="B214" i="1" s="1"/>
  <c r="B215" i="1" s="1"/>
  <c r="B216" i="1" s="1"/>
  <c r="B147" i="1"/>
  <c r="B149" i="1"/>
  <c r="B300" i="1"/>
  <c r="B469" i="1" s="1"/>
  <c r="B297" i="1"/>
  <c r="B243" i="1" l="1"/>
  <c r="B244" i="1" s="1"/>
  <c r="B247" i="1" s="1"/>
  <c r="B249" i="1" s="1"/>
  <c r="B250" i="1" s="1"/>
  <c r="B255" i="1" s="1"/>
  <c r="B256" i="1" s="1"/>
  <c r="B298" i="1"/>
  <c r="B301" i="1" s="1"/>
  <c r="B303" i="1" s="1"/>
  <c r="B455" i="1" s="1"/>
  <c r="B463" i="1" s="1"/>
  <c r="B465" i="1" s="1"/>
  <c r="B467" i="1" s="1"/>
  <c r="B474" i="1" s="1"/>
  <c r="B478" i="1" l="1"/>
  <c r="B482" i="1" s="1"/>
  <c r="B484" i="1" s="1"/>
  <c r="B486" i="1" s="1"/>
  <c r="B475" i="1"/>
  <c r="B460" i="1" s="1"/>
  <c r="B461" i="1" s="1"/>
  <c r="B208" i="1"/>
  <c r="B341" i="1"/>
  <c r="B3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749" authorId="0" shapeId="0" xr:uid="{98ECA97B-D74F-44D8-BC88-3ED6CF03A098}">
      <text>
        <r>
          <rPr>
            <sz val="10"/>
            <color rgb="FF000000"/>
            <rFont val="Calibri"/>
            <family val="2"/>
            <scheme val="minor"/>
          </rPr>
          <t>Responder updated this value.</t>
        </r>
      </text>
    </comment>
    <comment ref="B755" authorId="0" shapeId="0" xr:uid="{01A1DEA0-F5D0-4580-B042-098E36146CF7}">
      <text>
        <r>
          <rPr>
            <sz val="10"/>
            <color rgb="FF000000"/>
            <rFont val="Calibri"/>
            <family val="2"/>
            <scheme val="minor"/>
          </rPr>
          <t>Responder updated this value.</t>
        </r>
      </text>
    </comment>
    <comment ref="B756" authorId="0" shapeId="0" xr:uid="{E1747E35-6CDA-444F-BB1F-9892A3858F74}">
      <text>
        <r>
          <rPr>
            <sz val="10"/>
            <color rgb="FF000000"/>
            <rFont val="Calibri"/>
            <family val="2"/>
            <scheme val="minor"/>
          </rPr>
          <t>Responder updated this value.</t>
        </r>
      </text>
    </comment>
  </commentList>
</comments>
</file>

<file path=xl/sharedStrings.xml><?xml version="1.0" encoding="utf-8"?>
<sst xmlns="http://schemas.openxmlformats.org/spreadsheetml/2006/main" count="25270" uniqueCount="10414">
  <si>
    <t>Division</t>
  </si>
  <si>
    <t>Full English name (at least 4 names)</t>
  </si>
  <si>
    <t>Arabic Name</t>
  </si>
  <si>
    <t>Email</t>
  </si>
  <si>
    <t>Mobile number</t>
  </si>
  <si>
    <t>Employer (School/Organization name)</t>
  </si>
  <si>
    <t>Column7</t>
  </si>
  <si>
    <t>Column8</t>
  </si>
  <si>
    <t>Insurance number (الرقم التأمينى)</t>
  </si>
  <si>
    <t>Institution tax number (الرقم الضريبي للمنشأة أو المدرسة)</t>
  </si>
  <si>
    <t>National ID number</t>
  </si>
  <si>
    <t>National ID picture</t>
  </si>
  <si>
    <t>Personal Photo</t>
  </si>
  <si>
    <t>Preferred proctoring city</t>
  </si>
  <si>
    <t>Preferred test center</t>
  </si>
  <si>
    <t>Full name (as per bank account)</t>
  </si>
  <si>
    <t>Name of bank</t>
  </si>
  <si>
    <t>branch name</t>
  </si>
  <si>
    <t>Account number</t>
  </si>
  <si>
    <t>IBAN number (please contact your bank to get it)</t>
  </si>
  <si>
    <t>Role</t>
  </si>
  <si>
    <t>Type</t>
  </si>
  <si>
    <t>Governorate</t>
  </si>
  <si>
    <t>Address In Arabic</t>
  </si>
  <si>
    <t>Building</t>
  </si>
  <si>
    <t>Location</t>
  </si>
  <si>
    <t>bank divid</t>
  </si>
  <si>
    <t>BANK CODE</t>
  </si>
  <si>
    <t>BRANCH CODE- Emp code</t>
  </si>
  <si>
    <t>New/OLD</t>
  </si>
  <si>
    <t>EST2</t>
  </si>
  <si>
    <t>Head</t>
  </si>
  <si>
    <t>Damietta</t>
  </si>
  <si>
    <t>AASTM-Abuqir</t>
  </si>
  <si>
    <t>Sphinx Alex</t>
  </si>
  <si>
    <t>Mr.Osama El-Mahdy</t>
  </si>
  <si>
    <t>اسامة محمد زكى المهدى</t>
  </si>
  <si>
    <t>osama.elmahdy@york-press.com</t>
  </si>
  <si>
    <t>201223199310</t>
  </si>
  <si>
    <t>26303210201093</t>
  </si>
  <si>
    <t>National Bank of Egypt (NBE)</t>
  </si>
  <si>
    <t>146</t>
  </si>
  <si>
    <t>Head of EST</t>
  </si>
  <si>
    <t>IP</t>
  </si>
  <si>
    <t>Alexandria</t>
  </si>
  <si>
    <t>الاكاديمية العربية شارع الأكاديمية البحرية طوسون خلف مساكن الضباط ابو قير</t>
  </si>
  <si>
    <t>Arab Academy Abu Qir Faculty of Pharmacy</t>
  </si>
  <si>
    <t>https://goo.gl/maps/cewVB2jrAMJy8Bxp6</t>
  </si>
  <si>
    <t>NBEGEGCXXXX</t>
  </si>
  <si>
    <t>Old</t>
  </si>
  <si>
    <t>Hany Abdel Aziz Aboelmagd</t>
  </si>
  <si>
    <t>hany.abdelaziz@york-press.com</t>
  </si>
  <si>
    <t>201068801463</t>
  </si>
  <si>
    <t>27401090202355</t>
  </si>
  <si>
    <t>84</t>
  </si>
  <si>
    <t>Dina Hasan Mohamed</t>
  </si>
  <si>
    <t>دينا حسن محمد عبدالرحمن</t>
  </si>
  <si>
    <t>dina.hassan@york-press.com</t>
  </si>
  <si>
    <t>201068801455</t>
  </si>
  <si>
    <t>29101010228085</t>
  </si>
  <si>
    <t>81</t>
  </si>
  <si>
    <t>Nashwa yehia Mohamed</t>
  </si>
  <si>
    <t>نشوى يحيى محمد ابو راجح</t>
  </si>
  <si>
    <t>nashwa.yehia@york-press.com</t>
  </si>
  <si>
    <t>201005107234</t>
  </si>
  <si>
    <t>27902280200706</t>
  </si>
  <si>
    <t>Control room assistant</t>
  </si>
  <si>
    <t>80</t>
  </si>
  <si>
    <t>Heba abdelkreem houssin</t>
  </si>
  <si>
    <t xml:space="preserve">هبه عبدالكريم حسين عبدالمحسن </t>
  </si>
  <si>
    <t>H.Dardiry86@gmail.com</t>
  </si>
  <si>
    <t>201060678222</t>
  </si>
  <si>
    <t>83</t>
  </si>
  <si>
    <t>2nd Floor</t>
  </si>
  <si>
    <t>Loai Abdelsalam Mostafa</t>
  </si>
  <si>
    <t>لؤى عبدالسلام مصطفى</t>
  </si>
  <si>
    <t>loaiabdelsalam84@gmail.com</t>
  </si>
  <si>
    <t>201068801467</t>
  </si>
  <si>
    <t>Senior</t>
  </si>
  <si>
    <t>86</t>
  </si>
  <si>
    <t>Alex-EP</t>
  </si>
  <si>
    <t>Mona Reda Bader Bader Ibrahim</t>
  </si>
  <si>
    <t xml:space="preserve">مني رضا بدر بدر ابراهيم </t>
  </si>
  <si>
    <t>monareda1982@yahoo.com</t>
  </si>
  <si>
    <t>201226352210</t>
  </si>
  <si>
    <t xml:space="preserve">New Elquds International School </t>
  </si>
  <si>
    <t>International school</t>
  </si>
  <si>
    <t xml:space="preserve">Executive Secretary owner school </t>
  </si>
  <si>
    <t>28208010203207</t>
  </si>
  <si>
    <t>https://drive.google.com/open?id=1BkjJURat8pn3LGrkf0E2xhAIJT1C3ZMZ</t>
  </si>
  <si>
    <t>https://drive.google.com/open?id=13KG0eWm5PXG_Peoemrst5nCpAGl_3Y7p</t>
  </si>
  <si>
    <t>ALEXANDRIA - Arab Academy for Science, Technology, and Maritime Transport (Abu Qir)</t>
  </si>
  <si>
    <t xml:space="preserve">Mona Reda Bader Bader Ibrahim </t>
  </si>
  <si>
    <t>QNB</t>
  </si>
  <si>
    <t xml:space="preserve">Miami  </t>
  </si>
  <si>
    <t>1002531452803</t>
  </si>
  <si>
    <t>EG120037072408181002531452803</t>
  </si>
  <si>
    <t>Roaming</t>
  </si>
  <si>
    <t>EP</t>
  </si>
  <si>
    <t>QNBAEGCXXXX</t>
  </si>
  <si>
    <t>0724</t>
  </si>
  <si>
    <t xml:space="preserve">ABDEL MALAK Youssef Abdelmalak Youssef </t>
  </si>
  <si>
    <t xml:space="preserve">عبد الملاك يوسف عبد الملاك يوسف </t>
  </si>
  <si>
    <t xml:space="preserve">wael_mina@yahoo.com </t>
  </si>
  <si>
    <t>201227041526</t>
  </si>
  <si>
    <t xml:space="preserve">Pioneers International School </t>
  </si>
  <si>
    <t xml:space="preserve">Teacher </t>
  </si>
  <si>
    <t>https://drive.google.com/open?id=1VB-wp4096qKSFGtTDo0MwgfcFi3C0QEs</t>
  </si>
  <si>
    <t>https://drive.google.com/open?id=1VtdB49NfOJMYIaGC-UFTiLibyWPkTxvf</t>
  </si>
  <si>
    <t xml:space="preserve">ABDEL MALAK Youssef Abdelmalak </t>
  </si>
  <si>
    <t>زيزينيا</t>
  </si>
  <si>
    <t>2085000484964400017</t>
  </si>
  <si>
    <t>EG430003020850004849644000170</t>
  </si>
  <si>
    <t>Shady ahmed kassem tamo</t>
  </si>
  <si>
    <t xml:space="preserve">شادي احمد قاسم طامو </t>
  </si>
  <si>
    <t>Shadytamo11@gmail.com</t>
  </si>
  <si>
    <t>201551781487</t>
  </si>
  <si>
    <t xml:space="preserve">Forsan </t>
  </si>
  <si>
    <t xml:space="preserve">Admin </t>
  </si>
  <si>
    <t>0000</t>
  </si>
  <si>
    <t>29711110200997</t>
  </si>
  <si>
    <t>https://drive.google.com/open?id=1Mxib22l6IEkm20AYegP-aIx6VfvHZN04</t>
  </si>
  <si>
    <t>https://drive.google.com/open?id=1rDS-49CjqNvViZaT595mxvtGHjJHhZ7M</t>
  </si>
  <si>
    <t xml:space="preserve">E bank  البنك المصري لتنمية الصادرات  </t>
  </si>
  <si>
    <t>Roshdy</t>
  </si>
  <si>
    <t>5321445268500020</t>
  </si>
  <si>
    <t>EG980061005606201203685001017</t>
  </si>
  <si>
    <t xml:space="preserve">Proctor </t>
  </si>
  <si>
    <t>EXDEEGCXXXX</t>
  </si>
  <si>
    <t>0005</t>
  </si>
  <si>
    <t xml:space="preserve">Nirveen Samir Ibrahim Mohamed </t>
  </si>
  <si>
    <t>نرفين سمير ابراهيم محمد على غويل</t>
  </si>
  <si>
    <t xml:space="preserve">Nirveenghoweil@gmail.com </t>
  </si>
  <si>
    <t>201007812834</t>
  </si>
  <si>
    <t xml:space="preserve">Egyptian American School </t>
  </si>
  <si>
    <t xml:space="preserve">English and Social Studies teacher </t>
  </si>
  <si>
    <t>None</t>
  </si>
  <si>
    <t>https://drive.google.com/open?id=1RiAB2KgnTZLodXMSecrL5p7hgNEu00lz</t>
  </si>
  <si>
    <t>https://drive.google.com/open?id=1Yx3mg_BLQQZQPhxE3tNfc7EK03hemKZX</t>
  </si>
  <si>
    <t xml:space="preserve">Nirveen Samir Ibrahim Mohamed Ali Ghoweil </t>
  </si>
  <si>
    <t>Kiroseze Alexandria</t>
  </si>
  <si>
    <t>2265000248636100016</t>
  </si>
  <si>
    <t>EG920003022650002486361000160</t>
  </si>
  <si>
    <t>0226</t>
  </si>
  <si>
    <t>Nouran Mohamed Mostafa Negm</t>
  </si>
  <si>
    <t>nourannegm1993@gmail.com</t>
  </si>
  <si>
    <t>201112977533</t>
  </si>
  <si>
    <t>Antoniadis International School</t>
  </si>
  <si>
    <t>English teacher</t>
  </si>
  <si>
    <t>https://drive.google.com/open?id=1tcLbyihNJPpkIyL6rLVWRUcdEK7L_ILO</t>
  </si>
  <si>
    <t>https://drive.google.com/open?id=1Ksm9nPxrW-Ncw2-tI2mXl_ne33N8NqUQ</t>
  </si>
  <si>
    <t xml:space="preserve">Nouran Mohamed </t>
  </si>
  <si>
    <t>Loran</t>
  </si>
  <si>
    <t>CIBEEGCXXXX</t>
  </si>
  <si>
    <t>0034</t>
  </si>
  <si>
    <t>Aya Mohamed Ahmed El Sayed</t>
  </si>
  <si>
    <t>ايه محمد احمد السيد</t>
  </si>
  <si>
    <t>aelhadad907@gmail.com</t>
  </si>
  <si>
    <t>201221888776</t>
  </si>
  <si>
    <t>Egyptian British International School</t>
  </si>
  <si>
    <t>English Teacher</t>
  </si>
  <si>
    <t>https://drive.google.com/open?id=1qbUdfWEkSW_T6X8OkVXr39C3kiNT-25-</t>
  </si>
  <si>
    <t>https://drive.google.com/open?id=1ALgdyy0exNvuou3t5Zq5p6aGiGiG3BJ7</t>
  </si>
  <si>
    <t>AYA MOHAMED AHMED ELSAYED</t>
  </si>
  <si>
    <t>San Stefano</t>
  </si>
  <si>
    <t>006853040001</t>
  </si>
  <si>
    <t>EG690019002600000006853040001</t>
  </si>
  <si>
    <t>New</t>
  </si>
  <si>
    <t>Heba Atia AbdRabo Atia</t>
  </si>
  <si>
    <t>هبه عطيه عبد ربه عطيه</t>
  </si>
  <si>
    <t>hebaatia22@gmail.com</t>
  </si>
  <si>
    <t>201011583940</t>
  </si>
  <si>
    <t>Dream school</t>
  </si>
  <si>
    <t>National school</t>
  </si>
  <si>
    <t>https://drive.google.com/open?id=18F3P4CRJOFiR0R8lUQa_8odnUHj_1jGf</t>
  </si>
  <si>
    <t>https://drive.google.com/open?id=1Serzs0tsuWnRdLLHBvKN4-SpEzfdH8hm</t>
  </si>
  <si>
    <t>BANQUE MISR</t>
  </si>
  <si>
    <t>فرع المنتزة</t>
  </si>
  <si>
    <t>5590333000003360</t>
  </si>
  <si>
    <t>EG810002055905590333000003362</t>
  </si>
  <si>
    <t>BMISEGCXXXX</t>
  </si>
  <si>
    <t>0559</t>
  </si>
  <si>
    <t>Lamia Sameh Mahmoud Anis Saleh</t>
  </si>
  <si>
    <t>لمياء سامح محمود انيس صالح</t>
  </si>
  <si>
    <t>lamia.sameh.mahmoud@gmail.com</t>
  </si>
  <si>
    <t>201098823335</t>
  </si>
  <si>
    <t>New Sidi Gaber Language School (New SLS)</t>
  </si>
  <si>
    <t>28608170200709</t>
  </si>
  <si>
    <t>https://drive.google.com/open?id=1fwjh0shYij3PJYGQl7R5qT5VEQqbnV9M</t>
  </si>
  <si>
    <t>https://drive.google.com/open?id=1RqcyetDovV0Z0si6Id8-1omK2vyASFf6</t>
  </si>
  <si>
    <t>Tosson Branch</t>
  </si>
  <si>
    <t>2015000561794300021</t>
  </si>
  <si>
    <t>EG910003020150005617943000210</t>
  </si>
  <si>
    <t>0201</t>
  </si>
  <si>
    <t>Maisoun Wahid Mohamed Aly</t>
  </si>
  <si>
    <t>ميسون وحيد محمد علي</t>
  </si>
  <si>
    <t>Wmaysoun2@gmail.com</t>
  </si>
  <si>
    <t>201225135620</t>
  </si>
  <si>
    <t>New Sidi Gaber Language School (Ring Road)</t>
  </si>
  <si>
    <t xml:space="preserve">Art Teacher </t>
  </si>
  <si>
    <t>https://drive.google.com/open?id=1LFFAn83a3sap_thwZ2RqWDNNjxdS4KEm</t>
  </si>
  <si>
    <t>https://drive.google.com/open?id=1jY3DmAbFgjj4eaf_UHu40MfyjGbZBjvh</t>
  </si>
  <si>
    <t>Maisoun wahid mohame</t>
  </si>
  <si>
    <t>Zezenia  branch</t>
  </si>
  <si>
    <t>2085000635573100016</t>
  </si>
  <si>
    <t>EG700003020850006355731000160</t>
  </si>
  <si>
    <t>3rd Floor</t>
  </si>
  <si>
    <t>Islam Ahmed Abdelghany</t>
  </si>
  <si>
    <t>اسلام احمد عبدالغنى عبدالقادر</t>
  </si>
  <si>
    <t>eslamelmasry79@gmail.com</t>
  </si>
  <si>
    <t>201068801454</t>
  </si>
  <si>
    <t>27912070200539</t>
  </si>
  <si>
    <t>87</t>
  </si>
  <si>
    <t>Yousra Ahmed  Desokey El Shazly</t>
  </si>
  <si>
    <t>يسرا احمد دسوقي الشاذلي</t>
  </si>
  <si>
    <t>yousraelshazly715@gmail.com</t>
  </si>
  <si>
    <t>201068381891</t>
  </si>
  <si>
    <t>British Language School</t>
  </si>
  <si>
    <t>English Coordinator</t>
  </si>
  <si>
    <t>28808081805264</t>
  </si>
  <si>
    <t>https://drive.google.com/open?id=1H9Qbm_k4am1Jra54BfjCqzSUKnzj0v_W</t>
  </si>
  <si>
    <t>https://drive.google.com/open?id=1Ws0UYZAln3aGsWE9sOgBdxsYL73Q7vZ4</t>
  </si>
  <si>
    <t>YOUSRA AHMED DESOUKY ABDELMGED ELSHAZLY</t>
  </si>
  <si>
    <t>FABMISR  بنك ابو ظبى الاول</t>
  </si>
  <si>
    <t>005458070001</t>
  </si>
  <si>
    <t>EG260019002600000005458070001</t>
  </si>
  <si>
    <t>NBADEGCAXXX</t>
  </si>
  <si>
    <t>0026</t>
  </si>
  <si>
    <t>Shimaa Ezzat Abdallah Elshiekh</t>
  </si>
  <si>
    <t xml:space="preserve">شيماء عزت عبدالله الشيخ </t>
  </si>
  <si>
    <t>Roqaia.said25@gmail.com</t>
  </si>
  <si>
    <t>201063790617</t>
  </si>
  <si>
    <t xml:space="preserve">مدرسه سيدي جابر لغات بنات </t>
  </si>
  <si>
    <t xml:space="preserve">مدرس اول قران ولغه عربيه </t>
  </si>
  <si>
    <t>none</t>
  </si>
  <si>
    <t>28506061802289</t>
  </si>
  <si>
    <t>https://drive.google.com/open?id=1tIzQtW18ZrzwFm4PtBGCre3o-x_Uc8io</t>
  </si>
  <si>
    <t>https://drive.google.com/open?id=1Ipt1xgM6g_mziY2oyrFoWZ5nhcHpfkkw</t>
  </si>
  <si>
    <t>سموحة</t>
  </si>
  <si>
    <t>2115000881916501011</t>
  </si>
  <si>
    <t>EG060003021150008819165010110</t>
  </si>
  <si>
    <t>0211</t>
  </si>
  <si>
    <t>Yasmina Mohammed Ibrahim Al-Ghannam,</t>
  </si>
  <si>
    <t xml:space="preserve">ياسمينا محمد ابراهيم الغنام </t>
  </si>
  <si>
    <t>yasmina210aa@gmail.com</t>
  </si>
  <si>
    <t>201005779359</t>
  </si>
  <si>
    <t xml:space="preserve">Modern American school </t>
  </si>
  <si>
    <t>https://drive.google.com/open?id=1BRJ7i7FvuvnJSGUoUbmXc89412zCtdgK</t>
  </si>
  <si>
    <t>https://drive.google.com/open?id=1UfpnL8ItKl-ZZmtY4UQbaAoAGN8ITKD0</t>
  </si>
  <si>
    <t>ياسمينا محمد ابراهيم محمد الغنام</t>
  </si>
  <si>
    <t xml:space="preserve">جامعة الإسكندرية </t>
  </si>
  <si>
    <t>2075000326188600014</t>
  </si>
  <si>
    <t>EG320003020750003261886000140</t>
  </si>
  <si>
    <t>Esraa Mamdouh Mohamed Mahmoud</t>
  </si>
  <si>
    <t>esraamamdouh1993@gmail.com</t>
  </si>
  <si>
    <t>201099300870</t>
  </si>
  <si>
    <t xml:space="preserve">Modern science language school </t>
  </si>
  <si>
    <t xml:space="preserve">English Teacher </t>
  </si>
  <si>
    <t>https://drive.google.com/open?id=1-DV69hvRnZl60-55OEy55bEYQBNecOKQ</t>
  </si>
  <si>
    <t>https://drive.google.com/open?id=1noaGrSvRvH0xSNGDivhTRl3mHmNhDiN-</t>
  </si>
  <si>
    <t>اسراء ممدوح محمد محمود العدوي</t>
  </si>
  <si>
    <t>Al Dekhila</t>
  </si>
  <si>
    <t>4390111000002483</t>
  </si>
  <si>
    <t>EG780002043904390111000002483</t>
  </si>
  <si>
    <t>Sherien Farahat Abdeljawad Alwakeel</t>
  </si>
  <si>
    <t>شيرين فرحات عبدالجواد الوكيل</t>
  </si>
  <si>
    <t>sherienfarahat@gmail.com</t>
  </si>
  <si>
    <t>201010753396</t>
  </si>
  <si>
    <t>Egyptian American School</t>
  </si>
  <si>
    <t>Teacher</t>
  </si>
  <si>
    <t>27403121501626</t>
  </si>
  <si>
    <t>https://drive.google.com/open?id=1OFdmWJThyo_Wyt7opZkMfVrhFhWM8nzj</t>
  </si>
  <si>
    <t>https://drive.google.com/open?id=18WC2lfl2tShdzTW8w48f8f9lrxeMGLTZ</t>
  </si>
  <si>
    <t>Sherien Farahat Abdelgawad Alwakeel</t>
  </si>
  <si>
    <t>Banque du caire</t>
  </si>
  <si>
    <t>Sidi Bishr</t>
  </si>
  <si>
    <t>02605010029605</t>
  </si>
  <si>
    <t>EG590004209000002605010029605</t>
  </si>
  <si>
    <t>BCAIEGCXXXX</t>
  </si>
  <si>
    <t>2090</t>
  </si>
  <si>
    <t>Yara Hazem Abdelfatah Elquersh</t>
  </si>
  <si>
    <t xml:space="preserve">يارا حازم عبد الفتاح القرش </t>
  </si>
  <si>
    <t>yarahazem488@gmail.com</t>
  </si>
  <si>
    <t>201221535522</t>
  </si>
  <si>
    <t xml:space="preserve">New el quds international schools </t>
  </si>
  <si>
    <t>Business and economic coordinator</t>
  </si>
  <si>
    <t>https://drive.google.com/open?id=1b17uk8VxRwpeQAPohuI4P65yrH5Bcopy</t>
  </si>
  <si>
    <t>https://drive.google.com/open?id=1KYfdG07Ays010sG7g-jjNKoWREyoJ1Kz</t>
  </si>
  <si>
    <t xml:space="preserve">يارا حازم عبد الفتاح عبد اللطيف القرش </t>
  </si>
  <si>
    <t xml:space="preserve">Sanstifano </t>
  </si>
  <si>
    <t>2185001159630101019</t>
  </si>
  <si>
    <t>EG340003021850011596301010190</t>
  </si>
  <si>
    <t>Christine Youssef</t>
  </si>
  <si>
    <t>كرستين يوسف فهمي زكريا</t>
  </si>
  <si>
    <t>Keryyoussef77@gmail.com</t>
  </si>
  <si>
    <t>201001498543</t>
  </si>
  <si>
    <t>Pioneers international school</t>
  </si>
  <si>
    <t>https://drive.google.com/open?id=1B7Qr7k2rHjxPQtZF2krXj0BAouG_Q3JJ</t>
  </si>
  <si>
    <t>https://drive.google.com/open?id=1EWk7v6NsUwZGikFXvJiXUpb6BlOnQg_U</t>
  </si>
  <si>
    <t>Cib mahrosaa</t>
  </si>
  <si>
    <t>EG490010018700000100030385467</t>
  </si>
  <si>
    <t>Jermine abdelmalak danial zakary</t>
  </si>
  <si>
    <t>جيرمين عبد الملاك دانيال زخاري</t>
  </si>
  <si>
    <t>Jinawael1@gmail.com</t>
  </si>
  <si>
    <t>201277555090</t>
  </si>
  <si>
    <t>https://drive.google.com/open?id=1B504-aTzOwVdTrMiVboVR81DYHFQRd1U</t>
  </si>
  <si>
    <t>https://drive.google.com/open?id=1XgDh1jgVEJCJcT0S4_tvoAKRzWeGe9cn</t>
  </si>
  <si>
    <t>Commercial International Bank (CIB)</t>
  </si>
  <si>
    <t>Montazah</t>
  </si>
  <si>
    <t>100030385448</t>
  </si>
  <si>
    <t>EG770010018700000100030385448</t>
  </si>
  <si>
    <t>0187</t>
  </si>
  <si>
    <t>4th Floor</t>
  </si>
  <si>
    <t>Karim Mostafa Ezeldien</t>
  </si>
  <si>
    <t>كريم مصطفى عز الدين عبدالمنعم</t>
  </si>
  <si>
    <t>karim_ez@yahoo.com</t>
  </si>
  <si>
    <t>201068801469</t>
  </si>
  <si>
    <t>79</t>
  </si>
  <si>
    <t>Mona Mohamed Abdel Aziz Shama</t>
  </si>
  <si>
    <t>مني محمد عبد العزيز شامه</t>
  </si>
  <si>
    <t>monashama109@gmail.com</t>
  </si>
  <si>
    <t>201002750992</t>
  </si>
  <si>
    <t xml:space="preserve">Math teacher and coordinator </t>
  </si>
  <si>
    <t>28708300200085</t>
  </si>
  <si>
    <t>https://drive.google.com/open?id=1kQbbKJ0r3ib10p5sgjURagPM5PWwy-gk</t>
  </si>
  <si>
    <t>https://drive.google.com/open?id=1hDS4pG81XYakoC0jOxA4gGS065MTYYkN</t>
  </si>
  <si>
    <t>منى محمد عبدالعزيز شامه</t>
  </si>
  <si>
    <t xml:space="preserve">الشلالات </t>
  </si>
  <si>
    <t>2245000244063100018</t>
  </si>
  <si>
    <t>EG680003022450002440631000180</t>
  </si>
  <si>
    <t>0224</t>
  </si>
  <si>
    <t>Ehab mohamed ali mohamed freiha</t>
  </si>
  <si>
    <t>ايهاب محمد على محمد فريحة</t>
  </si>
  <si>
    <t>Ehabfreha@gmail.com</t>
  </si>
  <si>
    <t>201001596945</t>
  </si>
  <si>
    <t>Taymour English School</t>
  </si>
  <si>
    <t>Computer teacher</t>
  </si>
  <si>
    <t>479-533-202</t>
  </si>
  <si>
    <t>https://drive.google.com/open?id=1kCL5KGthpN1xBTeRMnaCGpwOL8k8olEp</t>
  </si>
  <si>
    <t>https://drive.google.com/open?id=1XFlyfTJeL3k-PAUGHO7w9YhWNU9VnBXD</t>
  </si>
  <si>
    <t>Aihab Mohamed Ali Mohamed Fariha</t>
  </si>
  <si>
    <t>CREDIT AGRICIOLE</t>
  </si>
  <si>
    <t>Roushdy Brach</t>
  </si>
  <si>
    <t>01021430002614</t>
  </si>
  <si>
    <t>EG650036000100001021430002614</t>
  </si>
  <si>
    <t>AGRIEGCXXXX</t>
  </si>
  <si>
    <t>0001</t>
  </si>
  <si>
    <t>Amir Mohamed Ahmed Ibrahim Khairy</t>
  </si>
  <si>
    <t>amirkhairy85@gmail.com</t>
  </si>
  <si>
    <t>201270434045</t>
  </si>
  <si>
    <t>New El Quds International School</t>
  </si>
  <si>
    <t>Floor Supervisor</t>
  </si>
  <si>
    <t>https://drive.google.com/open?id=1ySTQPBVQqpOXDqw4xvIbT_QJX2IT72wl</t>
  </si>
  <si>
    <t>https://drive.google.com/open?id=1LVm-Gq8i2x9MmuvkhLM-IO3ahI_XRELu</t>
  </si>
  <si>
    <t>امير محمد احمد ابراهيم خيري</t>
  </si>
  <si>
    <t xml:space="preserve">Silvia Bishara Aziz Bishara </t>
  </si>
  <si>
    <t xml:space="preserve">سيلڤيا بشارة عزيز بشارة </t>
  </si>
  <si>
    <t>solly.bishara@gmail.com</t>
  </si>
  <si>
    <t>201023032904</t>
  </si>
  <si>
    <t xml:space="preserve">Egyptian British international school </t>
  </si>
  <si>
    <t xml:space="preserve">Math Coordinator </t>
  </si>
  <si>
    <t>28606210200461</t>
  </si>
  <si>
    <t>https://drive.google.com/open?id=1GRBob5oZFizTJH5EMwekcM9jSBZDElGp</t>
  </si>
  <si>
    <t>https://drive.google.com/open?id=1223tGVwdaydbsktgEm-l_gQWjVmdwLcr</t>
  </si>
  <si>
    <t>SELVIA BSHARA AZIZ BSHARA</t>
  </si>
  <si>
    <t xml:space="preserve">San Stefano </t>
  </si>
  <si>
    <t>005461140001</t>
  </si>
  <si>
    <t>EG180019002600000005461140001</t>
  </si>
  <si>
    <t>Hend Mohamed yacout El saied</t>
  </si>
  <si>
    <t>هند محمد ياقوت السيد</t>
  </si>
  <si>
    <t>yakouthend@gmail.com</t>
  </si>
  <si>
    <t>201226259961</t>
  </si>
  <si>
    <t>https://drive.google.com/open?id=1LY0t8yEY995uVBvLOTd2WneBJgtXwwjq</t>
  </si>
  <si>
    <t>https://drive.google.com/open?id=1GqTVi8UlL_VsBRNgrxJZQyAuZhg1t76z</t>
  </si>
  <si>
    <t>Hend Mohamed yakout</t>
  </si>
  <si>
    <t>El Hanovel El Agame</t>
  </si>
  <si>
    <t>4390332000009331</t>
  </si>
  <si>
    <t>EG130002043904390332000009331</t>
  </si>
  <si>
    <t>0439</t>
  </si>
  <si>
    <t xml:space="preserve">Salma Adel Gaber Ibrahim </t>
  </si>
  <si>
    <t>سلمى عادل جابر ابراهيم</t>
  </si>
  <si>
    <t>salmaadel.199566@gmail.com</t>
  </si>
  <si>
    <t>201065796603</t>
  </si>
  <si>
    <t xml:space="preserve">Everest international school </t>
  </si>
  <si>
    <t xml:space="preserve">English teacher </t>
  </si>
  <si>
    <t>https://drive.google.com/open?id=1Q3d7z2lGM0-GZpinMMIkUfdQ22d6lqs2</t>
  </si>
  <si>
    <t>https://drive.google.com/open?id=1LMt6zWosDOVgSdbh9Ynu24UI1681fZbC</t>
  </si>
  <si>
    <t xml:space="preserve">محطة الرمل </t>
  </si>
  <si>
    <t>EG850037016508181130867700158</t>
  </si>
  <si>
    <t xml:space="preserve">Mai Hassan ahmed Mahmoud </t>
  </si>
  <si>
    <t xml:space="preserve">Maihassanahmed23@gmail.com </t>
  </si>
  <si>
    <t>201208706468</t>
  </si>
  <si>
    <t xml:space="preserve"> Side Jaber </t>
  </si>
  <si>
    <t>https://drive.google.com/open?id=108EXWZpIoKHeSvqDEPBU2TrJIevL2fZt</t>
  </si>
  <si>
    <t>https://drive.google.com/open?id=1ivZMUI6m9om2sWvJ1sVk-cP1Fc5ot09s</t>
  </si>
  <si>
    <t xml:space="preserve">Mai Hassan ahmed </t>
  </si>
  <si>
    <t>2245001076549801011</t>
  </si>
  <si>
    <t>EG120003022450010765498010110</t>
  </si>
  <si>
    <t xml:space="preserve">Nivan Abd el Fattah Abd el Rahman Zeid Mohamed </t>
  </si>
  <si>
    <t>نيفان عبد الفتاح عبد الرحمن زيد محمد</t>
  </si>
  <si>
    <t>nivan.hossam@gmail.com</t>
  </si>
  <si>
    <t>201060049919</t>
  </si>
  <si>
    <t xml:space="preserve">Egyptian British International school </t>
  </si>
  <si>
    <t xml:space="preserve">Chemistry teacher </t>
  </si>
  <si>
    <t>https://drive.google.com/open?id=1eYeIy_AhcdHqnxYvR7AwAt-J2bxFfUA4</t>
  </si>
  <si>
    <t>https://drive.google.com/open?id=1DxUBwIxAtUmsdfbxz56xhk_8vnNx2DYn</t>
  </si>
  <si>
    <t>صلاح سالم- اسلامي</t>
  </si>
  <si>
    <t>4920245000030473</t>
  </si>
  <si>
    <t>EG700002049204920245000030473</t>
  </si>
  <si>
    <t>5th Floor</t>
  </si>
  <si>
    <t>Amany Aly Abdeldayem</t>
  </si>
  <si>
    <t>امانى على عبد الدايم محمد</t>
  </si>
  <si>
    <t>Amanyaly30@gmail.com</t>
  </si>
  <si>
    <t>201111608231</t>
  </si>
  <si>
    <t>29405050203564</t>
  </si>
  <si>
    <t>98</t>
  </si>
  <si>
    <t>Sama Mansour mostafa</t>
  </si>
  <si>
    <t>سما منصور مصطفى الشيخ</t>
  </si>
  <si>
    <t>Sama.elshiekh@york-press.com</t>
  </si>
  <si>
    <t>201140800353</t>
  </si>
  <si>
    <t>30006080200326</t>
  </si>
  <si>
    <t>144</t>
  </si>
  <si>
    <t xml:space="preserve">Ayman Nabil Ahmed abdelmaksoud </t>
  </si>
  <si>
    <t xml:space="preserve">Aymannabilrezk@gmail.com </t>
  </si>
  <si>
    <t>201019051929</t>
  </si>
  <si>
    <t xml:space="preserve">Ryada amircan school </t>
  </si>
  <si>
    <t xml:space="preserve">Floor supervisor </t>
  </si>
  <si>
    <t>Non</t>
  </si>
  <si>
    <t>https://drive.google.com/open?id=1ZM_sj0dbEFlT7A7E8S6k6MexTb4jhkdd</t>
  </si>
  <si>
    <t>https://drive.google.com/open?id=1cXMcv_DB8I13Oo-aCw2PMaq6tgfokhPb</t>
  </si>
  <si>
    <t>أيمن نبيل أحمد عبد المقصود رزق</t>
  </si>
  <si>
    <t>smoha</t>
  </si>
  <si>
    <t>100066020341</t>
  </si>
  <si>
    <t>EG280010003400000100066020341</t>
  </si>
  <si>
    <t>Marwa AbdelMoez Ahmed Ali Lila</t>
  </si>
  <si>
    <t>marwaaalila@gmail.com</t>
  </si>
  <si>
    <t>201157444752</t>
  </si>
  <si>
    <t xml:space="preserve">Egyptian English Language School </t>
  </si>
  <si>
    <t>Teacher of English</t>
  </si>
  <si>
    <t>https://drive.google.com/open?id=1o3UM_iRzmwvhwGU0KjpCO-BgmL0gPbxD</t>
  </si>
  <si>
    <t>https://drive.google.com/open?id=1VRm3tEWFybz1TnxNih4TTdDvTOn1Hwb1</t>
  </si>
  <si>
    <t>Marwa AbdelMoez Ahmed</t>
  </si>
  <si>
    <t>2035001087755401015</t>
  </si>
  <si>
    <t xml:space="preserve">Dalia Mohamed Hossam Eldin Elsayed Ibrahim </t>
  </si>
  <si>
    <t xml:space="preserve">داليا محمد حسام الدين السيد ابراهيم </t>
  </si>
  <si>
    <t>Dalia.hossam7@hotmail.com</t>
  </si>
  <si>
    <t>201033559962</t>
  </si>
  <si>
    <t xml:space="preserve">Kaumeya language school </t>
  </si>
  <si>
    <t xml:space="preserve">French teacher </t>
  </si>
  <si>
    <t>https://drive.google.com/open?id=1Ie2kwenSJCN1-46B9WxVvmgtQrpCubQn</t>
  </si>
  <si>
    <t>https://drive.google.com/open?id=1EI3ttUyYfIbgt-5UasmfxzptLQ1XVLm6</t>
  </si>
  <si>
    <t xml:space="preserve">DALIA MOHAMED HOSSAM </t>
  </si>
  <si>
    <t>6 October el motamyez</t>
  </si>
  <si>
    <t>100041074765</t>
  </si>
  <si>
    <t>EG780010013000000100041074765</t>
  </si>
  <si>
    <t>0130</t>
  </si>
  <si>
    <t xml:space="preserve">Ahdfathy ezzaldin foaud </t>
  </si>
  <si>
    <t>عهد فتحي عز الدين فؤاد</t>
  </si>
  <si>
    <t>ahdalhoufy@gmail.com</t>
  </si>
  <si>
    <t>201025057370</t>
  </si>
  <si>
    <t>Antoniadis school</t>
  </si>
  <si>
    <t>https://drive.google.com/open?id=1R4k68YjXVdDSz9AgsQCgLLFmtb4aYI6i</t>
  </si>
  <si>
    <t>https://drive.google.com/open?id=1GLeNDPiWUHzG-ekSgPmN45gg9mwbT8sJ</t>
  </si>
  <si>
    <t>And fathy</t>
  </si>
  <si>
    <t>Smoha</t>
  </si>
  <si>
    <t>100052983619</t>
  </si>
  <si>
    <t>EG570010000800000100052983619</t>
  </si>
  <si>
    <t>0008</t>
  </si>
  <si>
    <t xml:space="preserve">Mai Ali Mahgoub Mohamed </t>
  </si>
  <si>
    <t>مي علي محجوب محمد</t>
  </si>
  <si>
    <t>maiosh.mahgoub@gmail.com</t>
  </si>
  <si>
    <t>201007803902</t>
  </si>
  <si>
    <t>British International School</t>
  </si>
  <si>
    <t xml:space="preserve">English and social studies teacher </t>
  </si>
  <si>
    <t>https://drive.google.com/open?id=1EVif_DwAIb8BZrObZnoVLkClJNQac4U0</t>
  </si>
  <si>
    <t>https://drive.google.com/open?id=1K-3Hg8NsuF57fWxFFvM96CKBsV-3OJPW</t>
  </si>
  <si>
    <t>Mai Ali Mahgoub Mohamed</t>
  </si>
  <si>
    <t xml:space="preserve">Elhanouvil </t>
  </si>
  <si>
    <t>4390331000002549</t>
  </si>
  <si>
    <t>EG360002043904390331000002549</t>
  </si>
  <si>
    <t>Nermine Ahmed Mohamed Aly</t>
  </si>
  <si>
    <t>نرمين احمد محمد علي</t>
  </si>
  <si>
    <t>mazalikamazalika@gmail.com</t>
  </si>
  <si>
    <t>201003385070</t>
  </si>
  <si>
    <t xml:space="preserve">Kaumeya International School </t>
  </si>
  <si>
    <t xml:space="preserve">Language and Literature teacher </t>
  </si>
  <si>
    <t>16 648 46</t>
  </si>
  <si>
    <t>https://drive.google.com/open?id=1BUbPf2mac6Y-mneIJcSN1LgLTfbgcXEu</t>
  </si>
  <si>
    <t>https://drive.google.com/open?id=1uTyilxyfSkITNd5on0vL3c2miTy3Dflx</t>
  </si>
  <si>
    <t>Fouad street</t>
  </si>
  <si>
    <t>EG200010004700000100050175817</t>
  </si>
  <si>
    <t>MELAD WASEF HAKEM WASEF</t>
  </si>
  <si>
    <t>ميلاد واصف حكيم واصف</t>
  </si>
  <si>
    <t>mwasef.ems@gmail.com</t>
  </si>
  <si>
    <t>201223061819</t>
  </si>
  <si>
    <t>Egypt Modern School</t>
  </si>
  <si>
    <t>Mathematics teacher</t>
  </si>
  <si>
    <t>https://drive.google.com/open?id=1bWitiOuPLxlAq5RPhPFOgfKXiYLDlELx</t>
  </si>
  <si>
    <t>https://drive.google.com/open?id=1nKhCjlGa8U3egOUgBjmTayPG5fnmGt2h</t>
  </si>
  <si>
    <t xml:space="preserve">free zone </t>
  </si>
  <si>
    <t>100039253768</t>
  </si>
  <si>
    <t>EG660010003400000100039253768</t>
  </si>
  <si>
    <t xml:space="preserve">Sara Anwar Gomaa Hassan </t>
  </si>
  <si>
    <t>saraanwar138@gmail.com</t>
  </si>
  <si>
    <t>201001836758</t>
  </si>
  <si>
    <t xml:space="preserve">Sidi Gaber Language School for Girls </t>
  </si>
  <si>
    <t xml:space="preserve">Teacher of English </t>
  </si>
  <si>
    <t>https://drive.google.com/open?id=1qv-tKMoZrpoex6ufOrRSvoQrJqaXVE5L</t>
  </si>
  <si>
    <t>https://drive.google.com/open?id=1nAyrUhyxGN6reNrK7xWxIbMZBFxteZ82</t>
  </si>
  <si>
    <t xml:space="preserve">Sara Anwar Gomaa </t>
  </si>
  <si>
    <t>محطة الرمل</t>
  </si>
  <si>
    <t>2155001077249201016</t>
  </si>
  <si>
    <t>EG240003021550010772492010160</t>
  </si>
  <si>
    <t>0215</t>
  </si>
  <si>
    <t>Marwa samir ibrahim abdel gawad</t>
  </si>
  <si>
    <t>marulla.aw@gmail.com</t>
  </si>
  <si>
    <t>201019161441</t>
  </si>
  <si>
    <t>Riada international school</t>
  </si>
  <si>
    <t>Senior art teacher</t>
  </si>
  <si>
    <t>335-302-947</t>
  </si>
  <si>
    <t>https://drive.google.com/open?id=1_yLYiewwIa94uNezGhki5E9vS1ktPj3C</t>
  </si>
  <si>
    <t>https://drive.google.com/open?id=1k3ab8J_0MWJN4Mv1pZadp7jIlxaH7Hpr</t>
  </si>
  <si>
    <t>San stefano</t>
  </si>
  <si>
    <t>EG020010015800000100033795607</t>
  </si>
  <si>
    <t>Marwa amr mohamed abdelsalam</t>
  </si>
  <si>
    <t xml:space="preserve">مروه عمرو محمد عبد السلام </t>
  </si>
  <si>
    <t>Amrmarwa7@gmail.com</t>
  </si>
  <si>
    <t>201281216111</t>
  </si>
  <si>
    <t>Victory college</t>
  </si>
  <si>
    <t>https://drive.google.com/open?id=1oyx02p3Q5SNxlUUkfxNU_bnZ2_F8mjMy</t>
  </si>
  <si>
    <t>https://drive.google.com/open?id=1uoNYOVBFLF3qDdsaZOojVDCE4xHwrgJC</t>
  </si>
  <si>
    <t>Marwa amr mohamed</t>
  </si>
  <si>
    <t xml:space="preserve">الاقبال </t>
  </si>
  <si>
    <t>2035001549012901017</t>
  </si>
  <si>
    <t>Dina Talaat Ghaly Ibrahim</t>
  </si>
  <si>
    <t>دينا طلعت غالى ابراهيم</t>
  </si>
  <si>
    <t>talaatdina01@gmail.com</t>
  </si>
  <si>
    <t>201222767151</t>
  </si>
  <si>
    <t>مدرسة بايونيرز الدولية</t>
  </si>
  <si>
    <t>https://drive.google.com/open?id=15QNr0LqmASbo-3V5SSsvC4ksadm2tH2W</t>
  </si>
  <si>
    <t>https://drive.google.com/open?id=1I2vqbAZFB5hJP2X6WzzIJEpC27pP9kJl</t>
  </si>
  <si>
    <t>EG180010018700000100030385734</t>
  </si>
  <si>
    <t>Proctor</t>
  </si>
  <si>
    <t xml:space="preserve">Nevine Samuel Gorgeous Ibrahim </t>
  </si>
  <si>
    <t>نيفين صموئيل جورجيوس ابراهيم</t>
  </si>
  <si>
    <t>lolovena7@gmail.com</t>
  </si>
  <si>
    <t>201280071606</t>
  </si>
  <si>
    <t>EG020010018700000100030385537</t>
  </si>
  <si>
    <t>mohamed mahmoud mohamed hamed kotb</t>
  </si>
  <si>
    <t>محمد محمود محمد حامد قطب</t>
  </si>
  <si>
    <t>mh6245044@gmail.com</t>
  </si>
  <si>
    <t>201206623606</t>
  </si>
  <si>
    <t>English Egyptian language school</t>
  </si>
  <si>
    <t>Math teacher</t>
  </si>
  <si>
    <t>https://drive.google.com/open?id=1fK0U-xdQ3uFG3Llsg3dkrWdZGtHNEru2</t>
  </si>
  <si>
    <t>https://drive.google.com/open?id=1-gawg8Qti_kA_8DCFs5XbyLafjBp8YJP</t>
  </si>
  <si>
    <t>mohamed mahmoud mohamed hamed</t>
  </si>
  <si>
    <t>Miami</t>
  </si>
  <si>
    <t>1020598646635</t>
  </si>
  <si>
    <t>EG380037002708181020598646635</t>
  </si>
  <si>
    <t>0027</t>
  </si>
  <si>
    <t>Maha George kamel guirguis</t>
  </si>
  <si>
    <t>مها جورج كامل جرجس</t>
  </si>
  <si>
    <t>mahagirgis@gmail.com</t>
  </si>
  <si>
    <t>201204046542</t>
  </si>
  <si>
    <t>EELS</t>
  </si>
  <si>
    <t>https://drive.google.com/open?id=1Op7CFjI7Qx4G618DTAEHlsXkL2fH4uOp</t>
  </si>
  <si>
    <t>https://drive.google.com/open?id=1EjdQhnpC53swhQ_fQFB3aV_5cmz-NcCb</t>
  </si>
  <si>
    <t>Maha George kamel girgis</t>
  </si>
  <si>
    <t>Saint Stefano</t>
  </si>
  <si>
    <t>100045694644</t>
  </si>
  <si>
    <t>EG190010018700000100045694644</t>
  </si>
  <si>
    <t>Nadine Ahmed Mohamed Aref</t>
  </si>
  <si>
    <t>نادين احمد محمد رشاد عارف</t>
  </si>
  <si>
    <t>nadine.aref@york-press.com</t>
  </si>
  <si>
    <t>201001449728</t>
  </si>
  <si>
    <t>29510010200943</t>
  </si>
  <si>
    <t>Arab Academy Abu Qir Faculty of Engineering Building B</t>
  </si>
  <si>
    <t>94</t>
  </si>
  <si>
    <t>Naiera Mohamed Elzaafarany</t>
  </si>
  <si>
    <t>نيرة محمد مسعود الزعفرانى</t>
  </si>
  <si>
    <t>nero.zaafarany93@gmail.com</t>
  </si>
  <si>
    <t>201068376544</t>
  </si>
  <si>
    <t>29309120200381</t>
  </si>
  <si>
    <t>96</t>
  </si>
  <si>
    <t>Nabil Hussien Ali El-Nour</t>
  </si>
  <si>
    <t>نبيل حسين علي</t>
  </si>
  <si>
    <t>nabil-elnour@hotmail.com</t>
  </si>
  <si>
    <t>201020888176</t>
  </si>
  <si>
    <t>29505150202535</t>
  </si>
  <si>
    <t>114</t>
  </si>
  <si>
    <t>Marwa Ahmed Galaleldeen</t>
  </si>
  <si>
    <t>مروة احمد جلال الدين محمود</t>
  </si>
  <si>
    <t>marwa2ahmad@gmail.com</t>
  </si>
  <si>
    <t>201111934478</t>
  </si>
  <si>
    <t>Alex team</t>
  </si>
  <si>
    <t>29510018800401</t>
  </si>
  <si>
    <t>In/out</t>
  </si>
  <si>
    <t>95</t>
  </si>
  <si>
    <t>Shahinda Shawky Sayed</t>
  </si>
  <si>
    <t>شاهنده شوقى سيد احمد محمد</t>
  </si>
  <si>
    <t>shahindashawki.00@gmail.com</t>
  </si>
  <si>
    <t>201092048310</t>
  </si>
  <si>
    <t>Alex-team</t>
  </si>
  <si>
    <t>29701180200522</t>
  </si>
  <si>
    <t>Oman</t>
  </si>
  <si>
    <t>110</t>
  </si>
  <si>
    <t>Sara Mohamed Taha</t>
  </si>
  <si>
    <t>سارة محمد طه هلال</t>
  </si>
  <si>
    <t>sara.mohamed.taha92@gmail.com</t>
  </si>
  <si>
    <t>201288595855</t>
  </si>
  <si>
    <t>29202180202049</t>
  </si>
  <si>
    <t>Mohammed Eid Ali</t>
  </si>
  <si>
    <t>محمد عيد على احمد</t>
  </si>
  <si>
    <t>aboeid1650@gmail.com</t>
  </si>
  <si>
    <t>201555172999</t>
  </si>
  <si>
    <t>29611152600231</t>
  </si>
  <si>
    <t>120</t>
  </si>
  <si>
    <t xml:space="preserve">marwa abdelmonem attia </t>
  </si>
  <si>
    <t xml:space="preserve">مروة عبدالمنعم عطية محمود </t>
  </si>
  <si>
    <t>marwaattia871@gmail.com</t>
  </si>
  <si>
    <t>201013122468</t>
  </si>
  <si>
    <t>29610011400444</t>
  </si>
  <si>
    <t>Validation</t>
  </si>
  <si>
    <t>دمياط الجديدة، مدينة دمياط الجديدة، كفر سعد، دمياط،</t>
  </si>
  <si>
    <t>https://goo.gl/maps/QpH7dmNahszbVCFM6</t>
  </si>
  <si>
    <t>117</t>
  </si>
  <si>
    <t>Esraa Mousad Ebrahim</t>
  </si>
  <si>
    <t>اسراء مسعد ابراهيم سعد</t>
  </si>
  <si>
    <t>esraa98mousad@gmail.com</t>
  </si>
  <si>
    <t>201091743020</t>
  </si>
  <si>
    <t>29811150202229</t>
  </si>
  <si>
    <t>118</t>
  </si>
  <si>
    <t>Aya adel Mohamed</t>
  </si>
  <si>
    <t>اية عادل محمد محمود</t>
  </si>
  <si>
    <t>aya90318@gmail.com</t>
  </si>
  <si>
    <t>201115262756</t>
  </si>
  <si>
    <t>29907170203008</t>
  </si>
  <si>
    <t>132</t>
  </si>
  <si>
    <t>1st Floor</t>
  </si>
  <si>
    <t>Ayman Abdel Malak</t>
  </si>
  <si>
    <t>ايمن عبد الملاك فهيم عبد الملاك</t>
  </si>
  <si>
    <t>aymanabdelmalak11@gmail.com</t>
  </si>
  <si>
    <t>201203854208</t>
  </si>
  <si>
    <t>29608312400275</t>
  </si>
  <si>
    <t>103</t>
  </si>
  <si>
    <t>Mohamed Kamal Abdelaziz</t>
  </si>
  <si>
    <t>محمد كمال عبدالعزيز محمد حجازي</t>
  </si>
  <si>
    <t>moslem.tasnem@gmail.com</t>
  </si>
  <si>
    <t>201000496464</t>
  </si>
  <si>
    <t>liberary</t>
  </si>
  <si>
    <t>27812250201776</t>
  </si>
  <si>
    <t>88</t>
  </si>
  <si>
    <t>Yasmine Elhussien Hassan Abdel Basset</t>
  </si>
  <si>
    <t>ياسمين الحسين حسن عبد الباسط</t>
  </si>
  <si>
    <t>yasmineelhussien@gmail.com</t>
  </si>
  <si>
    <t>201005327508</t>
  </si>
  <si>
    <t>ELA &amp; Social Studies Coordinator</t>
  </si>
  <si>
    <t>058039642</t>
  </si>
  <si>
    <t>NA</t>
  </si>
  <si>
    <t>https://drive.google.com/open?id=1a6tWbN-SpXhIhRsG3UoDB67BmZjw4vVB</t>
  </si>
  <si>
    <t>https://drive.google.com/open?id=1Rrvu2w-Wa4OglFoLjT39cets3pbFhHlS</t>
  </si>
  <si>
    <t>Yasmine Elhussein Hassan</t>
  </si>
  <si>
    <t>Roushdy</t>
  </si>
  <si>
    <t>01151800002893</t>
  </si>
  <si>
    <t>EG950036000100001151800002893</t>
  </si>
  <si>
    <t>Haidy Adel Yousry Adly</t>
  </si>
  <si>
    <t>هايدي عادل يسري عدلي</t>
  </si>
  <si>
    <t>Haidydoudou3@gmail.com</t>
  </si>
  <si>
    <t>201227218780</t>
  </si>
  <si>
    <t>https://drive.google.com/open?id=17Y4RuHIJS-IoPC_QdA3F7PiGuu1JzbIg</t>
  </si>
  <si>
    <t>https://drive.google.com/open?id=1lkwXSGAk0iucK2NUNneV5tqbmSBRRzLY</t>
  </si>
  <si>
    <t>HAIDY ADEL YOSRY ADLY ABDELNOr</t>
  </si>
  <si>
    <t>005451840001</t>
  </si>
  <si>
    <t>EG950019002600000005451840001</t>
  </si>
  <si>
    <t xml:space="preserve">Eman Fouad Fahmi salem </t>
  </si>
  <si>
    <t>efouad774@gmail.com</t>
  </si>
  <si>
    <t>201203102091</t>
  </si>
  <si>
    <t xml:space="preserve">Janaklees National Schools </t>
  </si>
  <si>
    <t>https://drive.google.com/open?id=1UuCd4rO9u0f4lAm47IdvO6IQxlMLOfzA</t>
  </si>
  <si>
    <t>https://drive.google.com/open?id=1PQuILhyDS1G8l521gT7fx1y6cuAHn0so</t>
  </si>
  <si>
    <t xml:space="preserve">ايمان فؤاد فهمي سالم </t>
  </si>
  <si>
    <t xml:space="preserve">مصطفي كامل الاسكندرية </t>
  </si>
  <si>
    <t>2265000840539701016</t>
  </si>
  <si>
    <t>EG930003022650008405397010160</t>
  </si>
  <si>
    <t>MOHAMED MOSTAFA KAMEL MOHAMED</t>
  </si>
  <si>
    <t>محمد مصطفى كامل محمد</t>
  </si>
  <si>
    <t>mhd50000@gmail.com</t>
  </si>
  <si>
    <t>201223422224</t>
  </si>
  <si>
    <t>Future international School - Alexandria</t>
  </si>
  <si>
    <t>Computer Science Head - IGCSE</t>
  </si>
  <si>
    <t>27208170200812</t>
  </si>
  <si>
    <t>https://drive.google.com/open?id=1i_kKTxNTUsw05H_9UXAVAtaymuYGLqBt</t>
  </si>
  <si>
    <t>https://drive.google.com/open?id=17DRvpTOcT_YLAGmOQfPe1-UZTMqTDR-w</t>
  </si>
  <si>
    <t>MOHAMED MOSTAFA KAMEL MOHAMED SAYEDAHMED RASHED</t>
  </si>
  <si>
    <t>El Montaza</t>
  </si>
  <si>
    <t>1002282678965</t>
  </si>
  <si>
    <t>EG770037001108181002282678965</t>
  </si>
  <si>
    <t>0011</t>
  </si>
  <si>
    <t>Amira Anter ali mohamed</t>
  </si>
  <si>
    <t>amiraanter71@gmail.com</t>
  </si>
  <si>
    <t>201553134904</t>
  </si>
  <si>
    <t xml:space="preserve">Pioneers international school </t>
  </si>
  <si>
    <t>Robotics Teacher</t>
  </si>
  <si>
    <t>30002020201263</t>
  </si>
  <si>
    <t>https://drive.google.com/open?id=1jBTDemGVgl-n8b0XhAusyN2aLcF031_r</t>
  </si>
  <si>
    <t>https://drive.google.com/open?id=1QxcU_YCm61aI7TtwicuJoD4gVvrFwY3Z</t>
  </si>
  <si>
    <t>Amira Anter Ali Mohamed</t>
  </si>
  <si>
    <t>الاقبال</t>
  </si>
  <si>
    <t>2035010392937800018</t>
  </si>
  <si>
    <t>EG690003020350103929378000180</t>
  </si>
  <si>
    <t>0203</t>
  </si>
  <si>
    <t>Girmeen mohamed ali hassan abdelatif</t>
  </si>
  <si>
    <t>جرمين محمد علي حسن عبد اللطيف</t>
  </si>
  <si>
    <t>hgigi69@yahoo.com</t>
  </si>
  <si>
    <t>201092088246</t>
  </si>
  <si>
    <t>Future international school</t>
  </si>
  <si>
    <t>Information Technology Teacher</t>
  </si>
  <si>
    <t>29107220201706</t>
  </si>
  <si>
    <t>https://drive.google.com/open?id=1IGybMS9vE8hDFbCq-KkB9zpH-dvB61hV</t>
  </si>
  <si>
    <t>https://drive.google.com/open?id=1sFd5mZRJc6RJn4thmoYd22MTS8BJL5Uf</t>
  </si>
  <si>
    <t>Germine Mohamed Ali</t>
  </si>
  <si>
    <t>1130749822126</t>
  </si>
  <si>
    <t>EG120037072408181130749822126</t>
  </si>
  <si>
    <t xml:space="preserve">Khaled Abbas Issa Alsapagh </t>
  </si>
  <si>
    <t>خالد عباس عيسى الصباغ</t>
  </si>
  <si>
    <t>Khaledalsapagh@gmail.com</t>
  </si>
  <si>
    <t>201275892286</t>
  </si>
  <si>
    <t>المشير احمد بدوي الثانوية بنين</t>
  </si>
  <si>
    <t xml:space="preserve">مدرس لغة انجليزية </t>
  </si>
  <si>
    <t>28303211805356</t>
  </si>
  <si>
    <t>https://drive.google.com/open?id=1dtF-7kdHIUSCYIzIsAwWmng-d7tltuiy</t>
  </si>
  <si>
    <t>https://drive.google.com/open?id=16vFlQepiHJGDFhfnN6a0MNC_9ljodMq_</t>
  </si>
  <si>
    <t xml:space="preserve">خالد عباس عيسى محمد موسى الصباغ </t>
  </si>
  <si>
    <t>البنك الزراعي المصري</t>
  </si>
  <si>
    <t xml:space="preserve">بولين </t>
  </si>
  <si>
    <t>11000369315701010</t>
  </si>
  <si>
    <t>EG570009153311000369315701010</t>
  </si>
  <si>
    <t>BDACEGCAXXX</t>
  </si>
  <si>
    <t>0101</t>
  </si>
  <si>
    <t>Gehan ragab Taha  omar</t>
  </si>
  <si>
    <t xml:space="preserve">جيهان رجب طه عمر </t>
  </si>
  <si>
    <t>Tahagehan0@gmail.com</t>
  </si>
  <si>
    <t>201223022521</t>
  </si>
  <si>
    <t xml:space="preserve">Pioneers language school </t>
  </si>
  <si>
    <t>27305110200983</t>
  </si>
  <si>
    <t>https://drive.google.com/open?id=1A3X5q1dkJato9dsdBPgMJp8R-SivV5CF</t>
  </si>
  <si>
    <t>https://drive.google.com/open?id=1yg2lDKhsf3WDJJaMiys-jDMZSMVPsXT0</t>
  </si>
  <si>
    <t>Gehab ragab taha omar</t>
  </si>
  <si>
    <t>2085010390949300018</t>
  </si>
  <si>
    <t>EG800003020850103909493000180</t>
  </si>
  <si>
    <t>0208</t>
  </si>
  <si>
    <t xml:space="preserve">Lobna mahmoud abdelazim Mohamed </t>
  </si>
  <si>
    <t xml:space="preserve">لبني محمود عبد العظيم محمد منصور </t>
  </si>
  <si>
    <t>Loloazim@gmail.com</t>
  </si>
  <si>
    <t>201204670882</t>
  </si>
  <si>
    <t>Forsan international schools</t>
  </si>
  <si>
    <t xml:space="preserve">HOD OF ARTS </t>
  </si>
  <si>
    <t>https://drive.google.com/open?id=15tliDg_F6j18zdwl1JE7utyDnBilFlfg</t>
  </si>
  <si>
    <t>https://drive.google.com/open?id=1M-e040-vSFQXUDIZZOvUlN_J_0td59Cv</t>
  </si>
  <si>
    <t xml:space="preserve">Alexandria </t>
  </si>
  <si>
    <t>EG710010001900000100049809497</t>
  </si>
  <si>
    <t>Sameh Zaekri Fam Bartlan</t>
  </si>
  <si>
    <t>سامح ذكرى فام برت</t>
  </si>
  <si>
    <t>Sameh zaekri fam</t>
  </si>
  <si>
    <t>201225589494</t>
  </si>
  <si>
    <t>EG040003020150014161736010100</t>
  </si>
  <si>
    <t>Amira sayed ibrahim bassiouni</t>
  </si>
  <si>
    <t>amirabassiouni191@gmail.com</t>
  </si>
  <si>
    <t>201111020093</t>
  </si>
  <si>
    <t>Sun shine</t>
  </si>
  <si>
    <t>https://drive.google.com/open?id=1PivD6rWRsXOH3YUmIG5UJKhcZhWHwpR_</t>
  </si>
  <si>
    <t>https://drive.google.com/open?id=1CFxoO_LsWA5wzpOFK3v8Q6NBpHv5i_4K</t>
  </si>
  <si>
    <t>اميره سيد ابراهيم احمد بسيونى</t>
  </si>
  <si>
    <t>محرم بك</t>
  </si>
  <si>
    <t>2385000784339701014</t>
  </si>
  <si>
    <t>EG310003023850007843397010140</t>
  </si>
  <si>
    <t>0238</t>
  </si>
  <si>
    <t>eman abdelhamid ahmed rozza</t>
  </si>
  <si>
    <t>ايمان عبد الحميد احمد رزة</t>
  </si>
  <si>
    <t>emanrozza44@gmail.com</t>
  </si>
  <si>
    <t>201226256648</t>
  </si>
  <si>
    <t>future schools</t>
  </si>
  <si>
    <t>it Manager</t>
  </si>
  <si>
    <t>27604080200107</t>
  </si>
  <si>
    <t>https://drive.google.com/open?id=1FZI_IOEUvkKgd4A0jquCH4kpBemM_Ms-</t>
  </si>
  <si>
    <t>https://drive.google.com/open?id=1sadu95FJX0WG5NGeB_pVlaxCHLeyxj6O</t>
  </si>
  <si>
    <t>رشدي</t>
  </si>
  <si>
    <t>1002196348189</t>
  </si>
  <si>
    <t>EG770037001108181002196348189</t>
  </si>
  <si>
    <t>Reham Ismael Mohamed Elmenshawy</t>
  </si>
  <si>
    <t>ريهام اسماعيل محمد المنشاوى</t>
  </si>
  <si>
    <t>Yassensief8@gmail.com</t>
  </si>
  <si>
    <t>Sun Of Glory International school</t>
  </si>
  <si>
    <t>Public relation</t>
  </si>
  <si>
    <t>https://drive.google.com/open?id=1BfzCk9s6fOTmeR5xqSaVC_U1BN6TIz5l</t>
  </si>
  <si>
    <t>https://drive.google.com/open?id=18eB5w5OAKiBPAo_cngzOiA-iV1CGdH-G</t>
  </si>
  <si>
    <t>ريهام اسماعيل محمد اسماعيل المنشاوى</t>
  </si>
  <si>
    <t>Sidi Bishr Kebili</t>
  </si>
  <si>
    <t>EG260003026550015706617000150</t>
  </si>
  <si>
    <t>Dalia Sayed Seif Elislam Ahmed Kamel</t>
  </si>
  <si>
    <t>داليا سيد سيف الاسلام احمد كامل</t>
  </si>
  <si>
    <t>dalia.seifelislam79@gmail.com</t>
  </si>
  <si>
    <t>201224802887</t>
  </si>
  <si>
    <t xml:space="preserve">Riada American School </t>
  </si>
  <si>
    <t xml:space="preserve">High School English Teacher </t>
  </si>
  <si>
    <t>https://drive.google.com/open?id=16JcY4wtSPwrbhhUenDpe9MzssCmgj18Q</t>
  </si>
  <si>
    <t>https://drive.google.com/open?id=1TfRW8tAi-8jU5_xlyeKeUli8ANXgpA7V</t>
  </si>
  <si>
    <t>ALEXANDRIA BRANCH</t>
  </si>
  <si>
    <t>2005010678094500018</t>
  </si>
  <si>
    <t>EG530003020050106780945000180</t>
  </si>
  <si>
    <t>2nd floor</t>
  </si>
  <si>
    <t>Mohamed Zakaria Mohamed</t>
  </si>
  <si>
    <t>محمد زكريا محمد عبداللطيف</t>
  </si>
  <si>
    <t>mohamed.zakaria@sayegh1944.com</t>
  </si>
  <si>
    <t>201068801466</t>
  </si>
  <si>
    <t>27108160201832</t>
  </si>
  <si>
    <t>78</t>
  </si>
  <si>
    <t>Mai Said Abdelrashid Ahmed Khater</t>
  </si>
  <si>
    <t xml:space="preserve">مي سعيد عبد الرشيد احمد خاطر </t>
  </si>
  <si>
    <t>maikhater81@gmail.com</t>
  </si>
  <si>
    <t>201000120210</t>
  </si>
  <si>
    <t xml:space="preserve">Accounting teacher </t>
  </si>
  <si>
    <t>28108220202705</t>
  </si>
  <si>
    <t>https://drive.google.com/open?id=1S334GwRScR-j9ojRYA0uvsmQUL_88_SW</t>
  </si>
  <si>
    <t>https://drive.google.com/open?id=1ElpHx9oB7DybZd7xMn1_4JSO2aKxHfpX</t>
  </si>
  <si>
    <t>Mai Said Abdelrasheed Ahmed Khater</t>
  </si>
  <si>
    <t>Alekbal</t>
  </si>
  <si>
    <t>2035000742164000013</t>
  </si>
  <si>
    <t>EG320003020350007421640000130</t>
  </si>
  <si>
    <t>Ali fekry gaber</t>
  </si>
  <si>
    <t>على فكرى جابر محمد عبدالعال</t>
  </si>
  <si>
    <t>Kaly9031@gmail.com</t>
  </si>
  <si>
    <t>201000663756</t>
  </si>
  <si>
    <t>30005100202871</t>
  </si>
  <si>
    <t>119</t>
  </si>
  <si>
    <t>Soha Mohamed Abdelhakeim Abdelgayied</t>
  </si>
  <si>
    <t>سهي محمد عبد الحكيم عبد الجيد</t>
  </si>
  <si>
    <t>Sohamohamed181@gmail.com</t>
  </si>
  <si>
    <t>201203244360</t>
  </si>
  <si>
    <t>Pioneers International School</t>
  </si>
  <si>
    <t>29207280200444</t>
  </si>
  <si>
    <t>https://drive.google.com/open?id=1GEjz4Neh5pNBZLUEMa23Y2H5rZwQ4zWM</t>
  </si>
  <si>
    <t>https://drive.google.com/open?id=1svr--4jsKPjNhQzWP8EB8bIatSm8mjf8</t>
  </si>
  <si>
    <t>SOHA MOHAMED ABDELHAKIM ABDELG HABBAS</t>
  </si>
  <si>
    <t>Elmotazah</t>
  </si>
  <si>
    <t>100032872942</t>
  </si>
  <si>
    <t>EG540010018700000100032872942</t>
  </si>
  <si>
    <t>Mennat-Allah Ahmed Morsi Hussain</t>
  </si>
  <si>
    <t xml:space="preserve">منة الله احمد مرسى حسين </t>
  </si>
  <si>
    <t>elmenna1995@gmail.com</t>
  </si>
  <si>
    <t>201550072343</t>
  </si>
  <si>
    <t>333-118-863</t>
  </si>
  <si>
    <t>https://drive.google.com/open?id=15Iy7kPqPwi77s2QWt58WvOVprfBjFPDg</t>
  </si>
  <si>
    <t>https://drive.google.com/open?id=1udSvqdJn9VOnXsCo4AxyGzU09kkRyjdz</t>
  </si>
  <si>
    <t>منة الله احمد مرسى حسين عليوه</t>
  </si>
  <si>
    <t>كفر الزيات</t>
  </si>
  <si>
    <t>2170383000009127</t>
  </si>
  <si>
    <t>EG320002021702170383000009127</t>
  </si>
  <si>
    <t>0217</t>
  </si>
  <si>
    <t>Samer ELsayed Morsy kamis</t>
  </si>
  <si>
    <t>سامر السيد مرسي خميس</t>
  </si>
  <si>
    <t>Samermorsy111@gmail.com</t>
  </si>
  <si>
    <t>201005605331</t>
  </si>
  <si>
    <t xml:space="preserve">Egyptian  American  school </t>
  </si>
  <si>
    <t>PE.Coordinator</t>
  </si>
  <si>
    <t>382-122-240</t>
  </si>
  <si>
    <t>27611110200693</t>
  </si>
  <si>
    <t>https://drive.google.com/open?id=1kIo6kMXXCSO8e3NEMXc0Wqr4du4CjlRn</t>
  </si>
  <si>
    <t>https://drive.google.com/open?id=1jLP7p3Z7Ma6texT7iDiemYoAtYyM1Z-r</t>
  </si>
  <si>
    <t>سامر السيد مرسي</t>
  </si>
  <si>
    <t>وابور المياه</t>
  </si>
  <si>
    <t>1130676026669</t>
  </si>
  <si>
    <t>EG150037014808181130676026669</t>
  </si>
  <si>
    <t>0148</t>
  </si>
  <si>
    <t>Emad Samir Barkliz Ghprial</t>
  </si>
  <si>
    <t>عماد سمير باركليز غبريال</t>
  </si>
  <si>
    <t>es123.control@gmai.com</t>
  </si>
  <si>
    <t>201006688570</t>
  </si>
  <si>
    <t>Pioneers</t>
  </si>
  <si>
    <t>The Head of control Room</t>
  </si>
  <si>
    <t>27901200201212</t>
  </si>
  <si>
    <t>https://drive.google.com/open?id=1ZCOJPoLl0Zp_FgcSj3BYi_k-rK7Qrr3v</t>
  </si>
  <si>
    <t>https://drive.google.com/open?id=10wP8erhmecahicqas5M2xElPUFZw5zWi</t>
  </si>
  <si>
    <t>فرع كرموز</t>
  </si>
  <si>
    <t>4170333000016460</t>
  </si>
  <si>
    <t>EG810002040704070333000016462</t>
  </si>
  <si>
    <t>0407</t>
  </si>
  <si>
    <t>Hanan Fahmy Eskander Gergis</t>
  </si>
  <si>
    <t>حنان فهمى اسكندر جرجس</t>
  </si>
  <si>
    <t xml:space="preserve">hananfahme@gmail.com </t>
  </si>
  <si>
    <t>201276949696</t>
  </si>
  <si>
    <t xml:space="preserve">Pioneers </t>
  </si>
  <si>
    <t>https://drive.google.com/open?id=1N93AR3JoeQBcKchw3G6dJV6jNWjUDm3q</t>
  </si>
  <si>
    <t>https://drive.google.com/open?id=1mI79oUmz69mj33SrtLameoYFzOPPTLIA</t>
  </si>
  <si>
    <t>Hanan Fahmy Iskandar</t>
  </si>
  <si>
    <t>Saba basha</t>
  </si>
  <si>
    <t>100030386722</t>
  </si>
  <si>
    <t>EG170010018700000100030386722</t>
  </si>
  <si>
    <t>Heba Magdi Amer Elsayed</t>
  </si>
  <si>
    <t>هبة مجدي عامر السيد</t>
  </si>
  <si>
    <t>heba.magdi.amer@gmail.com</t>
  </si>
  <si>
    <t>201284857751</t>
  </si>
  <si>
    <t xml:space="preserve">Future Language school </t>
  </si>
  <si>
    <t>Math Teacher</t>
  </si>
  <si>
    <t>https://drive.google.com/open?id=1GAI6FJw0miaHfKyhVGLRd5anmWXer5E_</t>
  </si>
  <si>
    <t>https://drive.google.com/open?id=1wzT-oDmHJtGV7JqpNeEczJ5sMcaQJeMh</t>
  </si>
  <si>
    <t xml:space="preserve">Heba Magdi Amer Elsayed </t>
  </si>
  <si>
    <t>Arab African International Bank</t>
  </si>
  <si>
    <t>Sanstefano</t>
  </si>
  <si>
    <t>1151162660040202</t>
  </si>
  <si>
    <t>EG910057012201151162660040202</t>
  </si>
  <si>
    <t>Sherihan Ehab Zakaria Assem</t>
  </si>
  <si>
    <t>شيريهان ايهاب زكريا عاصم</t>
  </si>
  <si>
    <t>sherryassem112014@gmail.com</t>
  </si>
  <si>
    <t>201110302990</t>
  </si>
  <si>
    <t>بايونيرز</t>
  </si>
  <si>
    <t>28211310201145</t>
  </si>
  <si>
    <t>https://drive.google.com/open?id=1XCxZ_iyaQ1n_yBzPsVZSQOR3vGApwkDa</t>
  </si>
  <si>
    <t>https://drive.google.com/open?id=12O2X1mP21O5ugzANFRhrCup7bXf4gwUd</t>
  </si>
  <si>
    <t>Sherihan Ehab Zakria</t>
  </si>
  <si>
    <t>فرع الاقبال</t>
  </si>
  <si>
    <t>2035001066065701012</t>
  </si>
  <si>
    <t>EG210003020350010660657010120</t>
  </si>
  <si>
    <t>Asmaa Ramadan Nasr ElGammal</t>
  </si>
  <si>
    <t>Asmaelgammal220904@gmail.com</t>
  </si>
  <si>
    <t>201270718144</t>
  </si>
  <si>
    <t xml:space="preserve">Pioneer's International school </t>
  </si>
  <si>
    <t>Administrative Officer in the Insurance Department</t>
  </si>
  <si>
    <t>٧٩٢-٣٠١-٢١٣</t>
  </si>
  <si>
    <t>https://drive.google.com/open?id=19ViIH9MOs-1P5Dq1hioAevd_UWLGePlp</t>
  </si>
  <si>
    <t>https://drive.google.com/open?id=1cu3vr2-dKewMJOhFz9JgPiS3eyAKAXUz</t>
  </si>
  <si>
    <t xml:space="preserve">أسماء رمضان نصر الجمال </t>
  </si>
  <si>
    <t>فرع صلاح سالم</t>
  </si>
  <si>
    <t>2005000350066300012</t>
  </si>
  <si>
    <t>EG980003020050003500663000120</t>
  </si>
  <si>
    <t>Hebatallah Eissa Abdelrahman Elshazly</t>
  </si>
  <si>
    <t>هبةالله عيسى عبدالرحمن الشاذلي</t>
  </si>
  <si>
    <t>Shazlya_18@yahoo.com</t>
  </si>
  <si>
    <t>201003447092</t>
  </si>
  <si>
    <t>Kaumeya Language School</t>
  </si>
  <si>
    <t>Don't know</t>
  </si>
  <si>
    <t>28701010209661</t>
  </si>
  <si>
    <t>https://drive.google.com/open?id=1TAc_g7WuHEi1N4FbReAancjMhDrsV40o</t>
  </si>
  <si>
    <t>https://drive.google.com/open?id=1tupFgvxGoUsqmH0h9swkETkhw7npfXY9</t>
  </si>
  <si>
    <t>Miamy</t>
  </si>
  <si>
    <t>1002289228962</t>
  </si>
  <si>
    <t>EG120037072408181002289228962</t>
  </si>
  <si>
    <t>Nesrein Ragab Taha Omar Othman</t>
  </si>
  <si>
    <t>نسرين رجب طه عمر عثمان</t>
  </si>
  <si>
    <t>jasmintaha15@gmail.com‏</t>
  </si>
  <si>
    <t>201220330448</t>
  </si>
  <si>
    <t xml:space="preserve">Pioneers school </t>
  </si>
  <si>
    <t xml:space="preserve">Supervisor </t>
  </si>
  <si>
    <t xml:space="preserve">I don't know </t>
  </si>
  <si>
    <t>27802040201867</t>
  </si>
  <si>
    <t>https://drive.google.com/open?id=1m1XYPfr-tZiGNh0I0bAs332TvFlk0u3T</t>
  </si>
  <si>
    <t>https://drive.google.com/open?id=1TdpwdHVpQWKD-yzVQH8B4JV0VhjlTTpI</t>
  </si>
  <si>
    <t xml:space="preserve">نسرين رجب طه </t>
  </si>
  <si>
    <t>2085001601680300019</t>
  </si>
  <si>
    <t>EG340003020850016016803000190</t>
  </si>
  <si>
    <t>Nehal Mohamed Zakaria Mohamed</t>
  </si>
  <si>
    <t xml:space="preserve">نهال محمد زكريا محمد </t>
  </si>
  <si>
    <t>Nehalomar79@gmail.com</t>
  </si>
  <si>
    <t>201006180314</t>
  </si>
  <si>
    <t>IT teacher</t>
  </si>
  <si>
    <t>https://drive.google.com/open?id=1mdo7pU_f4eCiNtaXfbnDeJEoKdgNEtrR</t>
  </si>
  <si>
    <t>https://drive.google.com/open?id=1ngnKcxhKnxNmIXpUtKUHYjB58obcbG1R</t>
  </si>
  <si>
    <t>NEHAL MOHAMED ZAKARIA</t>
  </si>
  <si>
    <t>100041373614</t>
  </si>
  <si>
    <t>EG120010018700000100041373614</t>
  </si>
  <si>
    <t>Nancy Gamal Mustafa Ghoname</t>
  </si>
  <si>
    <t xml:space="preserve">نانسي جمال مصطفى غنيم </t>
  </si>
  <si>
    <t>nancyghoname25@gmail.com</t>
  </si>
  <si>
    <t>201008850076</t>
  </si>
  <si>
    <t>Genius International School</t>
  </si>
  <si>
    <t>Highschool teacher of English and Coordinator</t>
  </si>
  <si>
    <t xml:space="preserve">None </t>
  </si>
  <si>
    <t>https://drive.google.com/open?id=1-CB2GVAJ0xl5mri6Po0otRc58fIvoyoT</t>
  </si>
  <si>
    <t>https://drive.google.com/open?id=12TKkRecXSSIH7welFmtKpJy7yWENh0lo</t>
  </si>
  <si>
    <t>Nancy Gamal Mostafa</t>
  </si>
  <si>
    <t>Sedi Gaber</t>
  </si>
  <si>
    <t>2075000268173200018</t>
  </si>
  <si>
    <t>EG630003020750002681732000180</t>
  </si>
  <si>
    <t>Dai Ehab Youssef Muhamed</t>
  </si>
  <si>
    <t>ضي ايهاب يوسف محمد</t>
  </si>
  <si>
    <t>daiihap11@gmail.com</t>
  </si>
  <si>
    <t>201012218202</t>
  </si>
  <si>
    <t>Future international schools</t>
  </si>
  <si>
    <t>Math teacher in the IGCSE department.</t>
  </si>
  <si>
    <t>https://drive.google.com/open?id=1UaP3Tty-P6_CMyrb7u_aZVfNu_vngzgt</t>
  </si>
  <si>
    <t>https://drive.google.com/open?id=1Fr9hGtRUWV5JFznjkvEyG3l3QZaigX67</t>
  </si>
  <si>
    <t>Dai Ehab Youssef</t>
  </si>
  <si>
    <t>Alex bank</t>
  </si>
  <si>
    <t>فرع أبوقير- إسكندرية</t>
  </si>
  <si>
    <t>210013426001</t>
  </si>
  <si>
    <t>EG100005201000000210013426001</t>
  </si>
  <si>
    <t>ALEXEGCXXXX</t>
  </si>
  <si>
    <t>2010</t>
  </si>
  <si>
    <t>Nourelden Ehab Mohamed Hassen</t>
  </si>
  <si>
    <t>نور الدين ايهاب محمد حسن</t>
  </si>
  <si>
    <t>nourelden4231@gmail.com</t>
  </si>
  <si>
    <t>201122646936</t>
  </si>
  <si>
    <t>Elquds International school</t>
  </si>
  <si>
    <t>german coordinator</t>
  </si>
  <si>
    <t>https://drive.google.com/open?id=15CpvBJw-6wjfv8GQFBhleIVASZUiRNNF</t>
  </si>
  <si>
    <t>https://drive.google.com/open?id=1nx-bvjFzKvdtt8Jwrj5CRiycTLJrEPnt</t>
  </si>
  <si>
    <t>Nourelddin Ehab</t>
  </si>
  <si>
    <t>ميامي  الاسكندريه</t>
  </si>
  <si>
    <t>EG700037072408181130340489812</t>
  </si>
  <si>
    <t>Ola Ahmed Desoky ElShazly</t>
  </si>
  <si>
    <t xml:space="preserve">علا احمد دسوقي الشاذلي </t>
  </si>
  <si>
    <t>ola.elshazly2000@gmail.com</t>
  </si>
  <si>
    <t>201002759042</t>
  </si>
  <si>
    <t>British language school</t>
  </si>
  <si>
    <t>https://drive.google.com/open?id=1oQCN_mF7Jijk8vXxilRUa6LboTPls_Fa</t>
  </si>
  <si>
    <t>https://drive.google.com/open?id=1U5p4j1Rqw2o3iYqNzgOwtMUnxvv6hWq1</t>
  </si>
  <si>
    <t>Ola Ahmed Desoky Elshazly</t>
  </si>
  <si>
    <t>Bank Nxt</t>
  </si>
  <si>
    <t>1102439460100201</t>
  </si>
  <si>
    <t>EG640058000401102439460100201</t>
  </si>
  <si>
    <t>AINBEGCAXXX</t>
  </si>
  <si>
    <t>0004</t>
  </si>
  <si>
    <t>Ashraf Fathy Mahrous Elsaid</t>
  </si>
  <si>
    <t>ashraf8020072005@gmail.com</t>
  </si>
  <si>
    <t>201208207236</t>
  </si>
  <si>
    <t>IT technician</t>
  </si>
  <si>
    <r>
      <rPr>
        <u/>
        <sz val="10"/>
        <color rgb="FF1155CC"/>
        <rFont val="Roboto"/>
      </rPr>
      <t>https://drive.google.com/open?id=1rUHD7Rm87b0tt00uSA9a9vzRVv3tnE89</t>
    </r>
  </si>
  <si>
    <r>
      <rPr>
        <u/>
        <sz val="10"/>
        <color rgb="FF1155CC"/>
        <rFont val="Roboto"/>
      </rPr>
      <t>https://drive.google.com/open?id=1I8lQtURrFMhVyUQQwKth0eSC8rIwSZoe</t>
    </r>
  </si>
  <si>
    <t>SAN STAFANO BRANCH</t>
  </si>
  <si>
    <t>EG130019002600000005500040001</t>
  </si>
  <si>
    <t>Marianne Albert Fayez Abdel malak</t>
  </si>
  <si>
    <t>ماريان البير فايز عبد الملاك</t>
  </si>
  <si>
    <t>Marianalbir@gmail.com</t>
  </si>
  <si>
    <t>201224501268</t>
  </si>
  <si>
    <t>Kaumeya language schools- king mariout</t>
  </si>
  <si>
    <t>French teacher</t>
  </si>
  <si>
    <t>https://drive.google.com/open?id=1uG3LrPqId5NO4kE1a-esb-y7jfI_Gscj</t>
  </si>
  <si>
    <t>https://drive.google.com/open?id=1X4Teu-jFh61C09857odyGUMk52cfvPfC</t>
  </si>
  <si>
    <t>2005000484668400013</t>
  </si>
  <si>
    <t>EG940003020050004846684000130</t>
  </si>
  <si>
    <t>Nermine Magdy Mohamed ElBasha</t>
  </si>
  <si>
    <t xml:space="preserve">نيرمين مجدي محمد الباشا </t>
  </si>
  <si>
    <t>nermine_magdy_83@yahoo.com</t>
  </si>
  <si>
    <t>201065696503</t>
  </si>
  <si>
    <t xml:space="preserve">GEMS Academy Alexandria </t>
  </si>
  <si>
    <t>https://drive.google.com/open?id=1XElyKKuk6lOsqyywVIieEJUaVNqh0tE1</t>
  </si>
  <si>
    <t>https://drive.google.com/open?id=1hrXLcYemDDn3VkWBhBJao8B-CiyvkXwL</t>
  </si>
  <si>
    <t>العامرية</t>
  </si>
  <si>
    <t>0438332000049604</t>
  </si>
  <si>
    <t>EG850002043804380332000049604</t>
  </si>
  <si>
    <t>0438</t>
  </si>
  <si>
    <t>249 D</t>
  </si>
  <si>
    <t xml:space="preserve">Asmaa Hany Abd El-Salam El-Sayed </t>
  </si>
  <si>
    <t>hanyasmaa30@gmail.com</t>
  </si>
  <si>
    <t>201145770485</t>
  </si>
  <si>
    <t xml:space="preserve">City International School </t>
  </si>
  <si>
    <t>https://drive.google.com/open?id=1RLQahbrlAj7HIe-vMDv7veikgt3vZfBg</t>
  </si>
  <si>
    <t>https://drive.google.com/open?id=1_KtweS5AuGWFSJy-_WU2I_IsFdJUKIj2</t>
  </si>
  <si>
    <t>100044790917</t>
  </si>
  <si>
    <t>EG330010019000000100044790917</t>
  </si>
  <si>
    <t>Arab Academy Abu Qir Faculty of Engineering BuildingD</t>
  </si>
  <si>
    <t>0190</t>
  </si>
  <si>
    <t>Nesma Ali Mahgoub Mohamed</t>
  </si>
  <si>
    <t>نسمة علي محجوب محمد ابراهيم</t>
  </si>
  <si>
    <t>nk.mahjoub@gmail.com</t>
  </si>
  <si>
    <t>201557133187</t>
  </si>
  <si>
    <t>Modern Science</t>
  </si>
  <si>
    <t>https://drive.google.com/open?id=1z7yQeyzoTvtXa3RRdoa5tPCGQfwfFFlN</t>
  </si>
  <si>
    <t>https://drive.google.com/open?id=1XWDfiBb4Kz-IKYDQ1x-B-RfukhWgISxq</t>
  </si>
  <si>
    <t>نسمة على محجوب محمد ابراهيم</t>
  </si>
  <si>
    <t>زيزنيا</t>
  </si>
  <si>
    <t>EG720003020850011673555010110</t>
  </si>
  <si>
    <t>New Form</t>
  </si>
  <si>
    <t>Gina ahmed el sayed el banna</t>
  </si>
  <si>
    <t>جينا احمد السيد البنا</t>
  </si>
  <si>
    <t>ginaelbanna@gmail.com</t>
  </si>
  <si>
    <t>201060507136</t>
  </si>
  <si>
    <t>International american school</t>
  </si>
  <si>
    <t>Done</t>
  </si>
  <si>
    <t>https://drive.google.com/open?id=1GoM_aZnh-P29YDLiruZLAb48M7wqZWoL</t>
  </si>
  <si>
    <t>https://drive.google.com/open?id=1k2bhr2iV9_kcbCrvI3BtBx6VVL7pcMr-</t>
  </si>
  <si>
    <t>Gina ahmed elsayed abo hashem elbana</t>
  </si>
  <si>
    <t>2115000404504200019</t>
  </si>
  <si>
    <t>EG430003021150004045042000190</t>
  </si>
  <si>
    <t>251D</t>
  </si>
  <si>
    <t>Rania Saied Mousa Mamoun</t>
  </si>
  <si>
    <t>رانيا سعيد موسى مامون</t>
  </si>
  <si>
    <t>raniasaiedfuture@gmail.com</t>
  </si>
  <si>
    <t>201283183099</t>
  </si>
  <si>
    <t xml:space="preserve">Future International Schools </t>
  </si>
  <si>
    <t>Head of Libraries</t>
  </si>
  <si>
    <t>584-526-369</t>
  </si>
  <si>
    <t>27703020200424</t>
  </si>
  <si>
    <t>https://drive.google.com/open?id=1ARIBdnDzhhqsWU8T151aZcG9M3gquHrn</t>
  </si>
  <si>
    <t>https://drive.google.com/open?id=1utML2jLWglOlVrBbfvd1iPaCuBEWZ_K-</t>
  </si>
  <si>
    <t>2245000433841100017</t>
  </si>
  <si>
    <t>EG360003022450004338411000170</t>
  </si>
  <si>
    <t xml:space="preserve">QNB </t>
  </si>
  <si>
    <t xml:space="preserve">Nada ashraf saad Ibrahim </t>
  </si>
  <si>
    <t>Nada.ashraf.youssef@gmail.com</t>
  </si>
  <si>
    <t>201117208373</t>
  </si>
  <si>
    <t xml:space="preserve">New el quds international school </t>
  </si>
  <si>
    <t>https://drive.google.com/open?id=1-OZNzTtXjyYvCSmLGH4A-OcCiPQx7J5q</t>
  </si>
  <si>
    <t>https://drive.google.com/open?id=1MiECLpV_ZeVjovNpcTd3UEh6kj966hqr</t>
  </si>
  <si>
    <t>Nada ashraf saad ibrahim</t>
  </si>
  <si>
    <t>EG120037072408181002970396427</t>
  </si>
  <si>
    <t>Omar Ahmed Hasan</t>
  </si>
  <si>
    <t>عمر احمد حسن محمد حسن الروبي</t>
  </si>
  <si>
    <t>omarelrouby@gmail.com</t>
  </si>
  <si>
    <t>201272014669</t>
  </si>
  <si>
    <t>113</t>
  </si>
  <si>
    <t>Moataz Saleh Abdelmobdy Elsayed</t>
  </si>
  <si>
    <t>معتز صالح عبد المبدي السيد</t>
  </si>
  <si>
    <t>Moataz.fas.2015@gmail.com</t>
  </si>
  <si>
    <t>201274748438</t>
  </si>
  <si>
    <t xml:space="preserve">Future American School </t>
  </si>
  <si>
    <t xml:space="preserve">E- Learning Coordinator @ Map Exam Administrator </t>
  </si>
  <si>
    <t>https://drive.google.com/open?id=1SjPqIFIynkizcsIblkGuWTtWgxCaYH-D</t>
  </si>
  <si>
    <t>https://drive.google.com/open?id=1Mr4d1Y-cYdITuctzO1S3zFoUzDI9d7_g</t>
  </si>
  <si>
    <t>رشدى</t>
  </si>
  <si>
    <t>1002558054011</t>
  </si>
  <si>
    <t>EG770037001108181002558054011</t>
  </si>
  <si>
    <t xml:space="preserve">Youssra Aly Hassan sabry </t>
  </si>
  <si>
    <t>يسرا علي حسن صبري</t>
  </si>
  <si>
    <t>3vyousraali2020@gmail.com</t>
  </si>
  <si>
    <t>201272222355</t>
  </si>
  <si>
    <t xml:space="preserve">Future language school fls </t>
  </si>
  <si>
    <t xml:space="preserve">Math coordinator </t>
  </si>
  <si>
    <t>https://drive.google.com/open?id=1OFPvFV9nzmr6k0NqsyWapKb-c0LUtu7Q</t>
  </si>
  <si>
    <t>https://drive.google.com/open?id=1AgLAdly4axBcH-io5TKfOILZ12N5FECz</t>
  </si>
  <si>
    <t>Roushdy branch</t>
  </si>
  <si>
    <t>1108181130624646464</t>
  </si>
  <si>
    <t>EG770037001108181130624646464</t>
  </si>
  <si>
    <t>Aya mahmoud mohamed rashed</t>
  </si>
  <si>
    <t>ayaelkatatny1@gmail.com</t>
  </si>
  <si>
    <t>201002710895</t>
  </si>
  <si>
    <t>(Riada language school)</t>
  </si>
  <si>
    <t>https://drive.google.com/open?id=1efW-qgBiVsXxUO26PW2-DjGZQqyrdWb1</t>
  </si>
  <si>
    <t>https://drive.google.com/open?id=1_F886KOD_qMQr380W3LTTZq_BlGvo9Or</t>
  </si>
  <si>
    <t>Commercial International Bank</t>
  </si>
  <si>
    <t>Sultan hussein</t>
  </si>
  <si>
    <t>100045001231</t>
  </si>
  <si>
    <t>EG620010008900000100045001231</t>
  </si>
  <si>
    <t>0003</t>
  </si>
  <si>
    <t>Mahmoud Elsayed Tawfik Elsayed</t>
  </si>
  <si>
    <t>محمود السيد توفيق السيد</t>
  </si>
  <si>
    <t>Mahmoud_pioneers@yahoo.com</t>
  </si>
  <si>
    <t>201225207343</t>
  </si>
  <si>
    <t>Pioneer's international school</t>
  </si>
  <si>
    <t>"Legal Affairs Officer in the American Section"</t>
  </si>
  <si>
    <t>https://drive.google.com/open?id=1QEJv4ToQPonDX98bdViVlP2itmLTWrtG</t>
  </si>
  <si>
    <t>https://drive.google.com/open?id=1XSSnHJjuDtIjR2Z4DrJrtqgd0magmRiQ</t>
  </si>
  <si>
    <t>100043554397</t>
  </si>
  <si>
    <t>EG050010018700000100043554397</t>
  </si>
  <si>
    <t>Dina Mohamed Megahed Mohamed</t>
  </si>
  <si>
    <t xml:space="preserve">دينا محمد مجاهد محمد </t>
  </si>
  <si>
    <t>engdinamohamed2@gmail.com</t>
  </si>
  <si>
    <t>201272312970</t>
  </si>
  <si>
    <t>Math coordinator</t>
  </si>
  <si>
    <t>432781498#</t>
  </si>
  <si>
    <t>https://drive.google.com/open?id=1z4Rnuu6fp-ye6NAn-bjAREbjcT6Rvmdi</t>
  </si>
  <si>
    <t>https://drive.google.com/open?id=13BOHSR49EcNTm7idtNjWUEAgxpyvpDDW</t>
  </si>
  <si>
    <t>الهانوڤيل</t>
  </si>
  <si>
    <t>EG440003023050015711713000140</t>
  </si>
  <si>
    <t>0230</t>
  </si>
  <si>
    <t>Mohamed Ahmed Ismail Ahmed</t>
  </si>
  <si>
    <t>mohamedsamka20@gmail.com</t>
  </si>
  <si>
    <t>201285919523</t>
  </si>
  <si>
    <t>International American school</t>
  </si>
  <si>
    <t>HR</t>
  </si>
  <si>
    <t>https://drive.google.com/open?id=1zBQNORVs8N4p_8iKgABz17gA_vcEOmrG</t>
  </si>
  <si>
    <t>https://drive.google.com/open?id=1vyF8ygxdHb3Bah3wkLUC195F0CvJ91z7</t>
  </si>
  <si>
    <t>MOHAMED AHMED ISMAIL</t>
  </si>
  <si>
    <t>100046768463</t>
  </si>
  <si>
    <t>EG660010004400000100046768463</t>
  </si>
  <si>
    <t>0044</t>
  </si>
  <si>
    <t xml:space="preserve">Yasmin Samir Said salama </t>
  </si>
  <si>
    <t>ياسمين سمير سعيد سلامه</t>
  </si>
  <si>
    <t xml:space="preserve">ypetitepomme@hotmail.com </t>
  </si>
  <si>
    <t>201227347846</t>
  </si>
  <si>
    <t xml:space="preserve">School </t>
  </si>
  <si>
    <t xml:space="preserve">Secretary </t>
  </si>
  <si>
    <t>002215425</t>
  </si>
  <si>
    <t>https://drive.google.com/open?id=1__IO4KTIFxacgQ_rwS_iOusG5Q0VqW0t</t>
  </si>
  <si>
    <t>https://drive.google.com/open?id=1OZhQk6ibF7XXfp_g4B_nivhEj15behaJ</t>
  </si>
  <si>
    <t xml:space="preserve">Yasmin Samir Saied </t>
  </si>
  <si>
    <t>100030394814</t>
  </si>
  <si>
    <t>EG740010018700000100030394814</t>
  </si>
  <si>
    <t>Marwa Mohamed Amin Abd Elazim</t>
  </si>
  <si>
    <t>مروه محمد امين عبد العظيم</t>
  </si>
  <si>
    <t>Marwa1042014@icloud.com</t>
  </si>
  <si>
    <t>201220016831</t>
  </si>
  <si>
    <t>New Elquds international schools</t>
  </si>
  <si>
    <t>Control admin</t>
  </si>
  <si>
    <t>29004168800163</t>
  </si>
  <si>
    <t>https://drive.google.com/open?id=10yUU9ChnYXoXnQU1U3-OqYLhOJEbkh0Z</t>
  </si>
  <si>
    <t>https://drive.google.com/open?id=1Y47GwvtzKKCMPLWbkxZI5uU4HaWJEfM_</t>
  </si>
  <si>
    <t>Marwa Mohamed Amin Abd Elazim Amin</t>
  </si>
  <si>
    <t xml:space="preserve">Miami </t>
  </si>
  <si>
    <t>1002532993454</t>
  </si>
  <si>
    <t>EG120037072408181002532993454</t>
  </si>
  <si>
    <t xml:space="preserve">Rowan Khalid abo el fotoh Ahmed </t>
  </si>
  <si>
    <t>Rowankhaled966@gmail.com</t>
  </si>
  <si>
    <t>201273147095</t>
  </si>
  <si>
    <t xml:space="preserve">Future international schools </t>
  </si>
  <si>
    <t xml:space="preserve">Science teacher </t>
  </si>
  <si>
    <t>https://drive.google.com/open?id=1LmOF7I9RZlNrMGvZIMC6oSAiAnd5fvix</t>
  </si>
  <si>
    <t>https://drive.google.com/open?id=17EO8H8vBESVoFRchv3oGeG_EcAs9vHjd</t>
  </si>
  <si>
    <t xml:space="preserve">Rowan khaled  abo el fotoh Ahmed </t>
  </si>
  <si>
    <t xml:space="preserve">فرع المنتزه </t>
  </si>
  <si>
    <t>EG750037019908181130364476820</t>
  </si>
  <si>
    <t>Saieed Ahmed Ahmed Diab</t>
  </si>
  <si>
    <t>سعيد احمد احمد ابراهيم دياب</t>
  </si>
  <si>
    <t>saiiddiab0@gmail.com</t>
  </si>
  <si>
    <t>201151124528</t>
  </si>
  <si>
    <t>29507220200139</t>
  </si>
  <si>
    <t>121</t>
  </si>
  <si>
    <t xml:space="preserve">Lamia Mohamed Ali Abdel wahab </t>
  </si>
  <si>
    <t xml:space="preserve">لمياء محمد علي عبد الوهاب </t>
  </si>
  <si>
    <t>lamia_ali@asa-egypt.com</t>
  </si>
  <si>
    <t>201271070089</t>
  </si>
  <si>
    <t xml:space="preserve">Forsan American school </t>
  </si>
  <si>
    <t xml:space="preserve">High school French teacher </t>
  </si>
  <si>
    <t>.</t>
  </si>
  <si>
    <t>27602250201887</t>
  </si>
  <si>
    <t>https://drive.google.com/open?id=1kuXbLTqc8TDknbJo5I9-GACLtR8qEnav</t>
  </si>
  <si>
    <t>https://drive.google.com/open?id=14zbikXWF-LEC3Fu9oaamyVhDmgwlDziV</t>
  </si>
  <si>
    <t>3860333000030989</t>
  </si>
  <si>
    <t>EG040002038603860333000030989</t>
  </si>
  <si>
    <t>0386</t>
  </si>
  <si>
    <t>Aya Nasr Eldeen Hassan Ahmed</t>
  </si>
  <si>
    <t>brillianceig563@gmail.com</t>
  </si>
  <si>
    <t>201001621109</t>
  </si>
  <si>
    <t>Brilliance British school</t>
  </si>
  <si>
    <t>https://drive.google.com/open?id=1PDdk-Rc1nl9lv7E31pJmdwkvBx2U4PEP</t>
  </si>
  <si>
    <t>https://drive.google.com/open?id=1j-wVCfVgC2acA4fdm0T-xCKf69ZVm_MY</t>
  </si>
  <si>
    <t>Mohammed Adel Gaffar</t>
  </si>
  <si>
    <t>HSBC</t>
  </si>
  <si>
    <t>Smouha</t>
  </si>
  <si>
    <t>EG200025004200000042093708001</t>
  </si>
  <si>
    <t>EBBKEGCXXXX</t>
  </si>
  <si>
    <t>0042</t>
  </si>
  <si>
    <t>Yousra Ramadan Nasr Mohamed Elgammal</t>
  </si>
  <si>
    <t xml:space="preserve">يسرا رمضان نصر محمد الجمال </t>
  </si>
  <si>
    <t>yousraelgammal0@gmail.com</t>
  </si>
  <si>
    <t>201212472340</t>
  </si>
  <si>
    <t xml:space="preserve">Pioneer's international school </t>
  </si>
  <si>
    <t>https://drive.google.com/open?id=1pRcvFNs7w5BXUZ1DAeuwEebGVXkLU_85</t>
  </si>
  <si>
    <t>https://drive.google.com/open?id=1-4UxIfcpN7xL73cSsDohroNrFg6S7hQa</t>
  </si>
  <si>
    <t>يسرا رمضان نصر محمد الجمال</t>
  </si>
  <si>
    <t>2085000795160401018</t>
  </si>
  <si>
    <t>EG680003020850007951604010180</t>
  </si>
  <si>
    <t>Safaa Reda Mohamed Attia</t>
  </si>
  <si>
    <t xml:space="preserve">صفاء رضا محمد عطيه </t>
  </si>
  <si>
    <t>safaareda030@gmail.com</t>
  </si>
  <si>
    <t>201020809013</t>
  </si>
  <si>
    <t xml:space="preserve"> مدرسة بايونيرز الدولية</t>
  </si>
  <si>
    <t xml:space="preserve">إدارية القسم الأمريكى </t>
  </si>
  <si>
    <t>213-301-792</t>
  </si>
  <si>
    <t>https://drive.google.com/open?id=1jnnetO0qXAIV79LV2IGfFyN9i9QffnbN</t>
  </si>
  <si>
    <t>https://drive.google.com/open?id=16g8zRwN5uZJFEi4pRNvxkiHe5ZpEA0oI</t>
  </si>
  <si>
    <t>صفاء رضا محمد عطيه</t>
  </si>
  <si>
    <t>2055001793226000018</t>
  </si>
  <si>
    <t>EG870003020550017932260000180</t>
  </si>
  <si>
    <t>0205</t>
  </si>
  <si>
    <t xml:space="preserve">Marwa Nabil Omar Gharbo </t>
  </si>
  <si>
    <t xml:space="preserve">مروه نبيل عمر غاربو </t>
  </si>
  <si>
    <t>mgharbo@gmail.com</t>
  </si>
  <si>
    <t>201224288042</t>
  </si>
  <si>
    <t xml:space="preserve">Kawmeya American School </t>
  </si>
  <si>
    <t>https://drive.google.com/open?id=1ayxmZWbvpBgay126qKmZeaRzoWxsSOhT</t>
  </si>
  <si>
    <t>https://drive.google.com/open?id=1svQAcbapPlMsvmjUv6vuUKNYUIR2FY33</t>
  </si>
  <si>
    <t>Marwa Nabil Gharbo</t>
  </si>
  <si>
    <t>Sultan Hussein</t>
  </si>
  <si>
    <t>100033767379</t>
  </si>
  <si>
    <t>EG290010015800000100033767379</t>
  </si>
  <si>
    <t>0158</t>
  </si>
  <si>
    <t>Alaa Hany Abd Elsalam Elsayed Soliman</t>
  </si>
  <si>
    <t>alaahany01288768876@gmail.com</t>
  </si>
  <si>
    <t>201278008176</t>
  </si>
  <si>
    <t>AIS school</t>
  </si>
  <si>
    <t>28710170201569</t>
  </si>
  <si>
    <t>https://drive.google.com/open?id=13J_fxU_VYGYxjoqQToBu4Ha0rzx4VLAT</t>
  </si>
  <si>
    <t>https://drive.google.com/open?id=1cDKYVoeZsxjNxSvkJNGdDzCAwCPOiVZY</t>
  </si>
  <si>
    <t>بنك ابو ظبى الاسلامى</t>
  </si>
  <si>
    <t>Lagoon</t>
  </si>
  <si>
    <t>200000611929</t>
  </si>
  <si>
    <t>EG060030022300000200000611929</t>
  </si>
  <si>
    <t>ABDIEGCAXXX</t>
  </si>
  <si>
    <t>0750</t>
  </si>
  <si>
    <t>Omneya galal mesbah ibrahim</t>
  </si>
  <si>
    <t>omneya.galal2@gmail.com</t>
  </si>
  <si>
    <t>201060741109</t>
  </si>
  <si>
    <t>Ministry of Education</t>
  </si>
  <si>
    <t>https://drive.google.com/open?id=1dcFiqbPaJQ76R9cxFsJWDRnJhO5jWSvB</t>
  </si>
  <si>
    <t>https://drive.google.com/open?id=1BLPDvGddw0X3QMnA6zjyOfwWSEkH4TQ4</t>
  </si>
  <si>
    <t>Omnia galal mesbah ibrahim</t>
  </si>
  <si>
    <t>Saint Gini Kafr abdou</t>
  </si>
  <si>
    <t>2495001259852201015</t>
  </si>
  <si>
    <t>EG800003024950012598522010150</t>
  </si>
  <si>
    <t>0249</t>
  </si>
  <si>
    <t>Tarek Mohamed Lotfy Mohamed</t>
  </si>
  <si>
    <t>طارق محمد لطفى محمد</t>
  </si>
  <si>
    <t>tarekmohamedlotfy@gmail.com</t>
  </si>
  <si>
    <t>201220802196</t>
  </si>
  <si>
    <t xml:space="preserve">Alexandria Language / International School </t>
  </si>
  <si>
    <t xml:space="preserve">Administrative Manger </t>
  </si>
  <si>
    <t>https://drive.google.com/open?id=1YblRG6lw4zsJjLhBWrzEqc8r0IiGw5Sr</t>
  </si>
  <si>
    <t>https://drive.google.com/open?id=1hPrzApOtqb8EJLJjdWMdekNe7ah2LjgD</t>
  </si>
  <si>
    <t xml:space="preserve">Tarek Mohamed Lotfy </t>
  </si>
  <si>
    <t>السيوف</t>
  </si>
  <si>
    <t>09781494</t>
  </si>
  <si>
    <t>EG710003021650009781494010130</t>
  </si>
  <si>
    <t>Aalaa Nabil Abd AlQader saad Ahmed</t>
  </si>
  <si>
    <t>aalaanabil3@gmail.com</t>
  </si>
  <si>
    <t>201067176390</t>
  </si>
  <si>
    <t>Future American School</t>
  </si>
  <si>
    <t>Librarian</t>
  </si>
  <si>
    <t>https://drive.google.com/open?id=1_iKZKs2MF7b9yQp1sjqMSoLl3_RUHYW-</t>
  </si>
  <si>
    <t>https://drive.google.com/open?id=1kkoFGDA3VD9_YeGPn-1VOWCnpyx8nxB2</t>
  </si>
  <si>
    <t>ALAA NABIL ABDELKADER</t>
  </si>
  <si>
    <t>Roshdy - Alexandria</t>
  </si>
  <si>
    <t>EG670037019908181002445324220</t>
  </si>
  <si>
    <t>0199</t>
  </si>
  <si>
    <t>Rasha shehata mohamed abdelhalim</t>
  </si>
  <si>
    <t>رشا شحاته محمد عبد الحليم</t>
  </si>
  <si>
    <t>garmagadoon@gmail.com</t>
  </si>
  <si>
    <t>201018224470</t>
  </si>
  <si>
    <t>Pioneers American school</t>
  </si>
  <si>
    <t xml:space="preserve">Chemistry coordinator </t>
  </si>
  <si>
    <t>https://drive.google.com/open?id=1P1RP37bYMlu-_TzJyuvLKxl_hj-CINfq</t>
  </si>
  <si>
    <t>https://drive.google.com/open?id=1mjLrlMNKdoTfQx7Xw2aEPQOoxNHHIDfZ</t>
  </si>
  <si>
    <t>رشا شحاته محمد عبدالحليم</t>
  </si>
  <si>
    <t>2115000202363000017</t>
  </si>
  <si>
    <t>EG930003021150002023630000170</t>
  </si>
  <si>
    <t xml:space="preserve">May Basem Mohamed Mahmoud </t>
  </si>
  <si>
    <t>مي باسم محمد محمود</t>
  </si>
  <si>
    <t>mayuy.basem@gmail.com</t>
  </si>
  <si>
    <t>201118709078</t>
  </si>
  <si>
    <t xml:space="preserve">Egyptian American school </t>
  </si>
  <si>
    <t>Social worker</t>
  </si>
  <si>
    <t>28905088800247</t>
  </si>
  <si>
    <t>https://drive.google.com/open?id=1oTjXbqKW2-7-eoWHb1YkYWBMovosm0QZ</t>
  </si>
  <si>
    <t>https://drive.google.com/open?id=17Km40hvElIw8BNWBXQInjFzBtjEhh6m_</t>
  </si>
  <si>
    <t>MAI BASSEM MOHAM</t>
  </si>
  <si>
    <t>EG570002046904690331000001066</t>
  </si>
  <si>
    <t>0469</t>
  </si>
  <si>
    <t>Mohamed Farouk Mohamed Abd-Elrazak Rayyan</t>
  </si>
  <si>
    <t>محمد فاروق محمد عبد الرزاق ريان</t>
  </si>
  <si>
    <t>smartwaytec@gmail.com</t>
  </si>
  <si>
    <t>201111319437</t>
  </si>
  <si>
    <t>El Quds International school</t>
  </si>
  <si>
    <t>IT Specialist</t>
  </si>
  <si>
    <t>28906150202251</t>
  </si>
  <si>
    <t>https://drive.google.com/open?id=10gCwpoSbTjosyl3fH9AlNEDBI-oWko9B</t>
  </si>
  <si>
    <t>https://drive.google.com/open?id=11UnDgaXkVrId_FD_3JIgVwQZY2bPjr8H</t>
  </si>
  <si>
    <t>mohamed farouk mohamed abelrazak rayyan</t>
  </si>
  <si>
    <t>1130077757112</t>
  </si>
  <si>
    <t>EG190037072408181130077757112</t>
  </si>
  <si>
    <t>Marwa Mohamed Abdel Aziz Shama</t>
  </si>
  <si>
    <t xml:space="preserve">مروة محمد عبدالعزيز شامة </t>
  </si>
  <si>
    <t xml:space="preserve">shama.marwa@gmail.com </t>
  </si>
  <si>
    <t>201095006502</t>
  </si>
  <si>
    <t xml:space="preserve">Chemistry teacher/Coordinator </t>
  </si>
  <si>
    <t>https://drive.google.com/open?id=18qG7Zy_C4q6GiOJ1K065i6XrgH0m0TyP</t>
  </si>
  <si>
    <t>https://drive.google.com/open?id=1QixbeEadyfqQTTQ67SmYPTeUX__x_cCA</t>
  </si>
  <si>
    <t>مروه محمد عبدالعزيز شامه</t>
  </si>
  <si>
    <t>2245000371330100012</t>
  </si>
  <si>
    <t>EG910003022450003713301000120</t>
  </si>
  <si>
    <t>Dalia abed elrheem moustafa</t>
  </si>
  <si>
    <t xml:space="preserve">داليا عبد الرحيم مصطفى </t>
  </si>
  <si>
    <t>dm8677123@gmail.com</t>
  </si>
  <si>
    <t>201270230165</t>
  </si>
  <si>
    <t>Accountant</t>
  </si>
  <si>
    <t>https://drive.google.com/open?id=1c7qrcD52LkiqJhVQpCFf9kD1cb9ehRGr</t>
  </si>
  <si>
    <t>https://drive.google.com/open?id=1AkCmBe8YR10-sCG2wcAIa758XgbY3H2U</t>
  </si>
  <si>
    <t>Dalia abed elrheem</t>
  </si>
  <si>
    <t>005452050001</t>
  </si>
  <si>
    <t>EG360019002600000005452050001</t>
  </si>
  <si>
    <t>412A</t>
  </si>
  <si>
    <t xml:space="preserve">Mennatullah Gamal Ibrahim Khalil </t>
  </si>
  <si>
    <t>منه الله جمال ابراهيم خليل فاضل</t>
  </si>
  <si>
    <t>mennafadel91@gmail.com</t>
  </si>
  <si>
    <t>201066237192</t>
  </si>
  <si>
    <t xml:space="preserve">Egyptian British International School </t>
  </si>
  <si>
    <t xml:space="preserve">English Coordinator </t>
  </si>
  <si>
    <t>https://drive.google.com/open?id=1uhpaYpE8B5VofBzHHYyhHVcmO9ezCyQm</t>
  </si>
  <si>
    <t>https://drive.google.com/open?id=1itHI_2wz-z0sWE4KAVnXtGZ4kXG_69h1</t>
  </si>
  <si>
    <t xml:space="preserve">EL HANOUVEL </t>
  </si>
  <si>
    <t>2305001273243801017</t>
  </si>
  <si>
    <t>EG350003023050012732438010170</t>
  </si>
  <si>
    <t xml:space="preserve">Engy Basem Mohamed Mahmoud </t>
  </si>
  <si>
    <t xml:space="preserve">انجي باسم محمد محمود </t>
  </si>
  <si>
    <t>jojobasem1@gmail.com</t>
  </si>
  <si>
    <t>201122660562</t>
  </si>
  <si>
    <t xml:space="preserve"> Egyptian American school</t>
  </si>
  <si>
    <t>Admin (librarian teacher)</t>
  </si>
  <si>
    <t>29006198800284</t>
  </si>
  <si>
    <t>https://drive.google.com/open?id=16Wne0ZYEKpFch5jtlmj0LY1uNYG7bAfZ</t>
  </si>
  <si>
    <t>https://drive.google.com/open?id=1BpjIU5L14-6RIAZAXEWb9JnzZaNj-1dM</t>
  </si>
  <si>
    <t xml:space="preserve">Engy Basem Mohamed </t>
  </si>
  <si>
    <t>EG650002038603860111000003392</t>
  </si>
  <si>
    <t>412B</t>
  </si>
  <si>
    <t>Nourine Tarek Mohamed Shalaby</t>
  </si>
  <si>
    <t>نورين طارق محمد شلبي</t>
  </si>
  <si>
    <t>noury.shalaby@gmail.com</t>
  </si>
  <si>
    <t>201099273866</t>
  </si>
  <si>
    <t>30212090100426</t>
  </si>
  <si>
    <t>https://drive.google.com/open?id=1UFJNTu-bbjFkJVsN1KFdZTAEzOXqIS3Z</t>
  </si>
  <si>
    <t>https://drive.google.com/open?id=1YCR6zHjbK6Tw9h96YJ4dTHEC_EiyBOcS</t>
  </si>
  <si>
    <t>Gleem</t>
  </si>
  <si>
    <t>1130544910885</t>
  </si>
  <si>
    <t>EG390037016508181130544910885</t>
  </si>
  <si>
    <t>0165</t>
  </si>
  <si>
    <t>Esraa Refaat Abead Radwan</t>
  </si>
  <si>
    <t>esraarefaat14.er1@gmail.com</t>
  </si>
  <si>
    <t>201272204831</t>
  </si>
  <si>
    <t>29603190200065</t>
  </si>
  <si>
    <t>https://drive.google.com/open?id=1ur_bP3qstXGW1TjDDMSbLsuEY_8wdol9</t>
  </si>
  <si>
    <t>https://drive.google.com/open?id=1wvIiJPNl3LnxoCXquUBBfjI7rePsZHYc</t>
  </si>
  <si>
    <t>اسراء رفعت عبيد</t>
  </si>
  <si>
    <t>فرع المعمورة</t>
  </si>
  <si>
    <t>EG200037019908181130958571673</t>
  </si>
  <si>
    <t xml:space="preserve">Nada Nasser Hassan Mohamed </t>
  </si>
  <si>
    <t xml:space="preserve">ندي ناصر حسن محمد </t>
  </si>
  <si>
    <t>nada.nasser6556@gmail.com</t>
  </si>
  <si>
    <t>201201188100</t>
  </si>
  <si>
    <t>mathematical teacher</t>
  </si>
  <si>
    <t>https://drive.google.com/open?id=1QyEOuGshzq8_jf1AWYkLymg7h1Sa9lMA</t>
  </si>
  <si>
    <t>https://drive.google.com/open?id=12_uaSZAo7qSMFnpLFSPcipnr3-H-CCfP</t>
  </si>
  <si>
    <t>Nada Nasser Hassan Mohamed Sadaka</t>
  </si>
  <si>
    <t>1130593527369</t>
  </si>
  <si>
    <t>EG810037014808181130593527369</t>
  </si>
  <si>
    <t>Service</t>
  </si>
  <si>
    <t>Abdel Rady Mohamed</t>
  </si>
  <si>
    <t>Islam abdel fattah Eltelbany</t>
  </si>
  <si>
    <t>Moamen Ahmed Abdo</t>
  </si>
  <si>
    <t>مؤمن احمد عبده محمد</t>
  </si>
  <si>
    <t>momenellaban210@gmail.com</t>
  </si>
  <si>
    <t>201145495393</t>
  </si>
  <si>
    <t>108</t>
  </si>
  <si>
    <t>Horus University - Egypt ( HUE ) Faculty of Engineering</t>
  </si>
  <si>
    <t>Sara elsayed ahmed mohamed Hadad</t>
  </si>
  <si>
    <t>سارة السيد احمد محمد حداد</t>
  </si>
  <si>
    <t>saraelhadad5@gmail.com</t>
  </si>
  <si>
    <t>201206551825</t>
  </si>
  <si>
    <t>ERC</t>
  </si>
  <si>
    <t>104</t>
  </si>
  <si>
    <t>Ahmed Khalaf Saleh</t>
  </si>
  <si>
    <t>احمد خلف صالح على</t>
  </si>
  <si>
    <t>ahmed.khalaf.saleh@gmail.com</t>
  </si>
  <si>
    <t>201274915124</t>
  </si>
  <si>
    <t>29110142600438</t>
  </si>
  <si>
    <t>Deraya University Faculty of  Dentistry</t>
  </si>
  <si>
    <t>https://maps.app.goo.gl/bMuFgkkjUTpLJ4zN8</t>
  </si>
  <si>
    <t>109</t>
  </si>
  <si>
    <t>Bishoy Samy Shawky</t>
  </si>
  <si>
    <t>بيشوى سامى  شوقي بطرس</t>
  </si>
  <si>
    <t>Beshoy24samy@gmail.com</t>
  </si>
  <si>
    <t>201281416991</t>
  </si>
  <si>
    <t>29106180200373</t>
  </si>
  <si>
    <t>82</t>
  </si>
  <si>
    <t>HUE Employee</t>
  </si>
  <si>
    <t xml:space="preserve">Housing &amp; Development Bank </t>
  </si>
  <si>
    <t xml:space="preserve">جمصه </t>
  </si>
  <si>
    <t>HDBKEGCAXXX</t>
  </si>
  <si>
    <t>0074</t>
  </si>
  <si>
    <t>Rana Essam Mohamed</t>
  </si>
  <si>
    <t>رنا عصام محمد</t>
  </si>
  <si>
    <t>rdawood@horus.edu.eg</t>
  </si>
  <si>
    <t>EG170038007400000740000788260</t>
  </si>
  <si>
    <t>E205</t>
  </si>
  <si>
    <t>Ahmed Mahmoud Abou El Atta</t>
  </si>
  <si>
    <t>أحمد محمود أبو العطا</t>
  </si>
  <si>
    <t>aatta@horus.edu.eg</t>
  </si>
  <si>
    <t>EG510038007400000740000784932</t>
  </si>
  <si>
    <t>Mohamed magdy elesily</t>
  </si>
  <si>
    <t>محمد مجدي السِيلي</t>
  </si>
  <si>
    <t>meleseely@horus.edu.eg</t>
  </si>
  <si>
    <t>جمصه</t>
  </si>
  <si>
    <t>EG100038007400000740000785476</t>
  </si>
  <si>
    <t>Eman mahmoud nasr</t>
  </si>
  <si>
    <t>إيمان محمود نصر</t>
  </si>
  <si>
    <t>esharf@horus.edu.eg</t>
  </si>
  <si>
    <t>EG400038007400000740000785615</t>
  </si>
  <si>
    <t>Rawan Ahmed Elmasry</t>
  </si>
  <si>
    <t>روان احمد المصرى</t>
  </si>
  <si>
    <t>relmasry@horus.edu.eg</t>
  </si>
  <si>
    <t>روان أحمد المصري</t>
  </si>
  <si>
    <t>EG360038007400000740001218986</t>
  </si>
  <si>
    <t>E211</t>
  </si>
  <si>
    <t>Mohamed Atef Taher</t>
  </si>
  <si>
    <t>محمد عاطف طاهر</t>
  </si>
  <si>
    <t>melgamal@horus.edu.eg</t>
  </si>
  <si>
    <t>EG340038007400000740000785529</t>
  </si>
  <si>
    <t>Khaled mahmoud eldengawy</t>
  </si>
  <si>
    <t>خالد محمود الدنجاوي</t>
  </si>
  <si>
    <t>kdingawy@horus.edu.eg</t>
  </si>
  <si>
    <t>EG310038007400000740001014309</t>
  </si>
  <si>
    <t>E212</t>
  </si>
  <si>
    <t>Hagar Gamel Eladl</t>
  </si>
  <si>
    <t>هاجر جمال العدل</t>
  </si>
  <si>
    <t>hawad@horus.edu.eg</t>
  </si>
  <si>
    <t>EG130038007400000740001032869</t>
  </si>
  <si>
    <t>Sherif Ahmed Sarhan</t>
  </si>
  <si>
    <t>ssarhan@horus.edu.eg</t>
  </si>
  <si>
    <t>E214</t>
  </si>
  <si>
    <t>Esraa mohamed ali</t>
  </si>
  <si>
    <t>esaeed@horus.edu.eg</t>
  </si>
  <si>
    <t>EG330038007400000740001349020</t>
  </si>
  <si>
    <t>mohamed marawan eltawahy</t>
  </si>
  <si>
    <t>محمد مروان الطوخي</t>
  </si>
  <si>
    <t>mmarawan@horus.edu.eg</t>
  </si>
  <si>
    <t>201067216228</t>
  </si>
  <si>
    <t>EG810038007400000740001359408</t>
  </si>
  <si>
    <t>Horus University - Egypt ( HUE ) Faculty of Medicine</t>
  </si>
  <si>
    <t>Ahmed Mohamed ahmed Elhosary</t>
  </si>
  <si>
    <t>احمد محمد احمد محمد حسن الحصرى</t>
  </si>
  <si>
    <t>ahmedalhosary67@gmail.com</t>
  </si>
  <si>
    <t>201097298477</t>
  </si>
  <si>
    <t>29607030200714</t>
  </si>
  <si>
    <t>Deraya University Faculty of  Business</t>
  </si>
  <si>
    <t>107</t>
  </si>
  <si>
    <t>Ahmed Ibrahim Abu Bakr</t>
  </si>
  <si>
    <t>أحمد إبراهيم أبو بكر</t>
  </si>
  <si>
    <t>aown@horus.edu.eg</t>
  </si>
  <si>
    <t>EG600038007400000740000825219</t>
  </si>
  <si>
    <t>Adham Fawzi Mustafa</t>
  </si>
  <si>
    <t>adhamsabi99@gmail.com</t>
  </si>
  <si>
    <t>201205436823</t>
  </si>
  <si>
    <t>29912010204117</t>
  </si>
  <si>
    <t>140</t>
  </si>
  <si>
    <t>E310</t>
  </si>
  <si>
    <t>Sara elsayed atya</t>
  </si>
  <si>
    <t>سارة السيد عطية</t>
  </si>
  <si>
    <t>sasherbiny@horus.edu.eg</t>
  </si>
  <si>
    <t>EG340038007400000740001349002</t>
  </si>
  <si>
    <t>Noha hassan hassan</t>
  </si>
  <si>
    <t>نهى حسن حسن</t>
  </si>
  <si>
    <t>nzohny@horus.edu.eg</t>
  </si>
  <si>
    <t>EG750038007400000740000785179</t>
  </si>
  <si>
    <t>khaled mohamed abdelkareem</t>
  </si>
  <si>
    <t>خالد محمد عبد الكريم</t>
  </si>
  <si>
    <r>
      <rPr>
        <u/>
        <sz val="12"/>
        <color rgb="FF1155CC"/>
        <rFont val="&quot;Aptos Narrow&quot;, sans-serif"/>
      </rPr>
      <t>kmohamed@horus.edu.eg</t>
    </r>
  </si>
  <si>
    <t>EG320038007400000740001154553</t>
  </si>
  <si>
    <t>maged Fathy mohamed</t>
  </si>
  <si>
    <t>ماجد فتحي محمد</t>
  </si>
  <si>
    <r>
      <rPr>
        <u/>
        <sz val="12"/>
        <color rgb="FF1155CC"/>
        <rFont val="&quot;Aptos Narrow&quot;, sans-serif"/>
      </rPr>
      <t>mrazek@horus.edu.eg</t>
    </r>
  </si>
  <si>
    <t>EG720038007400000740000785718</t>
  </si>
  <si>
    <t>E316</t>
  </si>
  <si>
    <t>Mohamed shetela</t>
  </si>
  <si>
    <t>محمد امين محمد شتيلة</t>
  </si>
  <si>
    <t>mshetela@horus.edu.eg</t>
  </si>
  <si>
    <t>محمد شتيلا</t>
  </si>
  <si>
    <t>EG480038007400000740001154556</t>
  </si>
  <si>
    <t>Kareem mohamed elmaghawry</t>
  </si>
  <si>
    <t>كريم محمد المغاوري</t>
  </si>
  <si>
    <t>kmaghawry@horus.edu.eg</t>
  </si>
  <si>
    <t>E317</t>
  </si>
  <si>
    <t>Mohamed Attia Hamed Nagah</t>
  </si>
  <si>
    <t>محمد عطيه حامد نجاح</t>
  </si>
  <si>
    <t>mnagah@horus.edu.eg</t>
  </si>
  <si>
    <t>University</t>
  </si>
  <si>
    <t xml:space="preserve">مش موجود </t>
  </si>
  <si>
    <t xml:space="preserve">محمد عطيه حامد نجاح </t>
  </si>
  <si>
    <t>Housing &amp; Development Bank</t>
  </si>
  <si>
    <t>EG110038007400000740000785458</t>
  </si>
  <si>
    <t>Mona hosny awad</t>
  </si>
  <si>
    <t>منى حسني عوض</t>
  </si>
  <si>
    <t>moawad@horus.edu.eg</t>
  </si>
  <si>
    <t>EG240038007400000740001348988</t>
  </si>
  <si>
    <r>
      <rPr>
        <u/>
        <sz val="11"/>
        <color rgb="FF1155CC"/>
        <rFont val="Calibri, sans-serif"/>
      </rPr>
      <t>https://goo.gl/maps/QpH7dmNahszbVCFM6</t>
    </r>
  </si>
  <si>
    <t>E319</t>
  </si>
  <si>
    <t>Ahmed Mohamed Abdelhay</t>
  </si>
  <si>
    <t>أحمد محمد عبد الحي</t>
  </si>
  <si>
    <t>aabdelhay@horus.edu.eg</t>
  </si>
  <si>
    <t>EG060038007400000740001343783</t>
  </si>
  <si>
    <t>Abdelrahman Kisk</t>
  </si>
  <si>
    <t>عبد الرحمن كشك</t>
  </si>
  <si>
    <t>akishk@horus.edu.eg</t>
  </si>
  <si>
    <t>EG070038007400000740000893394</t>
  </si>
  <si>
    <t>E320</t>
  </si>
  <si>
    <t>Mohamed Abdel Fattah</t>
  </si>
  <si>
    <t>melhanafy@horus.edu.eg</t>
  </si>
  <si>
    <t>Reham Ahmed Othman</t>
  </si>
  <si>
    <t>ريهام أحمد عثمان</t>
  </si>
  <si>
    <t>rrashwan@horus.edu.eg</t>
  </si>
  <si>
    <t>EG740038007400000740000785100</t>
  </si>
  <si>
    <t>3rd floor</t>
  </si>
  <si>
    <t>Tamer Abdel Sattar</t>
  </si>
  <si>
    <t>تامر عبدالستار ابوالعنين</t>
  </si>
  <si>
    <t>tamerabdelsattar812@gmail.com</t>
  </si>
  <si>
    <t>201068801465</t>
  </si>
  <si>
    <t>27509100201072</t>
  </si>
  <si>
    <t>Tarek Hamada Hussein</t>
  </si>
  <si>
    <t>طارق حمادة حسين</t>
  </si>
  <si>
    <t>thamada@horus.edu.eg</t>
  </si>
  <si>
    <t>EG390038007400000740000831126</t>
  </si>
  <si>
    <t>Mahmoud Mohamed mahmoud Fied</t>
  </si>
  <si>
    <t>محمود محمد محمود فيض</t>
  </si>
  <si>
    <t>hoadfeed@gmail.com</t>
  </si>
  <si>
    <t>201202780019</t>
  </si>
  <si>
    <t>29508260200952</t>
  </si>
  <si>
    <t>106</t>
  </si>
  <si>
    <t>ahmed elsayed abd elwahab</t>
  </si>
  <si>
    <t>أحمد السيد عبد الوهاب</t>
  </si>
  <si>
    <t>awahab@horus.edu.eg</t>
  </si>
  <si>
    <t>2010 03907729</t>
  </si>
  <si>
    <t>EG190038007400000740000811989</t>
  </si>
  <si>
    <t>E412</t>
  </si>
  <si>
    <t>Mohamed Mahmoud Elhanafy</t>
  </si>
  <si>
    <t>محمد محمود الحنفي</t>
  </si>
  <si>
    <t>melhanafi@horus.edu.eg</t>
  </si>
  <si>
    <t>EG710038007400000740000785736</t>
  </si>
  <si>
    <t>Mohamed Ahmed Ragab</t>
  </si>
  <si>
    <t>محمد أحمد رجب</t>
  </si>
  <si>
    <t>mdeyab@horus.edu.eg</t>
  </si>
  <si>
    <t>EG870038007400000740000785545</t>
  </si>
  <si>
    <t>Nadia magdy ashraf</t>
  </si>
  <si>
    <t>نادية مجدي أشرف</t>
  </si>
  <si>
    <t>nsharaf@horus.edu.eg</t>
  </si>
  <si>
    <t>EG780038007400000740001343748</t>
  </si>
  <si>
    <t>Amro saad elbendary</t>
  </si>
  <si>
    <t>عمرو سعد البنداري</t>
  </si>
  <si>
    <t>abder@horus.edu.eg</t>
  </si>
  <si>
    <t>EG460038007400000740001075440</t>
  </si>
  <si>
    <t>E418</t>
  </si>
  <si>
    <t>Yousef Elsayed omada</t>
  </si>
  <si>
    <t>يوسف السيد عمادة</t>
  </si>
  <si>
    <t>yebada@horus.edu.eg</t>
  </si>
  <si>
    <t>EG260038007400000740001343811</t>
  </si>
  <si>
    <t>Mahmoud mostafa mahdy</t>
  </si>
  <si>
    <t>محمود مصطفى مهدي</t>
  </si>
  <si>
    <t>mmeid@horus.edu.eg</t>
  </si>
  <si>
    <t>EG080038007400000740001363826</t>
  </si>
  <si>
    <t>E419</t>
  </si>
  <si>
    <t>Mervat Ameen Mohamed</t>
  </si>
  <si>
    <t>مرفت أمين محمد</t>
  </si>
  <si>
    <r>
      <rPr>
        <u/>
        <sz val="12"/>
        <color rgb="FF1155CC"/>
        <rFont val="&quot;Aptos Narrow&quot;, sans-serif"/>
      </rPr>
      <t>Makamel@horus.edu.eg</t>
    </r>
  </si>
  <si>
    <t>EG890038007400000740000923540</t>
  </si>
  <si>
    <t>Ahmed Hisham fekry</t>
  </si>
  <si>
    <t>أحمد هشام فكري</t>
  </si>
  <si>
    <r>
      <rPr>
        <u/>
        <sz val="12"/>
        <color rgb="FF1155CC"/>
        <rFont val="&quot;Aptos Narrow&quot;, sans-serif"/>
      </rPr>
      <t>ahisham@horus.edu.eg</t>
    </r>
  </si>
  <si>
    <t>EG820038007400000740000831128</t>
  </si>
  <si>
    <t>E420</t>
  </si>
  <si>
    <t>Tarek Yehia Abdel Aziz</t>
  </si>
  <si>
    <t>طارق يحيى عبد العزيز</t>
  </si>
  <si>
    <t>tyehia@horus.edu.eg</t>
  </si>
  <si>
    <t>201027875147</t>
  </si>
  <si>
    <t>EG630038007400000740000785298</t>
  </si>
  <si>
    <t>Yasmeen Eltawahy</t>
  </si>
  <si>
    <t>ياسمين الطوخي</t>
  </si>
  <si>
    <r>
      <rPr>
        <u/>
        <sz val="12"/>
        <color rgb="FF1155CC"/>
        <rFont val="&quot;Aptos Narrow&quot;, sans-serif"/>
      </rPr>
      <t>yeltawhy@horus.edu.eg</t>
    </r>
  </si>
  <si>
    <t>201008697042</t>
  </si>
  <si>
    <t>EG090038007400000740000785785</t>
  </si>
  <si>
    <t>Sara Salah Eltanahy</t>
  </si>
  <si>
    <t>سارة صلاح التناغي</t>
  </si>
  <si>
    <t>seltanahy@horus.edu.eg</t>
  </si>
  <si>
    <t>201008786071</t>
  </si>
  <si>
    <t>EG850038007400000740001329654</t>
  </si>
  <si>
    <t>Ramy Kishta</t>
  </si>
  <si>
    <t>رامي قشطه</t>
  </si>
  <si>
    <t>rkishta@horus.edu.eg</t>
  </si>
  <si>
    <t>new</t>
  </si>
  <si>
    <t>EG470038007400000740000785780</t>
  </si>
  <si>
    <t>E421</t>
  </si>
  <si>
    <t>Raniah metwally abo saleh</t>
  </si>
  <si>
    <t>رانيا متولي أبو صالح</t>
  </si>
  <si>
    <t>rmetwaly@horus.edu.eg</t>
  </si>
  <si>
    <t>201069757121</t>
  </si>
  <si>
    <t>EG770038007400000740001128717</t>
  </si>
  <si>
    <t>Hussein hamed barakat</t>
  </si>
  <si>
    <t>حسين حامد بركات</t>
  </si>
  <si>
    <t>hhussein@horus.edu.eg</t>
  </si>
  <si>
    <t>201111036057</t>
  </si>
  <si>
    <t>EG530038007400000740000785672</t>
  </si>
  <si>
    <t>E422</t>
  </si>
  <si>
    <t>Mohamed reda soliman</t>
  </si>
  <si>
    <t>محمد رضا سليمان</t>
  </si>
  <si>
    <t>mreda@horus.edu.eg</t>
  </si>
  <si>
    <t>HUE employee</t>
  </si>
  <si>
    <t>Gamasa</t>
  </si>
  <si>
    <t>EG670038007400000740000926361</t>
  </si>
  <si>
    <t>Sara mohamed abdelhay</t>
  </si>
  <si>
    <t>سارة محمد عبد الحي</t>
  </si>
  <si>
    <t>sabdulhay@horus.edu.eg</t>
  </si>
  <si>
    <t>EG360038007400000740000785202</t>
  </si>
  <si>
    <t>E426</t>
  </si>
  <si>
    <t>Ahmed Sameer Anwar</t>
  </si>
  <si>
    <t>أحمد سمير أنور</t>
  </si>
  <si>
    <t>amettwaly@horus.edu.eg</t>
  </si>
  <si>
    <t>EG800038007400000740000785186</t>
  </si>
  <si>
    <t>Ahmed nagy</t>
  </si>
  <si>
    <t>anagy@horus.edu.eg</t>
  </si>
  <si>
    <t>EG160038007400000740001072585</t>
  </si>
  <si>
    <t>Nohamed abdelmonem zwein</t>
  </si>
  <si>
    <t>محمد عبد المنعم زوين</t>
  </si>
  <si>
    <r>
      <rPr>
        <u/>
        <sz val="12"/>
        <color rgb="FF1155CC"/>
        <rFont val="&quot;Aptos Narrow&quot;, sans-serif"/>
      </rPr>
      <t>mzwein@horus.edu.eg</t>
    </r>
  </si>
  <si>
    <t>EG920038007400000740001010301</t>
  </si>
  <si>
    <t>Mohamed Fahmi Aboelmagd</t>
  </si>
  <si>
    <t>service</t>
  </si>
  <si>
    <t>CR2-D103</t>
  </si>
  <si>
    <t>Sphinx Cairo</t>
  </si>
  <si>
    <t>Reda Ibrahim Hamza</t>
  </si>
  <si>
    <t>رضا ابراهيم حمزه احمد</t>
  </si>
  <si>
    <t>reda.hamza@york-press.com</t>
  </si>
  <si>
    <t>201011985646</t>
  </si>
  <si>
    <t>El Sadat City</t>
  </si>
  <si>
    <t>Menofya</t>
  </si>
  <si>
    <t>شارع جامعه الرياده، المحور المركزي الجديد 2,السادات , المنوفية</t>
  </si>
  <si>
    <t>Al Ryada University for Science and Technology - Faculty of  physical Theraby</t>
  </si>
  <si>
    <t>https://maps.app.goo.gl/V1tirprgVmqHUSPk6</t>
  </si>
  <si>
    <t>5</t>
  </si>
  <si>
    <t>Ragab Gafar saeed</t>
  </si>
  <si>
    <t>رجب جعفر سعيد</t>
  </si>
  <si>
    <t>Ragab.elgafary2020@gmail.com</t>
  </si>
  <si>
    <t>201221266637</t>
  </si>
  <si>
    <t>EIPL</t>
  </si>
  <si>
    <t xml:space="preserve">1st Floor </t>
  </si>
  <si>
    <t>Aly abdel Hameed</t>
  </si>
  <si>
    <t>على عبدالحميد على سلطح</t>
  </si>
  <si>
    <t>ali.abdulhamid@york-press.com</t>
  </si>
  <si>
    <t>201000662953</t>
  </si>
  <si>
    <t>Ryada Employee</t>
  </si>
  <si>
    <t>Hala Salah Hamed Attia</t>
  </si>
  <si>
    <t>هالة صلاح حامد عطية</t>
  </si>
  <si>
    <t>Hala.Hamed@rst.edu.eg</t>
  </si>
  <si>
    <t>201067994949</t>
  </si>
  <si>
    <t>Ryada employee</t>
  </si>
  <si>
    <t>exam monitoring</t>
  </si>
  <si>
    <t>547-798-075</t>
  </si>
  <si>
    <t>Al Ryada University</t>
  </si>
  <si>
    <t>*2770111000002905</t>
  </si>
  <si>
    <t>EG250002027702770111000002905</t>
  </si>
  <si>
    <t>0277</t>
  </si>
  <si>
    <t>P024</t>
  </si>
  <si>
    <t xml:space="preserve">Mahmoud Adel Mahmoud </t>
  </si>
  <si>
    <t>Mahmoud.Adel@rst.edu.eg</t>
  </si>
  <si>
    <t>201010514327</t>
  </si>
  <si>
    <t>Admission</t>
  </si>
  <si>
    <t>Suez Canal Bank</t>
  </si>
  <si>
    <t>*9021433410100101</t>
  </si>
  <si>
    <t>EG530017009009021433410100101</t>
  </si>
  <si>
    <t>SUCAEGCXXXX</t>
  </si>
  <si>
    <t>0090</t>
  </si>
  <si>
    <t>Amira Nazih Ibrahim Bakr</t>
  </si>
  <si>
    <t>Amira.Nazih@rst.edu.eg</t>
  </si>
  <si>
    <t>*9021531510100101</t>
  </si>
  <si>
    <t>EG520017009009021531510100101</t>
  </si>
  <si>
    <t>P117</t>
  </si>
  <si>
    <t>Rehab ibrahim mohamed</t>
  </si>
  <si>
    <t>رحاب ابراهيم محمد</t>
  </si>
  <si>
    <t>rehab.maghraby@rst.edu.eg</t>
  </si>
  <si>
    <t>admission</t>
  </si>
  <si>
    <t>Rehab Ibrahim Mohamed</t>
  </si>
  <si>
    <t>*207000538002</t>
  </si>
  <si>
    <t>EG380005200700000207000538002</t>
  </si>
  <si>
    <t>Smar Omar Abdallah Al Ganainy</t>
  </si>
  <si>
    <t>Samar.Alganainy@rst.edu.eg</t>
  </si>
  <si>
    <t>*2770111000001764</t>
  </si>
  <si>
    <t>EG830002027702770111000001764</t>
  </si>
  <si>
    <t>Samar Hosni Ismail</t>
  </si>
  <si>
    <t>samarelemary943@gmil.com</t>
  </si>
  <si>
    <t>*2770111000002417</t>
  </si>
  <si>
    <t>EG090002027702770111000002417</t>
  </si>
  <si>
    <t>Omar Ali Lotfy Barakat</t>
  </si>
  <si>
    <t>عمر علي لطفي بركات</t>
  </si>
  <si>
    <t>Omar.Barakat@rst.edu.eg</t>
  </si>
  <si>
    <t>Dentistry's Dean's Office Director</t>
  </si>
  <si>
    <t>*2770111000003418</t>
  </si>
  <si>
    <t>EG450002027702770111000003418</t>
  </si>
  <si>
    <t>2nd</t>
  </si>
  <si>
    <t>Dina Fathy Abdel Aziz</t>
  </si>
  <si>
    <t>دينا فتحي عبد العزيز</t>
  </si>
  <si>
    <t>dina.fathy@rst.edu.eg</t>
  </si>
  <si>
    <t>201004766363</t>
  </si>
  <si>
    <t xml:space="preserve">*5078083389035074 </t>
  </si>
  <si>
    <t>EG820017009005078083389035074</t>
  </si>
  <si>
    <t>D028</t>
  </si>
  <si>
    <t>wael mostafa ahmed khlosy</t>
  </si>
  <si>
    <t>Wael.Mostafa@rst.edu.eg</t>
  </si>
  <si>
    <t>*2770111000006837</t>
  </si>
  <si>
    <t>EG760002027702770111000006837</t>
  </si>
  <si>
    <t>Al Ryada University for Science and Technology - Faculty of  Dentistry</t>
  </si>
  <si>
    <t>Injy Samir Monir</t>
  </si>
  <si>
    <t>Engy.samir@rst- edu-eg</t>
  </si>
  <si>
    <t>Supervisor Exam</t>
  </si>
  <si>
    <t>*2770111000004148</t>
  </si>
  <si>
    <t>EG260002027702770111000004148</t>
  </si>
  <si>
    <t>Yasmin usama tawfeek zakrya</t>
  </si>
  <si>
    <t>Jasmina.usama@yahoo.com</t>
  </si>
  <si>
    <t>Jasmina usama tawfeek zakrya</t>
  </si>
  <si>
    <t>*2770111000005898</t>
  </si>
  <si>
    <t>EG150002027702770111000005898</t>
  </si>
  <si>
    <t>Mohamed yahia Hassan Al hawari</t>
  </si>
  <si>
    <t>محمد يحيى الهوارى</t>
  </si>
  <si>
    <t>Mohamed.AlHawari@rst.edu.eg</t>
  </si>
  <si>
    <t>*2770111000003258</t>
  </si>
  <si>
    <t>EG970002027702770111000003258</t>
  </si>
  <si>
    <t>D120</t>
  </si>
  <si>
    <t>Ahmed Ibrahim Foad El Demerdash</t>
  </si>
  <si>
    <t>Ahmed.eldemerdash@rst.edu.eg</t>
  </si>
  <si>
    <t>*2473307354</t>
  </si>
  <si>
    <t>EG160002053905399352471909690</t>
  </si>
  <si>
    <t>Mohamed Mohamed Ali Al-Jali</t>
  </si>
  <si>
    <t>محمد محمد علي الجالي</t>
  </si>
  <si>
    <t>mohamedelgaly984@gmail.com</t>
  </si>
  <si>
    <t>Markz Badr</t>
  </si>
  <si>
    <t>*2470333000015197</t>
  </si>
  <si>
    <t>EG350002024702470333000015197</t>
  </si>
  <si>
    <t>A121</t>
  </si>
  <si>
    <t>Mahmoud El shawadfi</t>
  </si>
  <si>
    <t>محمود محمد السيد الشوادفي</t>
  </si>
  <si>
    <r>
      <rPr>
        <u/>
        <sz val="11"/>
        <color rgb="FF1155CC"/>
        <rFont val="Calibri, sans-serif"/>
      </rPr>
      <t>mahmoud.shawadfy@york-press.com</t>
    </r>
  </si>
  <si>
    <t>Cairo</t>
  </si>
  <si>
    <t>الاكاديمية العربية شارع المشير أحمد اسماعيل متفرع من صلاح سالم - مساكن الشيراتون -مربع 1162</t>
  </si>
  <si>
    <t>Arab Academy Sheraton Faculty of Engineering Building A</t>
  </si>
  <si>
    <t>https://goo.gl/maps/jfH1HAK54AtxvLEm7</t>
  </si>
  <si>
    <t>Alaa Abdel Tawab</t>
  </si>
  <si>
    <t>علاء عبدالتواب السيد محمد</t>
  </si>
  <si>
    <t>ELASWANYA2@GMAIL.CoM</t>
  </si>
  <si>
    <t>201143664559</t>
  </si>
  <si>
    <t>Control Room</t>
  </si>
  <si>
    <t>Ahmed Mahmoud Abdel Hafeez Mahmoud</t>
  </si>
  <si>
    <t xml:space="preserve">احمد محمود عبد الحفيظ محمود </t>
  </si>
  <si>
    <t>a7132312@gmail.com</t>
  </si>
  <si>
    <t>DLOS</t>
  </si>
  <si>
    <t>Omar Mohamed Mohamed</t>
  </si>
  <si>
    <t>عمر محمد محمد مختار</t>
  </si>
  <si>
    <t>omar.mohamed@sayegh1944.com</t>
  </si>
  <si>
    <t>FUE Employee</t>
  </si>
  <si>
    <t>Elsayed Khodairy Elsayed Hamed Mansour</t>
  </si>
  <si>
    <t>السيد خضيري السيد حامد منصور</t>
  </si>
  <si>
    <t>Elsayed.Khodairy@fue.edu.eg</t>
  </si>
  <si>
    <t>201068613120</t>
  </si>
  <si>
    <t xml:space="preserve">Arab Academy Sheraton </t>
  </si>
  <si>
    <t>شيك من القاهرة</t>
  </si>
  <si>
    <t>FUE</t>
  </si>
  <si>
    <t>CAIRO&amp;GIZA-EP</t>
  </si>
  <si>
    <t xml:space="preserve">Mohammed Abu elhasan kasem Omar </t>
  </si>
  <si>
    <t>محمد ابوالحسن قاسم عمر</t>
  </si>
  <si>
    <t>abdallamohamed0090p@gmail.com</t>
  </si>
  <si>
    <t>201100097178</t>
  </si>
  <si>
    <t>المركز القومى للامتحانات والتقويم التربوى</t>
  </si>
  <si>
    <t>I do not work in a school</t>
  </si>
  <si>
    <t>اخصائى اول</t>
  </si>
  <si>
    <t>https://drive.google.com/open?id=1kBCVThxJdnmn_545sqthKcRpuwJWf49O</t>
  </si>
  <si>
    <t>https://drive.google.com/open?id=1QuozpxoE3-L0uFCh9FynaItZWlgrNJj7</t>
  </si>
  <si>
    <t>CAIRO -  Arab Academy for Science, Technology, and Maritime Transport (Sheraton)</t>
  </si>
  <si>
    <t xml:space="preserve">محمد ابوالحسن قاسم عمر </t>
  </si>
  <si>
    <t>المقطم</t>
  </si>
  <si>
    <t>1230116865252000170</t>
  </si>
  <si>
    <t>EG960003001230116865252000170</t>
  </si>
  <si>
    <t>012</t>
  </si>
  <si>
    <t>UK-Marking</t>
  </si>
  <si>
    <t>Yasmin Mohammed Ahmed Ali</t>
  </si>
  <si>
    <t>yassogad9@gmail.com</t>
  </si>
  <si>
    <t>UK Marking</t>
  </si>
  <si>
    <t>https://drive.google.com/open?id=1P2SxUGQivQ87-oTD0svERc1e--muND7q</t>
  </si>
  <si>
    <t>https://drive.google.com/open?id=15wDfbKAYSgZS_QPuz0Eer-5V9Q60qJON</t>
  </si>
  <si>
    <t xml:space="preserve">شيك </t>
  </si>
  <si>
    <t>New UK</t>
  </si>
  <si>
    <t>A101</t>
  </si>
  <si>
    <t>Mahmoud El hussein Anwar Ali</t>
  </si>
  <si>
    <t>محمود الحسين انور على</t>
  </si>
  <si>
    <t>momoanwar867@gmail.com</t>
  </si>
  <si>
    <t>201274090166</t>
  </si>
  <si>
    <t>Hotep International School</t>
  </si>
  <si>
    <t>https://drive.google.com/open?id=1lGqxxoNIjYTMVhPzjBhxNIXrXTrb_eNt</t>
  </si>
  <si>
    <t>https://drive.google.com/open?id=1MkbknkifAtxU_T371CUTBL8ceMzqRH7o</t>
  </si>
  <si>
    <t>MAHMOUD ELHUSSIEN ANWAR</t>
  </si>
  <si>
    <t>العاشر من رمضان</t>
  </si>
  <si>
    <t>EG850002017401740333000004101</t>
  </si>
  <si>
    <t>0174</t>
  </si>
  <si>
    <t>Olivia Safwat Adly Azer</t>
  </si>
  <si>
    <t>Dr.oliviasafwat@yahoo.com</t>
  </si>
  <si>
    <t>201200810688</t>
  </si>
  <si>
    <t>Qaitbay American School</t>
  </si>
  <si>
    <t>Biology high teacher</t>
  </si>
  <si>
    <t>https://drive.google.com/open?id=1NLAGaKYNJXcGMxGyOp3K7Dw8HhBQYcrS</t>
  </si>
  <si>
    <t>https://drive.google.com/open?id=1ce_c_zZEBphRmdI50bAwYHVueR-QNjZ-</t>
  </si>
  <si>
    <t>CAIRO - Arab Academy for Science, Technology, and Maritime Transport (Sheraton)</t>
  </si>
  <si>
    <t>Shoubra</t>
  </si>
  <si>
    <t>EG440037007908181002426481318</t>
  </si>
  <si>
    <t>0079</t>
  </si>
  <si>
    <t>Reham Farouk Mohamed Mostafa</t>
  </si>
  <si>
    <t>ريهام فاروق محمد مصطفى</t>
  </si>
  <si>
    <t>berry15888@gmail.com</t>
  </si>
  <si>
    <t>201006340409</t>
  </si>
  <si>
    <t>Global Paradigm International Schools</t>
  </si>
  <si>
    <t>English Language Arts Teacher</t>
  </si>
  <si>
    <t>https://drive.google.com/open?id=1mY4L_PJJ9-QByZTGS4W1VxLl4NzExeZq</t>
  </si>
  <si>
    <t>https://drive.google.com/open?id=14ke-rNQ2Nbe3p35J1BxowEpbf72UN-IX</t>
  </si>
  <si>
    <t>Arab Bank</t>
  </si>
  <si>
    <t xml:space="preserve">Roxy </t>
  </si>
  <si>
    <t>5042490744419</t>
  </si>
  <si>
    <t>EG670044504200005042490744419</t>
  </si>
  <si>
    <t>ARABEGCXXXX</t>
  </si>
  <si>
    <t>5042</t>
  </si>
  <si>
    <t>Mohamed Fawzy Abdel-Aleem Ayad</t>
  </si>
  <si>
    <t>محمد فوزي عبد العليم عياد</t>
  </si>
  <si>
    <t>mohamed.ayaad@fue.edu.eg</t>
  </si>
  <si>
    <t>201005400458</t>
  </si>
  <si>
    <t>A110</t>
  </si>
  <si>
    <t>Doaa Youssef elsayed mohamed</t>
  </si>
  <si>
    <t>دعاء يوسف السيد محمد</t>
  </si>
  <si>
    <t>doaay99@gmail.com</t>
  </si>
  <si>
    <t>201093749599</t>
  </si>
  <si>
    <t xml:space="preserve">Integrated Thebes International school </t>
  </si>
  <si>
    <t xml:space="preserve">Arabic teacher </t>
  </si>
  <si>
    <t>https://drive.google.com/open?id=1vaYkn-dP-j5M6_PPN_XyudYVn9T4QQmn</t>
  </si>
  <si>
    <t>https://drive.google.com/open?id=1rUhZlsoko3tf71FVmuQE02LnRPgWo8hQ</t>
  </si>
  <si>
    <t xml:space="preserve">Doaa Youssef elsayed mohamed </t>
  </si>
  <si>
    <t xml:space="preserve">Al Mashreq bank Egypt </t>
  </si>
  <si>
    <t>هليوبليس</t>
  </si>
  <si>
    <t>059100932705</t>
  </si>
  <si>
    <t>EG580046020400000059100932705</t>
  </si>
  <si>
    <t>MSHQEGCAXXX</t>
  </si>
  <si>
    <t xml:space="preserve">Rahma Ahmed Mohamed Abdou Allam </t>
  </si>
  <si>
    <t>rahma.allam@gmail.com</t>
  </si>
  <si>
    <t xml:space="preserve">Bedayia </t>
  </si>
  <si>
    <t xml:space="preserve">Librarian </t>
  </si>
  <si>
    <t>https://drive.google.com/open?id=1aMMgRPzfc9Sk7aHaYdN6xfr3LgD3mpFA</t>
  </si>
  <si>
    <t>https://drive.google.com/open?id=13jkiigilHFunUsILiyhOHItLWcgjzxoQ</t>
  </si>
  <si>
    <t xml:space="preserve">Rahma Ahmed Mohamed </t>
  </si>
  <si>
    <t>Maadi</t>
  </si>
  <si>
    <t>Odet kamel Boktor Ibrahem</t>
  </si>
  <si>
    <t>أوديت كامل بقطر إبراهيم</t>
  </si>
  <si>
    <t>Kamelodet753@gmail.com</t>
  </si>
  <si>
    <t>ITTAC</t>
  </si>
  <si>
    <t>Techar</t>
  </si>
  <si>
    <t>https://drive.google.com/open?id=1GBgE0RVmjJIx4X9z4geIK1brR36yMDGo</t>
  </si>
  <si>
    <t>https://drive.google.com/open?id=1sjnNfwt2MJBKu8mOoxBdMIftSbrR0DQR</t>
  </si>
  <si>
    <t>سيتي سنتر ألماظة</t>
  </si>
  <si>
    <t>A111</t>
  </si>
  <si>
    <t xml:space="preserve">Ahmed Saad Mahmoud Mubarak </t>
  </si>
  <si>
    <t>as0748462@gmail.com</t>
  </si>
  <si>
    <t>201111900604</t>
  </si>
  <si>
    <t>princeton School</t>
  </si>
  <si>
    <t xml:space="preserve">PE teachers </t>
  </si>
  <si>
    <t>https://drive.google.com/open?id=14f5eMD_1_hWCX0aKbCweZAq35KBd6Kht</t>
  </si>
  <si>
    <t>https://drive.google.com/open?id=1OGUenpxirUWEfxlebvz90z4fZmzj_X1p</t>
  </si>
  <si>
    <t>ترعة الجبل</t>
  </si>
  <si>
    <t>7830333000027830</t>
  </si>
  <si>
    <t>EG560002078307830333000027830</t>
  </si>
  <si>
    <t>0783</t>
  </si>
  <si>
    <t xml:space="preserve">Rawda Kamal abdelaziz Mohamed </t>
  </si>
  <si>
    <t xml:space="preserve">روضه كمال عبدالعزيز محمد </t>
  </si>
  <si>
    <t>rawdakamal779@gmail.com</t>
  </si>
  <si>
    <t>201156384057</t>
  </si>
  <si>
    <t xml:space="preserve">Hotep international school </t>
  </si>
  <si>
    <t xml:space="preserve">Art teacher </t>
  </si>
  <si>
    <t>484_568_809</t>
  </si>
  <si>
    <t>https://drive.google.com/open?id=1OmWq36z__XaC_6s2KUjtS8W_edW2fBQg</t>
  </si>
  <si>
    <t>https://drive.google.com/open?id=1nbGpaDmZKLXnyMqb5A46D3MB7GJZ4BPd</t>
  </si>
  <si>
    <t>RAWDA KAMAL ABDELAZIZ</t>
  </si>
  <si>
    <t>Badr</t>
  </si>
  <si>
    <t>1940333000072507</t>
  </si>
  <si>
    <t>EG950002019401940333000072507</t>
  </si>
  <si>
    <t>0194</t>
  </si>
  <si>
    <t>Amany sobhy Saad franses</t>
  </si>
  <si>
    <t xml:space="preserve">اماني صبحي سعد فرنسيس </t>
  </si>
  <si>
    <t>robertohapip@gmail.com</t>
  </si>
  <si>
    <t>201227385275</t>
  </si>
  <si>
    <t>Sanf Fatima international school Alhegas</t>
  </si>
  <si>
    <t>IT</t>
  </si>
  <si>
    <t>https://drive.google.com/open?id=1RQ8jItLyGoz3fH7RlXWqXV8BYUztJDvR</t>
  </si>
  <si>
    <t>https://drive.google.com/open?id=1MQ-l6qxCOBYHqa-YxJi1_f-_WNQjXcfd</t>
  </si>
  <si>
    <t>سانت فاتيما</t>
  </si>
  <si>
    <t>794210010354</t>
  </si>
  <si>
    <t>EG840004107900000794210010354</t>
  </si>
  <si>
    <t>1079</t>
  </si>
  <si>
    <t>A117</t>
  </si>
  <si>
    <t>Mohamed ahmed fouad ahmed</t>
  </si>
  <si>
    <t>foush_7@yahoo.com</t>
  </si>
  <si>
    <t>201111259255</t>
  </si>
  <si>
    <t>Thepes international school</t>
  </si>
  <si>
    <t>https://drive.google.com/open?id=16GszB9SmhW2q9N1N6EK2VhLVwlN6nI5j</t>
  </si>
  <si>
    <t>https://drive.google.com/open?id=1AR2kCDZTSyN1Abf8cIz-cZ6TNGGLjjGK</t>
  </si>
  <si>
    <t>عمر بن الخطاب</t>
  </si>
  <si>
    <t>1130703320657</t>
  </si>
  <si>
    <t>EG190037020408181130703320657</t>
  </si>
  <si>
    <t>0204</t>
  </si>
  <si>
    <t>Maha Mahmoud Sayed Ahmed</t>
  </si>
  <si>
    <t>mahabekeie78@gmail.com</t>
  </si>
  <si>
    <t>Capital International Schools</t>
  </si>
  <si>
    <t>Book &amp; Resources Coordinator</t>
  </si>
  <si>
    <t>N/A</t>
  </si>
  <si>
    <t>https://drive.google.com/open?id=1U69zbyBCxcLMUG7Lqzzk_wtaooO0DunJ</t>
  </si>
  <si>
    <t>https://drive.google.com/open?id=1Fs6u_s6sB-wN7aedIXfXcT1_qFj7qY95</t>
  </si>
  <si>
    <t>Maha Mahmoud Sayed Ahmed AlBekeie</t>
  </si>
  <si>
    <t>EG190037005908401002380573262</t>
  </si>
  <si>
    <t>Amal Saied Ahmed Ewies</t>
  </si>
  <si>
    <t>Bosysaeed1982@gmail.com</t>
  </si>
  <si>
    <t>201006745789</t>
  </si>
  <si>
    <t>لا يوجد</t>
  </si>
  <si>
    <t>28208140104901</t>
  </si>
  <si>
    <t>A118</t>
  </si>
  <si>
    <t>Wesam Mohamed Mahmoud Aly</t>
  </si>
  <si>
    <t>وسام محمد محمود علي</t>
  </si>
  <si>
    <t>wesam.aly@fue.edu.eg</t>
  </si>
  <si>
    <t>201229894157</t>
  </si>
  <si>
    <t>17752788</t>
  </si>
  <si>
    <t>Heba Allah Hafez Hussein  Mohamed</t>
  </si>
  <si>
    <t>heba87.hafez@gmail.com</t>
  </si>
  <si>
    <t>201008150228</t>
  </si>
  <si>
    <t>مدرسة الادفنتست الخاصة بحدائق الزيتون</t>
  </si>
  <si>
    <t xml:space="preserve">مدرس لغة عربية </t>
  </si>
  <si>
    <t>https://drive.google.com/open?id=1DPg1mmQwdKG0rf-ndUJCtHxwmNkUc5Qc</t>
  </si>
  <si>
    <t>https://drive.google.com/open?id=10WFCweFL89IrmNJsJpgI785FunipwiS-</t>
  </si>
  <si>
    <t>هبة الله حافظ حسين محمد</t>
  </si>
  <si>
    <t>جسر السويس  البنيان</t>
  </si>
  <si>
    <t>0955001792296400014</t>
  </si>
  <si>
    <t>EG280003009550017922964000140</t>
  </si>
  <si>
    <t>0095</t>
  </si>
  <si>
    <t>Marain Baheg Kamel Tawfeek</t>
  </si>
  <si>
    <t>ماريان باهج كامل توفيق</t>
  </si>
  <si>
    <t>marian.baheg@gmail.com</t>
  </si>
  <si>
    <t>201224577041</t>
  </si>
  <si>
    <t xml:space="preserve">Merryland International School </t>
  </si>
  <si>
    <t xml:space="preserve">Humanities &amp; Global Perspectives Teacher </t>
  </si>
  <si>
    <t>https://drive.google.com/open?id=12HLJhZRst6720mdeFTl2Tk2gQ-rxrXgE</t>
  </si>
  <si>
    <t>https://drive.google.com/open?id=1uAxcTtmmGXoMcwb8_YsW-XY7jRjLjU94</t>
  </si>
  <si>
    <t xml:space="preserve">مريان باهج كامل توفيق </t>
  </si>
  <si>
    <t>المرغنى</t>
  </si>
  <si>
    <t>1375000367614700013</t>
  </si>
  <si>
    <t>EG900003013750003676147000130</t>
  </si>
  <si>
    <t>0137</t>
  </si>
  <si>
    <t>A119</t>
  </si>
  <si>
    <t xml:space="preserve">Salma Hisham Hasan Abd El-Rahman </t>
  </si>
  <si>
    <t xml:space="preserve">سلمى هشام حسن عبد الرحمن </t>
  </si>
  <si>
    <t>salmahesham689@gmail.com</t>
  </si>
  <si>
    <t>201094177334</t>
  </si>
  <si>
    <t>Youssef El Sebaei Official Language School</t>
  </si>
  <si>
    <t>Experimental school</t>
  </si>
  <si>
    <t>https://drive.google.com/open?id=1pxm0bZAffYyxi5x9SVy9x29yAtCisRwy</t>
  </si>
  <si>
    <t>https://drive.google.com/open?id=1mHDEglYhwTXZ6emRQjKQKcHLIVsjeHgm</t>
  </si>
  <si>
    <t>Salma Hesham Hasan</t>
  </si>
  <si>
    <t>Manshyet el tahrer</t>
  </si>
  <si>
    <t>7960333000041910</t>
  </si>
  <si>
    <t>EG600002079607960333000041910</t>
  </si>
  <si>
    <t>0796</t>
  </si>
  <si>
    <t>Therese Nabil Antoon Yacoub</t>
  </si>
  <si>
    <t>تريز نبيل انطون يعقوب</t>
  </si>
  <si>
    <t>Theresenabil8@gmail.com</t>
  </si>
  <si>
    <t>201201163019</t>
  </si>
  <si>
    <t>Maria Ausiliatrice school for girls</t>
  </si>
  <si>
    <t>English language teacher/ prep.stage</t>
  </si>
  <si>
    <t>https://drive.google.com/open?id=18xJAAXvRzxUpr-AcrUGdu_DsjtFMIb0m</t>
  </si>
  <si>
    <t>https://drive.google.com/open?id=14IeZmuZsy_dKMqUbaY6fcsXBxwjyJ7qK</t>
  </si>
  <si>
    <t xml:space="preserve">Therese Nabil Antoon </t>
  </si>
  <si>
    <t>0015000333147700011</t>
  </si>
  <si>
    <t>EG930003000150003331477000110</t>
  </si>
  <si>
    <t>New May</t>
  </si>
  <si>
    <t>Mohammad Gameel Tawfiq Doma</t>
  </si>
  <si>
    <t>محمد جميل توفيق دوما</t>
  </si>
  <si>
    <t>mohamed.dumah@fue.edu.eg</t>
  </si>
  <si>
    <t>201146003978</t>
  </si>
  <si>
    <t>A120</t>
  </si>
  <si>
    <t>Amr Ali Ibrahim Khalil</t>
  </si>
  <si>
    <t>amrali2784@gmail.com</t>
  </si>
  <si>
    <t>201006203506</t>
  </si>
  <si>
    <t xml:space="preserve">Global Paradigm International School </t>
  </si>
  <si>
    <t>Teacher of English Language</t>
  </si>
  <si>
    <t>https://drive.google.com/open?id=1c49f_MOMsFN8koooAmdW9X2SoG4t22OT</t>
  </si>
  <si>
    <t>https://drive.google.com/open?id=1um9oYam4Q2mgPOXbzGGpUpFiqIy0hVt6</t>
  </si>
  <si>
    <t>Amr Ali Ibrahim</t>
  </si>
  <si>
    <t>Madinaty</t>
  </si>
  <si>
    <t>100028383716</t>
  </si>
  <si>
    <t>EG510010013400000100028383716</t>
  </si>
  <si>
    <t>0134</t>
  </si>
  <si>
    <t>Asmaa Mohammed Mahmoud Aly</t>
  </si>
  <si>
    <t xml:space="preserve">اسماء محمد محمود على </t>
  </si>
  <si>
    <t>omadam81@gmail.com</t>
  </si>
  <si>
    <t>201005877999</t>
  </si>
  <si>
    <t>مدرسة المدينه الجامعيه الابتدائية النموذجية إدارة الدقى</t>
  </si>
  <si>
    <t>Psychologist</t>
  </si>
  <si>
    <t>https://drive.google.com/open?id=1MMAEF5coiobkol0eyEsyCotuRP1_kMJu</t>
  </si>
  <si>
    <t>https://drive.google.com/open?id=1S0DawgumyJ3w92NBwPJs09NHMVjUIR3X</t>
  </si>
  <si>
    <t>Asmaa Mohammed Mahmoud Ali</t>
  </si>
  <si>
    <t>بدر</t>
  </si>
  <si>
    <t>1135080942983200013</t>
  </si>
  <si>
    <t>EG730003011350809429832000130</t>
  </si>
  <si>
    <t>0113</t>
  </si>
  <si>
    <t>Suzan helmy makeen azzer</t>
  </si>
  <si>
    <t>سوزان حلمى مكين عازر</t>
  </si>
  <si>
    <t>suzey.makeen254@gmail.com</t>
  </si>
  <si>
    <t>St.fatima school nasr city</t>
  </si>
  <si>
    <t>Coordinator American division</t>
  </si>
  <si>
    <t>https://drive.google.com/open?id=1fa1vjuTnSqbF0Q4-8EMMWA8L7ALfblOi</t>
  </si>
  <si>
    <t>https://drive.google.com/open?id=1hwWECCklUOI7smULurSJ8DUovQ2szYKy</t>
  </si>
  <si>
    <t>الساحل</t>
  </si>
  <si>
    <t>Noor Ayman Mahrous Ghaly</t>
  </si>
  <si>
    <t>Fkrkotr@gmail.com</t>
  </si>
  <si>
    <t>201280815961</t>
  </si>
  <si>
    <t>External Senior</t>
  </si>
  <si>
    <t>Israa Othman Rabie AbdelRehim</t>
  </si>
  <si>
    <t>Israa.othman@outlook.com</t>
  </si>
  <si>
    <t>201110991891</t>
  </si>
  <si>
    <t xml:space="preserve">Concord international college </t>
  </si>
  <si>
    <t>https://drive.google.com/open?id=16Epe_CU8EH2YqYgCGI9RSfBgUqngiYZG</t>
  </si>
  <si>
    <t>https://drive.google.com/open?id=108CpVVmdHp06-XyeTINYsw156-zsHzkv</t>
  </si>
  <si>
    <t>Israa othman Rabia</t>
  </si>
  <si>
    <t>City Stars</t>
  </si>
  <si>
    <t>111350420001</t>
  </si>
  <si>
    <t>EG160005101100000111350420001</t>
  </si>
  <si>
    <t>1011</t>
  </si>
  <si>
    <t>Mohammed Emam Sayed Ahmed</t>
  </si>
  <si>
    <t>Eng.mohamedemam88@yahoo.com</t>
  </si>
  <si>
    <t>201005811404</t>
  </si>
  <si>
    <t>28803038800214</t>
  </si>
  <si>
    <t>A301</t>
  </si>
  <si>
    <t>Manal Gamil Boushra Saweras</t>
  </si>
  <si>
    <t>منال جميل بشرى ساويرس</t>
  </si>
  <si>
    <t xml:space="preserve">Manalgamel123@gmail.com </t>
  </si>
  <si>
    <t>201226746632</t>
  </si>
  <si>
    <t xml:space="preserve">Hotep International school </t>
  </si>
  <si>
    <t>HOD</t>
  </si>
  <si>
    <t>484-586-809</t>
  </si>
  <si>
    <t>https://drive.google.com/open?id=1st151bgbx3biXj3z2yeStM5Zyl4Mx99_</t>
  </si>
  <si>
    <t>https://drive.google.com/open?id=1jOAkatHs--nsb9pMELf95SvWHtSrfOQt</t>
  </si>
  <si>
    <t>Manal Gamil Boushra Saweres</t>
  </si>
  <si>
    <t xml:space="preserve">العباسية </t>
  </si>
  <si>
    <t>112041937001</t>
  </si>
  <si>
    <t>EG180005101200000112041937001</t>
  </si>
  <si>
    <t>1012</t>
  </si>
  <si>
    <t>Mai Ali Mohamed Ali</t>
  </si>
  <si>
    <t>مى على محمد على</t>
  </si>
  <si>
    <t>maizidane3@gmail.com</t>
  </si>
  <si>
    <t>رواسى مصر</t>
  </si>
  <si>
    <t>Account</t>
  </si>
  <si>
    <t>https://drive.google.com/open?id=1-9bYi4UDmzdiRSts4gGNRfvRjZWDEoaW</t>
  </si>
  <si>
    <t>https://drive.google.com/open?id=1xmFq9J-42TibuZHEq4UZ9I5BP1BPQ3XB</t>
  </si>
  <si>
    <t>Mai ali mohamed Ali</t>
  </si>
  <si>
    <t>اول الهرم</t>
  </si>
  <si>
    <t xml:space="preserve">Manar Farouq Mohamed Abd El-aziz </t>
  </si>
  <si>
    <t xml:space="preserve">منار فاروق محمد عبد العزيز </t>
  </si>
  <si>
    <t>manarfaruk88@gmail.com</t>
  </si>
  <si>
    <t>201004490487</t>
  </si>
  <si>
    <t xml:space="preserve">Genesis international school </t>
  </si>
  <si>
    <t>https://drive.google.com/open?id=1oEL8Xwz3D90kiUovd70ZeF-e7ljdTMCF</t>
  </si>
  <si>
    <t>https://drive.google.com/open?id=1sR2jRwHyRTwaaYnj5IH2jUW2tiq_7pKn</t>
  </si>
  <si>
    <t xml:space="preserve">مول السلام </t>
  </si>
  <si>
    <t>6463051745748500015</t>
  </si>
  <si>
    <t>EG760003064630517457485000150</t>
  </si>
  <si>
    <t>0646</t>
  </si>
  <si>
    <t>Islam Mohamed Elwageeh Abbas Abdelaal</t>
  </si>
  <si>
    <t xml:space="preserve">اسلام محمد الوجية عباس </t>
  </si>
  <si>
    <t>Eslam.wageh@hotmail.com</t>
  </si>
  <si>
    <t>201010660014</t>
  </si>
  <si>
    <t>A312</t>
  </si>
  <si>
    <t>Yasser Elsaid Fatoh Ahmed</t>
  </si>
  <si>
    <t>ياسر السيد فتوح احمد</t>
  </si>
  <si>
    <t>Yasserfatoh15@gmail.com</t>
  </si>
  <si>
    <t>201120382315</t>
  </si>
  <si>
    <t>NCEEE</t>
  </si>
  <si>
    <t>Senior technician</t>
  </si>
  <si>
    <t>https://drive.google.com/open?id=1q3BsTwLlWIqN4Y0w6QgN4JJsiOGDCvrr</t>
  </si>
  <si>
    <t>https://drive.google.com/open?id=1ZNC_Su8mrNiknqmlyqxUuLgzSkugqTP3</t>
  </si>
  <si>
    <t>ياسر السيد فتوح احمد عمرو</t>
  </si>
  <si>
    <t>1063010153146100016</t>
  </si>
  <si>
    <t>EG470003010630101531461000160</t>
  </si>
  <si>
    <t>0106</t>
  </si>
  <si>
    <t xml:space="preserve">Khlood alaa el din mohamed farouk </t>
  </si>
  <si>
    <t xml:space="preserve">خلود علاءالدين محمد فاروق </t>
  </si>
  <si>
    <t>khloodalaa90@gmail.com</t>
  </si>
  <si>
    <t>201091091726</t>
  </si>
  <si>
    <t>Mokattam international language school</t>
  </si>
  <si>
    <t>066543301</t>
  </si>
  <si>
    <t>https://drive.google.com/open?id=1v5uquYSDW53QTYlm9Ia06EbaBqfFVy5B</t>
  </si>
  <si>
    <t>https://drive.google.com/open?id=10JJLFacB2EyBiz0KOoMWpPD_6ul5aEl8</t>
  </si>
  <si>
    <t>خلود علاء الدين محمد فاروق محمد زكي</t>
  </si>
  <si>
    <t>Abbas El Akad</t>
  </si>
  <si>
    <t>0733010625311601016</t>
  </si>
  <si>
    <t>EG240003007330106253116010160</t>
  </si>
  <si>
    <t>0073</t>
  </si>
  <si>
    <t>Abd Alla Ahmed Hosni Ahmed</t>
  </si>
  <si>
    <t>aahmed123@gmail.com</t>
  </si>
  <si>
    <t>201507711816</t>
  </si>
  <si>
    <t>A319</t>
  </si>
  <si>
    <t>Samaa mohamed mahmoud ahmed</t>
  </si>
  <si>
    <t>سماء محمد محمود احمد</t>
  </si>
  <si>
    <t>mo2a.cute.mp@gmail.com</t>
  </si>
  <si>
    <t>201009893546</t>
  </si>
  <si>
    <t>Nceee</t>
  </si>
  <si>
    <t xml:space="preserve">Data entry </t>
  </si>
  <si>
    <t>https://drive.google.com/open?id=15-X7zDeTNl-CmX9bBxef6TM5myJeTjou</t>
  </si>
  <si>
    <t>https://drive.google.com/open?id=1rcaPhRRY35QP2uLNXkPABVi2vX2gfpoJ</t>
  </si>
  <si>
    <t xml:space="preserve">سماء محمد محمود احمد </t>
  </si>
  <si>
    <t>1065010375761000019</t>
  </si>
  <si>
    <t>EG130003010650103757610000190</t>
  </si>
  <si>
    <t>mohamed abd el maksoud abd el hamid hassen</t>
  </si>
  <si>
    <t>محمد عبد المقصود عبدالحميد حسن</t>
  </si>
  <si>
    <t>mohamedhager000@gmail.com</t>
  </si>
  <si>
    <t>New Baraeim Alshams Private School</t>
  </si>
  <si>
    <t>Science teacher</t>
  </si>
  <si>
    <t>https://drive.google.com/open?id=1Sh9KWsyUmmOuDcMIOgr_aNU-VVEMTqHZ</t>
  </si>
  <si>
    <t>https://drive.google.com/open?id=175Y_atDd_vtGbL01G-F4a4YUk76FGvop</t>
  </si>
  <si>
    <t>محمد عبدالمقصودعبدالحميد حسن</t>
  </si>
  <si>
    <t>Khanka branch</t>
  </si>
  <si>
    <t>EG520003011130118252852000190</t>
  </si>
  <si>
    <t xml:space="preserve">New </t>
  </si>
  <si>
    <t>Samah Samir Ezzat Mikhaeel</t>
  </si>
  <si>
    <t>سماح سمير عزت ميخائيل</t>
  </si>
  <si>
    <t>Samahshady900@gmail.com</t>
  </si>
  <si>
    <t>201272672184</t>
  </si>
  <si>
    <t>29203220100968</t>
  </si>
  <si>
    <t>A320</t>
  </si>
  <si>
    <t>Hadeer Saeed Bakry Mohamed</t>
  </si>
  <si>
    <t xml:space="preserve">هدير سعيد بكري محمد </t>
  </si>
  <si>
    <t>Hadeersaeedbakrey@gmail.com</t>
  </si>
  <si>
    <t>Al_Anwaar language schools</t>
  </si>
  <si>
    <t>https://drive.google.com/open?id=15dw2xIAa7qQz7uaZBO3B-4jGz4JoO_fa</t>
  </si>
  <si>
    <t>https://drive.google.com/open?id=1YlG3Rpce-zl0CT2SMqbLeICAFGcVIcHD</t>
  </si>
  <si>
    <t>Giza</t>
  </si>
  <si>
    <t>Saib</t>
  </si>
  <si>
    <t xml:space="preserve">Dina Wageh metry Sawers </t>
  </si>
  <si>
    <t>دينا وجيه متري ساويرس</t>
  </si>
  <si>
    <t>dedewagih@gmail.com</t>
  </si>
  <si>
    <t>201225465978</t>
  </si>
  <si>
    <t>Thebes International School</t>
  </si>
  <si>
    <t>Art Teacher</t>
  </si>
  <si>
    <t>https://drive.google.com/open?id=1495UoeoMQDqP4mRQ6mpV4XHEnpefRM5Q</t>
  </si>
  <si>
    <t>https://drive.google.com/open?id=1bQqWQb1sW13bjOy0CjhQGo_88S8tXTxt</t>
  </si>
  <si>
    <t xml:space="preserve">دينا وجيه متري ساويرس </t>
  </si>
  <si>
    <t xml:space="preserve">عين شمس </t>
  </si>
  <si>
    <t>1315001324997901017</t>
  </si>
  <si>
    <t>EG780003013150013249979010170</t>
  </si>
  <si>
    <t>0131</t>
  </si>
  <si>
    <t>Mohamed Maged Mohamed Saleh Ahmed</t>
  </si>
  <si>
    <t>محمد ماجد محمد صالح احمد</t>
  </si>
  <si>
    <t>Mmajed1611@gmail.com</t>
  </si>
  <si>
    <t>201021242537</t>
  </si>
  <si>
    <t>29106241900136</t>
  </si>
  <si>
    <t>A321</t>
  </si>
  <si>
    <t>Nahed Mohamed Mohamed sharaf darwish</t>
  </si>
  <si>
    <t>ناهد محمد محمد شرف درويش</t>
  </si>
  <si>
    <t>nahednahed035@gmail.com</t>
  </si>
  <si>
    <t>المركز القومي للامتحانات</t>
  </si>
  <si>
    <t>اخصائي اول بالمركز القومي للامتحانات</t>
  </si>
  <si>
    <t>https://drive.google.com/open?id=1E8U0Xn2C6Sw_9YkWJ7cdabU_ZyXlJJxa</t>
  </si>
  <si>
    <t>https://drive.google.com/open?id=1s_6eSmSQ3lpumKq-yjATBKvP_UNWiU_u</t>
  </si>
  <si>
    <t>NAHED MOHAMED MOHAMED DARWISH</t>
  </si>
  <si>
    <t>El Mukkatam</t>
  </si>
  <si>
    <t>EG550010009700000100038916728</t>
  </si>
  <si>
    <t xml:space="preserve">Shimaa Mahmoud Mohammed Omar </t>
  </si>
  <si>
    <t xml:space="preserve">شيماء محمود محمد عمر </t>
  </si>
  <si>
    <t>shimooomar732@gmail.com</t>
  </si>
  <si>
    <t>201000653018</t>
  </si>
  <si>
    <t>School</t>
  </si>
  <si>
    <t>Human Resources Specialist</t>
  </si>
  <si>
    <t>https://drive.google.com/open?id=1u5h9D7fgYRqNR_pRC3INWZIgf5mIbh81</t>
  </si>
  <si>
    <t>https://drive.google.com/open?id=1_vohdX8N4Q2hr7W0e3m_kQugecyeB_JL</t>
  </si>
  <si>
    <t xml:space="preserve">شيماء محمود عمر </t>
  </si>
  <si>
    <t>حلوان</t>
  </si>
  <si>
    <t>1515000652407400018</t>
  </si>
  <si>
    <t>EG310003015150006524074000180</t>
  </si>
  <si>
    <t>0151</t>
  </si>
  <si>
    <t>Eman Metry Girgis Mousa</t>
  </si>
  <si>
    <t>إيمان متري جرجس موسى</t>
  </si>
  <si>
    <t xml:space="preserve">Nanamettry@gmail.com </t>
  </si>
  <si>
    <t>201222956072</t>
  </si>
  <si>
    <t>Own heliopolis language school</t>
  </si>
  <si>
    <t>Music Teacher</t>
  </si>
  <si>
    <t>https://drive.google.com/open?id=1LJgJ05cn2i0qaNQ2cQmZW3oQ2_9XsIQW</t>
  </si>
  <si>
    <t>https://drive.google.com/open?id=1G62UyuvE9s6XEi1e5cB5mABZa27Lbo-F</t>
  </si>
  <si>
    <t>1445000352646500011</t>
  </si>
  <si>
    <t>EG120003014450003526465000110</t>
  </si>
  <si>
    <t>0144</t>
  </si>
  <si>
    <t>Belal Ashraf Galal</t>
  </si>
  <si>
    <t>بلال اشرف جلال</t>
  </si>
  <si>
    <t>belal.ashraf@longmanegypt.com</t>
  </si>
  <si>
    <t>201553483791</t>
  </si>
  <si>
    <t>Rana Soliaman Ali Soliaman</t>
  </si>
  <si>
    <t>رنا سليمان علي سليمان</t>
  </si>
  <si>
    <t>universitaire.linguiste@gmail.com</t>
  </si>
  <si>
    <t>201224641942</t>
  </si>
  <si>
    <t>28110201304364</t>
  </si>
  <si>
    <t xml:space="preserve">Walid Yani aness Yani </t>
  </si>
  <si>
    <t xml:space="preserve">وليد يني انيس يني </t>
  </si>
  <si>
    <t>walidyanianess9@gmail.com</t>
  </si>
  <si>
    <t>201281048900</t>
  </si>
  <si>
    <t xml:space="preserve">Saint Peter's school </t>
  </si>
  <si>
    <t xml:space="preserve">Music teacher </t>
  </si>
  <si>
    <t>https://drive.google.com/open?id=19y-OSJk5DUTyVBrIxPB-4vlXOiJ5Y6JM</t>
  </si>
  <si>
    <t>https://drive.google.com/open?id=1f8u3RnT4BeQSsMQG-xB_ZWBKqG4iT9qr</t>
  </si>
  <si>
    <t xml:space="preserve">وليد ينى انيس ينى </t>
  </si>
  <si>
    <t>مكرم عبيد</t>
  </si>
  <si>
    <t>1405080456718200018</t>
  </si>
  <si>
    <t>EG840003014050804567182000180</t>
  </si>
  <si>
    <t>0140</t>
  </si>
  <si>
    <t>A401</t>
  </si>
  <si>
    <t>Mohamed Mohsen Abd El Aziem Ali Meabed</t>
  </si>
  <si>
    <t>محمد محسن عبد العظيم علي معبد</t>
  </si>
  <si>
    <t>M01009298906@gmail.com</t>
  </si>
  <si>
    <t>201009298906</t>
  </si>
  <si>
    <t>Emad gamal Hakim saweras</t>
  </si>
  <si>
    <t xml:space="preserve">عماد جمال حكيم ساويرس </t>
  </si>
  <si>
    <t>emadgamal794@gmail.com</t>
  </si>
  <si>
    <t>201225481198</t>
  </si>
  <si>
    <t xml:space="preserve">Thebas American college </t>
  </si>
  <si>
    <t>Teacher pe</t>
  </si>
  <si>
    <t>https://drive.google.com/open?id=1Nj-666lFeS-FJXK_2KS-5ZEfT2QHqy9O</t>
  </si>
  <si>
    <t>https://drive.google.com/open?id=17qheuSPRogIDuU_I8Tbe-29f1IzYIhQM</t>
  </si>
  <si>
    <t xml:space="preserve">Emad gamal Hakim </t>
  </si>
  <si>
    <t>7830333000082178</t>
  </si>
  <si>
    <t>EG760002078307830333000082178</t>
  </si>
  <si>
    <t>Wael shokr gad khalil</t>
  </si>
  <si>
    <t>وائل شكر جاد خليل</t>
  </si>
  <si>
    <t>waelshokr2020@gmail.com</t>
  </si>
  <si>
    <t>201225147478</t>
  </si>
  <si>
    <t xml:space="preserve">Financial managers at ivy stem international school </t>
  </si>
  <si>
    <t>Financial manager</t>
  </si>
  <si>
    <t>https://drive.google.com/open?id=1k-LEFBp5zIItns55YMUHj5hhvkLIIzAO</t>
  </si>
  <si>
    <t>https://drive.google.com/open?id=1asIExTcUWK3zpI3vxfemBP98p2S1uLk4</t>
  </si>
  <si>
    <t xml:space="preserve">10th of Ramadan </t>
  </si>
  <si>
    <t>100044454291</t>
  </si>
  <si>
    <t>EG120010020600000100044454291</t>
  </si>
  <si>
    <t>0206</t>
  </si>
  <si>
    <t>Home room teacher</t>
  </si>
  <si>
    <t>0166</t>
  </si>
  <si>
    <t>A403</t>
  </si>
  <si>
    <t>merhan Maged Mohammad Ahmad</t>
  </si>
  <si>
    <t>sportfue@gmail.com</t>
  </si>
  <si>
    <t>201018369278</t>
  </si>
  <si>
    <t xml:space="preserve">Nesma Mofreh Anwer Sedhom </t>
  </si>
  <si>
    <t>nesmamofreh88@gmail.com</t>
  </si>
  <si>
    <t>201208328230</t>
  </si>
  <si>
    <t>IVY Stem international School</t>
  </si>
  <si>
    <t xml:space="preserve">Head of department </t>
  </si>
  <si>
    <t>https://drive.google.com/open?id=1bWaLwXO8r1U-_m3EaAL1sp5EfyWVF6sI</t>
  </si>
  <si>
    <t>https://drive.google.com/open?id=1HKRdJKYMx2EevLpSha19sdjzbdSBlne_</t>
  </si>
  <si>
    <t>Nesma Mofreh Anwer Sedhom</t>
  </si>
  <si>
    <t>Sohag</t>
  </si>
  <si>
    <t>100062566986</t>
  </si>
  <si>
    <t>EG380010013800000100062566986</t>
  </si>
  <si>
    <t>0138</t>
  </si>
  <si>
    <t xml:space="preserve">Heba fathy abdelrahman shokry </t>
  </si>
  <si>
    <t>هبه فتحى عبد الرحمن شكرى</t>
  </si>
  <si>
    <t>Heba_fathy7@hotmail.com</t>
  </si>
  <si>
    <t>201006136311</t>
  </si>
  <si>
    <t xml:space="preserve">Madinty language school </t>
  </si>
  <si>
    <t>https://drive.google.com/open?id=1Upo0OvXXXBUhLj9T_V4-LPNS1PpQVnu5</t>
  </si>
  <si>
    <t>https://drive.google.com/open?id=1P2VwQlVF8MzD-jvmDJYMDWkhAfbrCtyl</t>
  </si>
  <si>
    <t xml:space="preserve">Madinty </t>
  </si>
  <si>
    <t>EG260037016908181130538255894</t>
  </si>
  <si>
    <t>0169</t>
  </si>
  <si>
    <t>A414</t>
  </si>
  <si>
    <t>Noha Mohamed Samir Mohamed</t>
  </si>
  <si>
    <t xml:space="preserve">نهى محمد سمير محمد </t>
  </si>
  <si>
    <t>Noha.Abdelrazek@fue.edu.eg</t>
  </si>
  <si>
    <t>201095828788</t>
  </si>
  <si>
    <t>Asmaa mahmoud abdallah elsayed</t>
  </si>
  <si>
    <t>أسماء محمود عبد الله السيد</t>
  </si>
  <si>
    <t>asmaahager77@gmail.com</t>
  </si>
  <si>
    <t>201027083159</t>
  </si>
  <si>
    <t>رمسيس البريطانى الدولى</t>
  </si>
  <si>
    <t>معلمة</t>
  </si>
  <si>
    <t>لاشئ</t>
  </si>
  <si>
    <t>لا شئ</t>
  </si>
  <si>
    <t>https://drive.google.com/open?id=1NufhYc0Y50BAH2YgdZOtarKLZImTA8Bs</t>
  </si>
  <si>
    <t>https://drive.google.com/open?id=1Gx3BVPpXrr0fpFSH7OFbNB8ifncuELyV</t>
  </si>
  <si>
    <t>المبتديان</t>
  </si>
  <si>
    <t>100038044006</t>
  </si>
  <si>
    <t>EG600010007200000100038044006</t>
  </si>
  <si>
    <t>0010</t>
  </si>
  <si>
    <t>Monira Ahmed Ali fawzy</t>
  </si>
  <si>
    <t>moniraahmed73@gmail.com</t>
  </si>
  <si>
    <t>201001699201</t>
  </si>
  <si>
    <t xml:space="preserve">Akhnaton American school </t>
  </si>
  <si>
    <t xml:space="preserve">ICT supervisor </t>
  </si>
  <si>
    <t>https://drive.google.com/open?id=1som8WEWdfpJMAGEM0LtB1jzZLupsq_92</t>
  </si>
  <si>
    <t>https://drive.google.com/open?id=1aK5-J5ZMPPuuRWt9AvcyQ-84t5MPXcjK</t>
  </si>
  <si>
    <t xml:space="preserve">Monira Ahmed Ali fawzy </t>
  </si>
  <si>
    <t xml:space="preserve">تريومف </t>
  </si>
  <si>
    <t>1295010376931800016</t>
  </si>
  <si>
    <t>EG150003012950103769318000160</t>
  </si>
  <si>
    <t>0129</t>
  </si>
  <si>
    <t>A415</t>
  </si>
  <si>
    <t>Sarah Alaa El Din Wahba Ali Khaled</t>
  </si>
  <si>
    <t>سارة علاء الدين وهبة علي خالد</t>
  </si>
  <si>
    <t>sarahalaaeldin9@gmail.com</t>
  </si>
  <si>
    <t>201060963577</t>
  </si>
  <si>
    <t>https://drive.google.com/open?id=1ChRKpjrPFJc7YVzlwd4f3VRkig6l_WGP</t>
  </si>
  <si>
    <t>https://drive.google.com/open?id=17vvW-t2JVI0ps5YEUrO7v9LFL8-tRYF9</t>
  </si>
  <si>
    <t xml:space="preserve">سارة علاء الدين وهبة علي خالد </t>
  </si>
  <si>
    <t>السراج مول</t>
  </si>
  <si>
    <t>0725001234265301013</t>
  </si>
  <si>
    <t>EG790003007250012342653010130</t>
  </si>
  <si>
    <t>0072</t>
  </si>
  <si>
    <t>Mohammed Abdallah Ahmed El Anany</t>
  </si>
  <si>
    <t>محمد عبدالله احمد العنانى</t>
  </si>
  <si>
    <t>anany01124347007@gmail.com</t>
  </si>
  <si>
    <t>201124347007</t>
  </si>
  <si>
    <t>Senior It</t>
  </si>
  <si>
    <t>It Espcialist</t>
  </si>
  <si>
    <t>https://drive.google.com/open?id=1NxqyVCWp_HyWozq6jdRdMM037miphx2I</t>
  </si>
  <si>
    <t>https://drive.google.com/open?id=1VaEJSM1sHzN4OBQDYPtsMZN6UF0waJuc</t>
  </si>
  <si>
    <t>السواح</t>
  </si>
  <si>
    <t>EG120003012350012099080020230</t>
  </si>
  <si>
    <t>Nourhan Abdel Gawad Elsayed Mohmad</t>
  </si>
  <si>
    <t>نورهان عبد الجواد السيد محمد</t>
  </si>
  <si>
    <t>nourhanahmed796@gmail.com</t>
  </si>
  <si>
    <t>201069270543</t>
  </si>
  <si>
    <t>Fady Magdy Anis Melad</t>
  </si>
  <si>
    <t>فادى مجدي انيس ميلاد</t>
  </si>
  <si>
    <t>fady_magdy2002@hotmail.com</t>
  </si>
  <si>
    <t>201222794690</t>
  </si>
  <si>
    <t>Agouza Private School</t>
  </si>
  <si>
    <t>https://drive.google.com/open?id=1Idz6UFDq1VKA_RyXRJLafJ8jdwq5H3GK</t>
  </si>
  <si>
    <t>https://drive.google.com/open?id=129aiKs5LGi7NfrwSutdiW8ixeVHfZ_Tn</t>
  </si>
  <si>
    <t>فادي مجدي انيس ميلاد</t>
  </si>
  <si>
    <t>المتحف الزراعي</t>
  </si>
  <si>
    <t>1805000260957601012</t>
  </si>
  <si>
    <t>EG240003018050002609576010120</t>
  </si>
  <si>
    <t>0180</t>
  </si>
  <si>
    <t>Yasser Hamed Ebrahim Ali mehair</t>
  </si>
  <si>
    <t>yasser.mehair@gmail.com</t>
  </si>
  <si>
    <t>201006897583</t>
  </si>
  <si>
    <t>Hotep international school</t>
  </si>
  <si>
    <t>Ict teacher</t>
  </si>
  <si>
    <t>https://drive.google.com/open?id=1a_xB2wvPm4WMbmD6RKe8-sdGO5xQ22zO</t>
  </si>
  <si>
    <t>https://drive.google.com/open?id=1fkcVjX-8stn_fAscNLt2JeIgSzmMBrxr</t>
  </si>
  <si>
    <t>قليوب</t>
  </si>
  <si>
    <t>0935000396303500019</t>
  </si>
  <si>
    <t>Eg210003009350003963035000190</t>
  </si>
  <si>
    <t>0093</t>
  </si>
  <si>
    <t>B002</t>
  </si>
  <si>
    <t>Dy Abdel-hakim</t>
  </si>
  <si>
    <t>ضي عبد الحكيم عبدالله</t>
  </si>
  <si>
    <t>Dy_spc@hotmail.com</t>
  </si>
  <si>
    <t>201005202192</t>
  </si>
  <si>
    <t>الاكاديمية العربية شارع المشير أحمد اسماعيل متفرع من صلاح سالم - مساكن الشيراتون -مربع 1168</t>
  </si>
  <si>
    <t>Arab Academy Sheraton Faculty of Engineering Building B</t>
  </si>
  <si>
    <t>https://maps.app.goo.gl/yLc2rYeBG6Pm3amZ6?g_st=iw</t>
  </si>
  <si>
    <t>Rasha Talaat mohamed</t>
  </si>
  <si>
    <t>رشا طلعت محمد</t>
  </si>
  <si>
    <t>rasha-2m@hotmail.com</t>
  </si>
  <si>
    <t>201069701545</t>
  </si>
  <si>
    <t xml:space="preserve">Ibrahim aref mohamed mohamed </t>
  </si>
  <si>
    <t xml:space="preserve">hima74.ahly@gmail.com </t>
  </si>
  <si>
    <t xml:space="preserve">2010148 86097 </t>
  </si>
  <si>
    <t>Uk Marking</t>
  </si>
  <si>
    <t>https://drive.google.com/open?id=1c1jJGgEQ5D3Y_wIR_CR10qm5EpJtEwHo</t>
  </si>
  <si>
    <t>https://drive.google.com/open?id=1etJtLNdCCPkISayxfItN-kANaew3D3XI</t>
  </si>
  <si>
    <t>Ground</t>
  </si>
  <si>
    <t>Mina nagy anis meteryous</t>
  </si>
  <si>
    <t xml:space="preserve">مينا ناجى انيس متريوس </t>
  </si>
  <si>
    <t>nagymena091@gmail.com</t>
  </si>
  <si>
    <t>201220564626</t>
  </si>
  <si>
    <t>St john american school</t>
  </si>
  <si>
    <t>Pe teatcher</t>
  </si>
  <si>
    <t>https://drive.google.com/open?id=1zLRjVSN9XFY1uJkQCV0cwVFrEW82E6Hh</t>
  </si>
  <si>
    <t>https://drive.google.com/open?id=13DRr4KKT6V0oyjokb4_uWqh8Cs_YJwYw</t>
  </si>
  <si>
    <t xml:space="preserve">Elshams </t>
  </si>
  <si>
    <t>100047819916</t>
  </si>
  <si>
    <t>EG720010002400000100047819916</t>
  </si>
  <si>
    <t>0024</t>
  </si>
  <si>
    <t xml:space="preserve">Reem Tarek Mohammed Attia </t>
  </si>
  <si>
    <t xml:space="preserve">ريم طارق محمد عطيه </t>
  </si>
  <si>
    <t xml:space="preserve">Reemtarek818@gmail.com </t>
  </si>
  <si>
    <t xml:space="preserve">Uk marking </t>
  </si>
  <si>
    <t>https://drive.google.com/open?id=1wgKqG4cfDY27MP3Acg7XBYFiOb8FugZt</t>
  </si>
  <si>
    <t>https://drive.google.com/open?id=1zodOzdYijfJunHcOb67D050xiILZa6xM</t>
  </si>
  <si>
    <t>B001</t>
  </si>
  <si>
    <t>Mahmoud Muhammad Mahmoud Muhammad Zidan</t>
  </si>
  <si>
    <t>محمود محمد محمود محمد زيدان</t>
  </si>
  <si>
    <t>mahmoud.zidan@azhar.edu.eg</t>
  </si>
  <si>
    <t>201008016008</t>
  </si>
  <si>
    <t>Eagles Language School</t>
  </si>
  <si>
    <t>Head of Science Department</t>
  </si>
  <si>
    <t>https://drive.google.com/open?id=11wC1LgwB0Xd2Wj5wLQbfkAVoF1JcZzAt</t>
  </si>
  <si>
    <t>https://drive.google.com/open?id=1186r9OalagaSAMdZaTHaoyryOZL1HNYL</t>
  </si>
  <si>
    <t>mahmoud mohamed mahmoud mohamed zedan</t>
  </si>
  <si>
    <t>جامعة الازهر</t>
  </si>
  <si>
    <t>1435000205660200018</t>
  </si>
  <si>
    <t>EG540003014350002056602000180</t>
  </si>
  <si>
    <t>0143</t>
  </si>
  <si>
    <t xml:space="preserve">Kholoud Sayed Abou El Abbas Abd El Karim </t>
  </si>
  <si>
    <t>kholoudevs@gmail.com</t>
  </si>
  <si>
    <t>201093375635</t>
  </si>
  <si>
    <t xml:space="preserve">Pioneer Integrated School </t>
  </si>
  <si>
    <t xml:space="preserve">Biology teacher </t>
  </si>
  <si>
    <t>https://drive.google.com/open?id=1tLh1_r5lAmbOgTYcOXZ6ICYoOZIVKT08</t>
  </si>
  <si>
    <t>https://drive.google.com/open?id=19pMtpcuLp8mhwrIwTQLyygHCePeGCZ7d</t>
  </si>
  <si>
    <t>خلود سيد ابو العباس عبد الكريم</t>
  </si>
  <si>
    <t>Ammar Ibn Yassir (military College)</t>
  </si>
  <si>
    <t>7620333000015720</t>
  </si>
  <si>
    <t>EG200002076207620333000015720</t>
  </si>
  <si>
    <t>0762</t>
  </si>
  <si>
    <t>B005</t>
  </si>
  <si>
    <t xml:space="preserve">Rehab Mahmoud Said Taha Alzeiny </t>
  </si>
  <si>
    <t>رحاب محمود سيد طه الزيني</t>
  </si>
  <si>
    <t>rehabalzeiny@yahoo.com</t>
  </si>
  <si>
    <t>201025440881</t>
  </si>
  <si>
    <t xml:space="preserve">Tabary Shiraton </t>
  </si>
  <si>
    <t xml:space="preserve">English language teacher </t>
  </si>
  <si>
    <t>https://drive.google.com/open?id=1N4RltyJ-07FImSX5N_YNJQ4GfTZqtKkk</t>
  </si>
  <si>
    <t>https://drive.google.com/open?id=1Gf9sOiVNhKLd0s2j0d4RfQjTTh3ssygD</t>
  </si>
  <si>
    <t xml:space="preserve">Shiraton Heliopolis </t>
  </si>
  <si>
    <t>1130800507774</t>
  </si>
  <si>
    <t>EG100037073408181130800507774</t>
  </si>
  <si>
    <t>0734</t>
  </si>
  <si>
    <t>Nourhan Adel Gharib Hassan</t>
  </si>
  <si>
    <t xml:space="preserve">نورهان عادل غريب حسن </t>
  </si>
  <si>
    <t>nouraadel060@gmail.com</t>
  </si>
  <si>
    <t>201012313433</t>
  </si>
  <si>
    <t xml:space="preserve">ICT teacher </t>
  </si>
  <si>
    <t>https://drive.google.com/open?id=1N0aj1FgjM07h45F-BcDuDkLqbXfNDsfk</t>
  </si>
  <si>
    <t>https://drive.google.com/open?id=1_12w-2Ps4j_NwpgtClFEpIsS4RDvrf5V</t>
  </si>
  <si>
    <t>نورهان عادل غريب حسن شرف</t>
  </si>
  <si>
    <t>جامعة عين شمس</t>
  </si>
  <si>
    <t>6235001344817301010</t>
  </si>
  <si>
    <t>EG380003062350013448173010100</t>
  </si>
  <si>
    <t>0623</t>
  </si>
  <si>
    <t xml:space="preserve">Mohamed Sayed Salem </t>
  </si>
  <si>
    <t>محمد سيد سالم محمد شحاته</t>
  </si>
  <si>
    <t>mohamed.sayed@longmanegypt.com</t>
  </si>
  <si>
    <t>201279550686</t>
  </si>
  <si>
    <t>mohamed omar mohamed ibrahem</t>
  </si>
  <si>
    <t xml:space="preserve">محمد عمر محمد ابراهيم </t>
  </si>
  <si>
    <t>mo.omar903@gmail.com</t>
  </si>
  <si>
    <t>201121978355</t>
  </si>
  <si>
    <t xml:space="preserve">international college of banha </t>
  </si>
  <si>
    <t>Student affairs</t>
  </si>
  <si>
    <t>https://drive.google.com/open?id=1euIPigc6ZTaE_j9Rng4EJ5LF-QA97E_G</t>
  </si>
  <si>
    <t>https://drive.google.com/open?id=1nBe20gj2Mja6b9wLcbAaEIV3XDYBPAVv</t>
  </si>
  <si>
    <t>mohamed omar mohamed</t>
  </si>
  <si>
    <t>BANHA</t>
  </si>
  <si>
    <t>1130130251519</t>
  </si>
  <si>
    <t>EG150037010708181130130251519</t>
  </si>
  <si>
    <t>0107</t>
  </si>
  <si>
    <t>Youmna Kamal Ahmed Abo Elhassan</t>
  </si>
  <si>
    <t>يمني كمال احمد ابو الحسن</t>
  </si>
  <si>
    <t>youmna.kamal12345@gmail.com</t>
  </si>
  <si>
    <t>Team Leader</t>
  </si>
  <si>
    <t>https://drive.google.com/open?id=1k9xnw3ZY6LBCnK1tEPb9Q4KyMyDuzR6b</t>
  </si>
  <si>
    <t>https://drive.google.com/open?id=1qFH95aDsESS1TrGClMRNmlsQUdLHaALQ</t>
  </si>
  <si>
    <t>B102</t>
  </si>
  <si>
    <t>Amina Mohamed Ali Hsanan</t>
  </si>
  <si>
    <t>aminaalihasanan@gmail.com</t>
  </si>
  <si>
    <t>201114721112</t>
  </si>
  <si>
    <t>Continental Of Cairo</t>
  </si>
  <si>
    <t>Coordinator</t>
  </si>
  <si>
    <t>non</t>
  </si>
  <si>
    <t>https://drive.google.com/open?id=1hk3cHO01fP5OZxZdOMgBuXwo9kAj5xhb</t>
  </si>
  <si>
    <t>https://drive.google.com/open?id=1w5An-1lcCDXy6LlDqAdDhmyGMhhNA4MT</t>
  </si>
  <si>
    <t>Amina Mohamed Ali Hassnan</t>
  </si>
  <si>
    <t>مدينة العبور  الجولف</t>
  </si>
  <si>
    <t>0415001595166800014</t>
  </si>
  <si>
    <t>EG410003004150015951668000140</t>
  </si>
  <si>
    <t>0041</t>
  </si>
  <si>
    <t xml:space="preserve">Hager hesham basiony el sayed </t>
  </si>
  <si>
    <t>هاجر هشام بسيونى السيد</t>
  </si>
  <si>
    <t>heshamhagar000@gmail.com</t>
  </si>
  <si>
    <t>https://drive.google.com/open?id=1PKuDwjer_OoScaiV0FF5q8FzbZ_TvJqc</t>
  </si>
  <si>
    <t>https://drive.google.com/open?id=1tyAgm5kCvz8b4ehhODYxlc8MHDmjXKL0</t>
  </si>
  <si>
    <t>Kareem Idrees Zakareya Idrees</t>
  </si>
  <si>
    <t xml:space="preserve">كريم ادريس زكريا ادريس </t>
  </si>
  <si>
    <t>adrsykr99@gmail.com</t>
  </si>
  <si>
    <t>201229813137</t>
  </si>
  <si>
    <t>64095210</t>
  </si>
  <si>
    <t>B103</t>
  </si>
  <si>
    <t>Shimaa Mahmoud Mohamed Ibrahim</t>
  </si>
  <si>
    <t>شيماء محمود محمد ابراهيم</t>
  </si>
  <si>
    <t>m.s.h.m.s.h-17@hotmail.com</t>
  </si>
  <si>
    <t>201015158625</t>
  </si>
  <si>
    <t>Web designer</t>
  </si>
  <si>
    <t>https://drive.google.com/open?id=11jqmB_sdoYTDnRNP0-20g309sXUTWWCG</t>
  </si>
  <si>
    <t>https://drive.google.com/open?id=1LmKMz9a_DkTlarFqSObiUaxG-ewv5fT3</t>
  </si>
  <si>
    <t>شارع 9 بالمقطم</t>
  </si>
  <si>
    <t>0125011059069301011</t>
  </si>
  <si>
    <t>EG420003001250110590693010110</t>
  </si>
  <si>
    <t>0012</t>
  </si>
  <si>
    <t>Ramy Sherif Mohamed Abdelfattah</t>
  </si>
  <si>
    <t>رامي شريف محمد عبد الفتاح</t>
  </si>
  <si>
    <t>ramy9th@hotmail.com</t>
  </si>
  <si>
    <t>201149766477</t>
  </si>
  <si>
    <t>ICT Teacher</t>
  </si>
  <si>
    <t>https://drive.google.com/open?id=1kfB67Mq8f7dkMCqlDA7V7ab6YJocB9K4</t>
  </si>
  <si>
    <t>https://drive.google.com/open?id=1XqmFtnVIC9cdEb2IYZ4JDPCIwNhfl32J</t>
  </si>
  <si>
    <t>RAMY SHERIF MOHAMED ABDELFATTAH MOSTAFA</t>
  </si>
  <si>
    <t>العبور</t>
  </si>
  <si>
    <t>100066728964</t>
  </si>
  <si>
    <t>EG210010011800000100066728964</t>
  </si>
  <si>
    <t>0118</t>
  </si>
  <si>
    <t>B104</t>
  </si>
  <si>
    <t>Mohamed salah elden mabrok mohamed</t>
  </si>
  <si>
    <t>محمد صلاح الدين مبروك محمد</t>
  </si>
  <si>
    <t>Mohamedsalah01281436154@gmail.com</t>
  </si>
  <si>
    <t>201281436154</t>
  </si>
  <si>
    <t>Integrated thebes American college</t>
  </si>
  <si>
    <t>Arabic teacher</t>
  </si>
  <si>
    <t>https://drive.google.com/open?id=1MAweUiIUrLzW9s9MQuHWecJoPlCHkiJM</t>
  </si>
  <si>
    <t>https://drive.google.com/open?id=1h7tE0oLyxxHilEBu7pz_RKVzn3wJJKim</t>
  </si>
  <si>
    <t xml:space="preserve">Mohamed salah elden mabrok </t>
  </si>
  <si>
    <t>مدينة نصر  حسن الظأمون</t>
  </si>
  <si>
    <t>1130324141819</t>
  </si>
  <si>
    <t>EG200037020408181130324141819</t>
  </si>
  <si>
    <t>Abdalla Mohamed ABO alhasan kassem</t>
  </si>
  <si>
    <t>عبدالله محمد ابو الحسن قاسم</t>
  </si>
  <si>
    <t>bodybody201310@gmail.com</t>
  </si>
  <si>
    <t>201098393808</t>
  </si>
  <si>
    <t>مدرسة الرافعي الاعدادية</t>
  </si>
  <si>
    <t>مدرس بالحصة</t>
  </si>
  <si>
    <t>https://drive.google.com/open?id=1DJbqgp6r6HyVpZHXcnBtJSh-8boknR2t</t>
  </si>
  <si>
    <t>https://drive.google.com/open?id=1TYqZIW17P2eBtMpItNf_OEDgYeujhL2n</t>
  </si>
  <si>
    <t>عبدالله محمد ابو الحسن</t>
  </si>
  <si>
    <t>EG310036000100011258180284270</t>
  </si>
  <si>
    <t>0014</t>
  </si>
  <si>
    <t>B105</t>
  </si>
  <si>
    <t>mona awad awad serag</t>
  </si>
  <si>
    <t xml:space="preserve">منى عوض عوض سراج </t>
  </si>
  <si>
    <t>mona.awad41430@gmail.com</t>
  </si>
  <si>
    <t>201144871392</t>
  </si>
  <si>
    <t>National Center for Examinations and Educational Evaluation</t>
  </si>
  <si>
    <t>Office of the Assistant Minister of Education for Evaluation and Examination Systems</t>
  </si>
  <si>
    <t>https://drive.google.com/open?id=1FcOQKwXlLjHTKAiw6lKAKJHA1chP2cGJ</t>
  </si>
  <si>
    <t>https://drive.google.com/open?id=1GmPkG2AP0P5MUjZQf0oAPxkPbf38RtFI</t>
  </si>
  <si>
    <t>1095001060002101018</t>
  </si>
  <si>
    <t>EG440003010950010600021010180</t>
  </si>
  <si>
    <t>0109</t>
  </si>
  <si>
    <t xml:space="preserve">Sara Mostafa Ali Mostafa </t>
  </si>
  <si>
    <t xml:space="preserve">ساره مصطفي علي مصطفي </t>
  </si>
  <si>
    <t xml:space="preserve">Sara610mostafa@gmail.com </t>
  </si>
  <si>
    <t>201159326402</t>
  </si>
  <si>
    <t>Cairo British school (Teba )</t>
  </si>
  <si>
    <t>social specialist, social worker</t>
  </si>
  <si>
    <t>https://drive.google.com/open?id=1GQCxiqxIqHuIkudtUmGTh9Bp87ajgnXH</t>
  </si>
  <si>
    <t>https://drive.google.com/open?id=1A41_SMp-HWuWXJAHpDgGhDFkuc7Z_o-z</t>
  </si>
  <si>
    <t xml:space="preserve">ساره مصطفي علي مصطفي عليان </t>
  </si>
  <si>
    <t xml:space="preserve">ام المصريين </t>
  </si>
  <si>
    <t>0445000873305001018</t>
  </si>
  <si>
    <t>EG160003004450008733050010180</t>
  </si>
  <si>
    <t>B106</t>
  </si>
  <si>
    <t>Rana Azmy Mohammed Gomaa</t>
  </si>
  <si>
    <t xml:space="preserve">رانا عزمي محمد جمعه </t>
  </si>
  <si>
    <t>ranaroney23@gmail.com</t>
  </si>
  <si>
    <t>201020652540</t>
  </si>
  <si>
    <t>Integrated thebes international school</t>
  </si>
  <si>
    <t>History teacher</t>
  </si>
  <si>
    <t>https://drive.google.com/open?id=1qogvvqKvLLFm8m7ALA1kmEZGhPTIt9ay</t>
  </si>
  <si>
    <t>https://drive.google.com/open?id=1o5ymEniTtWKUvVcaBAes0hT1ZFL1Li-y</t>
  </si>
  <si>
    <t>Rana azmy mohamed</t>
  </si>
  <si>
    <t>الحجاز</t>
  </si>
  <si>
    <t>1155001632372200017</t>
  </si>
  <si>
    <t>EG910003011550016323722000170</t>
  </si>
  <si>
    <t>0115</t>
  </si>
  <si>
    <t>Esraa Bakr sayed Ghalleb</t>
  </si>
  <si>
    <t>esraabakr60@gmail.com</t>
  </si>
  <si>
    <t>201123712551</t>
  </si>
  <si>
    <t xml:space="preserve">Majesty international school </t>
  </si>
  <si>
    <t>069223487</t>
  </si>
  <si>
    <t>https://drive.google.com/open?id=1Vt0WOehwJx0v28zQ6z9BrtSnj4k4FPNr</t>
  </si>
  <si>
    <t>https://drive.google.com/open?id=1aVrXMlfFZOgLd75qpuaFuRvf3ta6EALr</t>
  </si>
  <si>
    <t xml:space="preserve">Esraa Bakr sayed Ghalleb </t>
  </si>
  <si>
    <t xml:space="preserve">العجوزة </t>
  </si>
  <si>
    <t>1685000548100200012</t>
  </si>
  <si>
    <t>EG700003016850005481032000120</t>
  </si>
  <si>
    <t>0168</t>
  </si>
  <si>
    <t>B107</t>
  </si>
  <si>
    <t>Walaa Sami Kamel Kamel</t>
  </si>
  <si>
    <t xml:space="preserve">ولاء سامى كامل كامل </t>
  </si>
  <si>
    <t>m_welly2008@yahoo.com</t>
  </si>
  <si>
    <t>201090683100</t>
  </si>
  <si>
    <t>High school english teacher</t>
  </si>
  <si>
    <t>https://drive.google.com/open?id=1aQicY0XOB1SmT8AyjzsaPXpf5jisMPb0</t>
  </si>
  <si>
    <t>https://drive.google.com/open?id=1YbzwrvJc4u1kIBA90NHCOZvbDfRky0y7</t>
  </si>
  <si>
    <t>Walaa Sami Kamel</t>
  </si>
  <si>
    <t>الدمرداش</t>
  </si>
  <si>
    <t>1335010323489500012</t>
  </si>
  <si>
    <t>EG730003013350103234895000120</t>
  </si>
  <si>
    <t>0133</t>
  </si>
  <si>
    <t>Aliaa Mohamed abozead Mohamed</t>
  </si>
  <si>
    <t>علياء محمد ابو زيد محمد</t>
  </si>
  <si>
    <t>Aliaaabozaid198@gmail. Com</t>
  </si>
  <si>
    <t>Elwy</t>
  </si>
  <si>
    <t>مدرسه رسم</t>
  </si>
  <si>
    <t>https://drive.google.com/open?id=1Tcb8eCEzHiEEStwJH3HR1T7RvZDnr92t</t>
  </si>
  <si>
    <t>https://drive.google.com/open?id=1_AHu9OFqDLI4rfcmTimExzZNZU16SN-7</t>
  </si>
  <si>
    <t>New form</t>
  </si>
  <si>
    <t>Hossam Abdul Latif Mohamad Fayed</t>
  </si>
  <si>
    <t>حسام عبد اللطيف محمد فايد</t>
  </si>
  <si>
    <t>hfayed@fue.edu.eg</t>
  </si>
  <si>
    <t>201229920977</t>
  </si>
  <si>
    <t>27703241400673</t>
  </si>
  <si>
    <t>Mariem osama mostafa ashmway</t>
  </si>
  <si>
    <t xml:space="preserve">مريم اسامه مصطفى عشماوي </t>
  </si>
  <si>
    <t>mariemosama2210@gmail.com</t>
  </si>
  <si>
    <t>https://drive.google.com/open?id=1XhYTupEvr2b_mGBbwpI-v4130aTQLArX</t>
  </si>
  <si>
    <t>https://drive.google.com/open?id=1LZhlF0L9EqEjNiaWmujZ3VwSavsWMYgB</t>
  </si>
  <si>
    <t>Gehad Ayman Mahrous Ghaly</t>
  </si>
  <si>
    <t>aymangehad430@gmail.com</t>
  </si>
  <si>
    <t>201122977758</t>
  </si>
  <si>
    <t>B201</t>
  </si>
  <si>
    <t>Christen Heshmat Sedky Kamel</t>
  </si>
  <si>
    <t xml:space="preserve">كريستين حشمت صدقى كامل </t>
  </si>
  <si>
    <t>christeen.heshmat@gmail.com‏</t>
  </si>
  <si>
    <t>201227437947</t>
  </si>
  <si>
    <t>Thebs international school</t>
  </si>
  <si>
    <t>Social studies Teacher</t>
  </si>
  <si>
    <t>https://drive.google.com/open?id=1K6-KYxviGR_N_R5WBp-58d9h8V89H8aM</t>
  </si>
  <si>
    <t>https://drive.google.com/open?id=1kUOD5PQeZ4N2B_H2AfvYCWiyu29b8_bJ</t>
  </si>
  <si>
    <t xml:space="preserve">حدائق القبه </t>
  </si>
  <si>
    <t>1085000648023600018</t>
  </si>
  <si>
    <t>EG050003010850006480236000180</t>
  </si>
  <si>
    <t>0108</t>
  </si>
  <si>
    <t>Heba Elsayed Kamel</t>
  </si>
  <si>
    <t>هبه السيد كامل</t>
  </si>
  <si>
    <t>Hebaelsayed357@yahoo.com</t>
  </si>
  <si>
    <t xml:space="preserve">Green Heights International School </t>
  </si>
  <si>
    <t>https://drive.google.com/open?id=1ACEpyoyv-LW5lqdQCtBrfIoS5zJbMb4v</t>
  </si>
  <si>
    <t>https://drive.google.com/open?id=1rPoUq5nAm75KOk9V3eKgg2fmQwbOB3I-</t>
  </si>
  <si>
    <t>HEBA ELSAYED</t>
  </si>
  <si>
    <t xml:space="preserve">Heliopolis </t>
  </si>
  <si>
    <t>Mahmoud Abdel Qader Hashem Tolba</t>
  </si>
  <si>
    <t>محمود عبد القادر هاشم طلبة</t>
  </si>
  <si>
    <t>mahmoud.abdelkader.hashem@gmail.com</t>
  </si>
  <si>
    <t>201099991580</t>
  </si>
  <si>
    <t>40771474</t>
  </si>
  <si>
    <t>B202</t>
  </si>
  <si>
    <t>yostina saed habib abdelmsih</t>
  </si>
  <si>
    <t>يوستينا سعيد حبيب عبدالمسيح</t>
  </si>
  <si>
    <t>yostinasaed44@gmail.com</t>
  </si>
  <si>
    <t>Modern School</t>
  </si>
  <si>
    <t>Music teacher</t>
  </si>
  <si>
    <t>https://drive.google.com/open?id=1Xxz5v88Uz_NiFX-O0ipUxtfkSPp6iMwy</t>
  </si>
  <si>
    <t>https://drive.google.com/open?id=1-lucjS9WVDnNM0nBqa7AUgYFJB-TSF_A</t>
  </si>
  <si>
    <t>Mohammad Mostafa Emam</t>
  </si>
  <si>
    <t>mohmed.memam@gmail.com</t>
  </si>
  <si>
    <t>201009941531</t>
  </si>
  <si>
    <t>61004657</t>
  </si>
  <si>
    <t>B204</t>
  </si>
  <si>
    <t>Mostafa Adel Nabeah Yousef</t>
  </si>
  <si>
    <t>مصطفى عادل نبيه يوسف</t>
  </si>
  <si>
    <t>Mostafanabeah@gmail.com</t>
  </si>
  <si>
    <t>201007804437</t>
  </si>
  <si>
    <t>28208110101916</t>
  </si>
  <si>
    <t>Merhan Saeed el Sayed Mohammed</t>
  </si>
  <si>
    <t>ميرهان سعيد السيد محمد</t>
  </si>
  <si>
    <t>Merhan.saaed@hotepis.edu.eg</t>
  </si>
  <si>
    <t>201020999772</t>
  </si>
  <si>
    <t>KG Coordinator</t>
  </si>
  <si>
    <t>484-568-809</t>
  </si>
  <si>
    <t>https://drive.google.com/open?id=1anAN5aoDbOcB0Fv8zogLO6-B7sZsBOzs</t>
  </si>
  <si>
    <t>https://drive.google.com/open?id=1ZER-3c92Kn8tQq5HbXTYjaTgHXtCNewd</t>
  </si>
  <si>
    <t>ميرهان سعيد السيد محمد المحراث</t>
  </si>
  <si>
    <t>الجلاء</t>
  </si>
  <si>
    <t>4165001505412301013</t>
  </si>
  <si>
    <t>EG260003041650015054123010130</t>
  </si>
  <si>
    <t>0416</t>
  </si>
  <si>
    <t>B205</t>
  </si>
  <si>
    <t>Asmaa omar ali ibrahim</t>
  </si>
  <si>
    <t>Moaaz.ahmed.asmaa@gmail.com</t>
  </si>
  <si>
    <t>201090302345</t>
  </si>
  <si>
    <t>https://drive.google.com/open?id=1HWRQOr8zF4_bDy_NOipLeQTJKYPsupEb</t>
  </si>
  <si>
    <t>https://drive.google.com/open?id=11qx6NjB09k2lNpYEy8BL-2ex3zd-tqVI</t>
  </si>
  <si>
    <t>1130745006213</t>
  </si>
  <si>
    <t>EG190037020408181130745006213</t>
  </si>
  <si>
    <t>Ebrahim Mohammad Talaat Abdel Mageed</t>
  </si>
  <si>
    <t>ابراهيم محمد طلعت عبد المجيد</t>
  </si>
  <si>
    <t>Ibrahimmohammedtalaat561999@gmail.com</t>
  </si>
  <si>
    <t>201117520502</t>
  </si>
  <si>
    <t>Arab Academy Sheraton</t>
  </si>
  <si>
    <t>B206</t>
  </si>
  <si>
    <t>Ehab Samy Fathy Tolba</t>
  </si>
  <si>
    <t>ehab.tolba@fue.edu.eg</t>
  </si>
  <si>
    <t>201121852885</t>
  </si>
  <si>
    <t>28312150102739</t>
  </si>
  <si>
    <t>Nermin Isake Hanna Poles</t>
  </si>
  <si>
    <t>nermin.isake@gmail.com</t>
  </si>
  <si>
    <t>201206942553</t>
  </si>
  <si>
    <t xml:space="preserve">Thebes Integrated school </t>
  </si>
  <si>
    <t xml:space="preserve">Math Teacher </t>
  </si>
  <si>
    <t>https://drive.google.com/open?id=1MyJFPx0fV2-QSZEG7Gw2eY4SxJpo35nK</t>
  </si>
  <si>
    <t>https://drive.google.com/open?id=1ldypUeZmkFt-GDVVzzEIL8x4GWkdCnjH</t>
  </si>
  <si>
    <t>Nermine Eshak Hana</t>
  </si>
  <si>
    <t>Heliopolis</t>
  </si>
  <si>
    <t>1002910492377</t>
  </si>
  <si>
    <t>EG540037070808181002910492377</t>
  </si>
  <si>
    <t>0708</t>
  </si>
  <si>
    <t>B207</t>
  </si>
  <si>
    <t>Aisha mohyeldin taha mohamed</t>
  </si>
  <si>
    <t>عائشة محى الدين طه محمد</t>
  </si>
  <si>
    <t>Aishaeldin123@gmail.com</t>
  </si>
  <si>
    <t>201140218539</t>
  </si>
  <si>
    <t>Suny Side Academy</t>
  </si>
  <si>
    <t>https://drive.google.com/open?id=1FDqQYuPMEkuutD4yYXHWv4Ol-iUGVfrn</t>
  </si>
  <si>
    <t>https://drive.google.com/open?id=1iB-uPhbl-eJZx2TqgfBMnvSXFL2JX9tk</t>
  </si>
  <si>
    <t>AISHA MOHI ELDEEN THAA</t>
  </si>
  <si>
    <t>111350653001</t>
  </si>
  <si>
    <t>EG480005101100000111350653001</t>
  </si>
  <si>
    <t>Dalia Ahmed Nabil Abd-Alziz</t>
  </si>
  <si>
    <t>داليا احمد نبيل عبد العزيز</t>
  </si>
  <si>
    <t>daliaahmedn0929@gmail.com</t>
  </si>
  <si>
    <t>201114494061</t>
  </si>
  <si>
    <t>Hotep International School &amp; British council</t>
  </si>
  <si>
    <t>english Teacher</t>
  </si>
  <si>
    <t>https://drive.google.com/open?id=1ii4ihbxp_GEVYCDhb6eAgIJCgMJfmvhb</t>
  </si>
  <si>
    <t>https://drive.google.com/open?id=1J4Kr9b26J1yCiiFurJhKH0Ijygmkj7Ta</t>
  </si>
  <si>
    <t>داليا احمد نبيل عبد العزيز الدسوقى</t>
  </si>
  <si>
    <t>السباق</t>
  </si>
  <si>
    <t>1185010316262900015</t>
  </si>
  <si>
    <t>EG560003011850103162629000150</t>
  </si>
  <si>
    <t>Mostafa Mahdy Sayed Mohamed</t>
  </si>
  <si>
    <t>مصطفى مهدي سيد محمد</t>
  </si>
  <si>
    <t>mostafa.mahdy@fue.edu.eg</t>
  </si>
  <si>
    <t>201121998713</t>
  </si>
  <si>
    <t>25260534</t>
  </si>
  <si>
    <t>Mariam Ramzy bekheet</t>
  </si>
  <si>
    <t>مريم رمزى بخيت فانوس</t>
  </si>
  <si>
    <t>mariam.ramzy@sayegh1944.com</t>
  </si>
  <si>
    <t>201207353905</t>
  </si>
  <si>
    <t xml:space="preserve">Nagwa Mohamed Foad Abed Alhakeem </t>
  </si>
  <si>
    <t xml:space="preserve">نجوى محمد فؤاد عبدالحكيم </t>
  </si>
  <si>
    <t>nonanagwa1992@gmail.com</t>
  </si>
  <si>
    <t xml:space="preserve"> UK Marking</t>
  </si>
  <si>
    <t>https://drive.google.com/open?id=1TPXFQgqmzX9-5ahh9U79e_rB_J9VE08a</t>
  </si>
  <si>
    <t>https://drive.google.com/open?id=1atutEjaUsjqHivMxE4GxtDY9m8geUCKL</t>
  </si>
  <si>
    <t>Mohamed Fawzy Abdel Hameed Abdel Shafy</t>
  </si>
  <si>
    <t>محمد فوزي عبد الحميد عبد الشافي</t>
  </si>
  <si>
    <t>african.fawzy@gmail.com</t>
  </si>
  <si>
    <t>201003801891</t>
  </si>
  <si>
    <t>27807170102234</t>
  </si>
  <si>
    <t>B301</t>
  </si>
  <si>
    <t>Yousef Hesham Youssef Ali</t>
  </si>
  <si>
    <t>يوسف هشام بوسف على</t>
  </si>
  <si>
    <t>youssef.elmaghraby94@gmail.com</t>
  </si>
  <si>
    <t>201126737331</t>
  </si>
  <si>
    <t xml:space="preserve">Thebes international school </t>
  </si>
  <si>
    <t xml:space="preserve">English Teacher. </t>
  </si>
  <si>
    <t>https://drive.google.com/open?id=1X1ODaMn3spsqJ0g3VSlwrmBgpxsOOLls</t>
  </si>
  <si>
    <t>https://drive.google.com/open?id=1WbsqPqZ-nbj-A4S9iagQOlGIP3Y4D6Ua</t>
  </si>
  <si>
    <t>YOUSSEF HESHAM YOUSSEF</t>
  </si>
  <si>
    <t>التكامل</t>
  </si>
  <si>
    <t>1745000510135201016</t>
  </si>
  <si>
    <t>EG930003017450005101352010160</t>
  </si>
  <si>
    <t>Amr Mostafa Zaki Mohamed</t>
  </si>
  <si>
    <t>عمرو مصطفي زكي محمد</t>
  </si>
  <si>
    <t>amr.mostafa.zaki1980@gmail.com</t>
  </si>
  <si>
    <t>201024324593</t>
  </si>
  <si>
    <t>Future language school</t>
  </si>
  <si>
    <t>Adminstrative</t>
  </si>
  <si>
    <t>"none"</t>
  </si>
  <si>
    <t>https://drive.google.com/open?id=1IBRuBCqapo3FvDNoiSiddmnJzRtakRrq</t>
  </si>
  <si>
    <t>https://drive.google.com/open?id=1uIlI4401Ukk82rJJZI25ot0SgAc7h99-</t>
  </si>
  <si>
    <t>Amr Mostafa Zaki</t>
  </si>
  <si>
    <t>Eg bank البنك المصرى الخليجى</t>
  </si>
  <si>
    <t xml:space="preserve">Zamalek </t>
  </si>
  <si>
    <t>0029284649100</t>
  </si>
  <si>
    <t>EG610029002900000029284649100</t>
  </si>
  <si>
    <t>EGGBEGCAXXX</t>
  </si>
  <si>
    <t>0029</t>
  </si>
  <si>
    <t>Mariam Emil Nagib Farid</t>
  </si>
  <si>
    <t>مريم اميل نجيب فريد</t>
  </si>
  <si>
    <t>lali.2005.me@gmail.com</t>
  </si>
  <si>
    <t>201272686507</t>
  </si>
  <si>
    <t>Concord International College</t>
  </si>
  <si>
    <t>Christen Religion Teacher</t>
  </si>
  <si>
    <t>012795715</t>
  </si>
  <si>
    <t>https://drive.google.com/open?id=1orP626dkrnumCVwlRT9xz9EA1zfHeh9r</t>
  </si>
  <si>
    <t>https://drive.google.com/open?id=1GQ1fDer6N7JWDBs5zw_8QTG5P0LWAnTf</t>
  </si>
  <si>
    <t>Mariam Emil Nagib</t>
  </si>
  <si>
    <t>100061567849</t>
  </si>
  <si>
    <t>EG230010011800000100061567849</t>
  </si>
  <si>
    <t>B302</t>
  </si>
  <si>
    <t>Marwa Emad Abdel Basir Bayomy</t>
  </si>
  <si>
    <t xml:space="preserve">مروة عماد عبد البصير بيومي </t>
  </si>
  <si>
    <t>marwaemaditacc1984@gmail.com</t>
  </si>
  <si>
    <t>201224455465</t>
  </si>
  <si>
    <t xml:space="preserve">Arabic Teacher </t>
  </si>
  <si>
    <t>061980330</t>
  </si>
  <si>
    <t>https://drive.google.com/open?id=1A9mx6h9Kz4RiiTAkOf3w7ExahCOLnS9U</t>
  </si>
  <si>
    <t>https://drive.google.com/open?id=1R4AvrS605nAn1FGmYn8fiV5UoOSxWM4f</t>
  </si>
  <si>
    <t>Marwa Emad Abd Elbaseer</t>
  </si>
  <si>
    <t>Second district, Al Shorouk</t>
  </si>
  <si>
    <t>0295001788295400015</t>
  </si>
  <si>
    <t>EG310003002950017882954000150</t>
  </si>
  <si>
    <t>Ahmed mostafa abd ellatif ali</t>
  </si>
  <si>
    <t xml:space="preserve">احمد مصطفي عبد اللطيف علي </t>
  </si>
  <si>
    <t>ahmed.mostafa.87@outlook.com</t>
  </si>
  <si>
    <t xml:space="preserve">Sun of glory international school </t>
  </si>
  <si>
    <t>https://drive.google.com/open?id=1ecWxG_49MMxY8clGXbOidK-U_mgpRNep</t>
  </si>
  <si>
    <t>https://drive.google.com/open?id=126C64VPe5F44XzhtzX_ryop8bJEM_A76</t>
  </si>
  <si>
    <t>Ahmed Moustafa Abd El Lateef Ali</t>
  </si>
  <si>
    <t>Online</t>
  </si>
  <si>
    <t>059100743883</t>
  </si>
  <si>
    <t>EG590046010300000059100743883</t>
  </si>
  <si>
    <t>B304</t>
  </si>
  <si>
    <t>Basma Shaaban Yousuf Yousuf</t>
  </si>
  <si>
    <t>بسمة شعبان يوسف يوسف</t>
  </si>
  <si>
    <t>Basma9571@gmail.com</t>
  </si>
  <si>
    <t>Bedayia international school</t>
  </si>
  <si>
    <t>Science lab teacher</t>
  </si>
  <si>
    <t>https://drive.google.com/open?id=1D5xSzqNjXkn3xsSlA1D9B9-9GQ8Y5t1C</t>
  </si>
  <si>
    <t>https://drive.google.com/open?id=1lZiv7ga5XafN6jHZBEJDukgruqkXkURx</t>
  </si>
  <si>
    <t>BASMA SHABAAN</t>
  </si>
  <si>
    <t>حسن المأمون</t>
  </si>
  <si>
    <t>EG940037005408181130322618049</t>
  </si>
  <si>
    <t>Mina Ramzy Abdelsayed Ibrahem</t>
  </si>
  <si>
    <t>mina75ramzy@gmail.com‏</t>
  </si>
  <si>
    <t>201225503220</t>
  </si>
  <si>
    <t xml:space="preserve"> Integrated Thebes American College in Cairo</t>
  </si>
  <si>
    <t>https://drive.google.com/open?id=19GqONiQfDT6CeiovuYARWWEv5H6Zq9Tn</t>
  </si>
  <si>
    <t>https://drive.google.com/open?id=14GcMiZ6rSFzQYrGzvRX28szHecGrn6rV</t>
  </si>
  <si>
    <t xml:space="preserve">MINA RAMZY ABDELSAYED IBRAHEM </t>
  </si>
  <si>
    <t>HELMYET EL ZAITOUN</t>
  </si>
  <si>
    <t>1002455310118</t>
  </si>
  <si>
    <t>EG060037011208181002455310118</t>
  </si>
  <si>
    <t>0112</t>
  </si>
  <si>
    <t>B305</t>
  </si>
  <si>
    <t xml:space="preserve">Amira Ramzy Samy Georgy </t>
  </si>
  <si>
    <t>amiraramzy20@gmail.com</t>
  </si>
  <si>
    <t>201002561250</t>
  </si>
  <si>
    <t>ElAlsson International School - Harraneya</t>
  </si>
  <si>
    <t>https://drive.google.com/open?id=1NnSIiCFsZ9bX1JXXUw3yT75yyYMk6xzz</t>
  </si>
  <si>
    <t>https://drive.google.com/open?id=1y7oCj0qXOGRRYBycHXM_sOopXPN1yihZ</t>
  </si>
  <si>
    <t>Amira Ramzy Samy Georgy</t>
  </si>
  <si>
    <t>100066122942</t>
  </si>
  <si>
    <t>EG670010017700000100066122942</t>
  </si>
  <si>
    <t>0177</t>
  </si>
  <si>
    <t xml:space="preserve">Abeer Ahmed Alam Mohamed </t>
  </si>
  <si>
    <t xml:space="preserve">عبير احمد علام محمد </t>
  </si>
  <si>
    <t>abeerallamxc@gmail.com</t>
  </si>
  <si>
    <t>201069383148</t>
  </si>
  <si>
    <t xml:space="preserve">Dover International School </t>
  </si>
  <si>
    <t xml:space="preserve">Administrative </t>
  </si>
  <si>
    <t>https://drive.google.com/open?id=1IqbrKkQISwUkvMKd3XuKoI7Keqle2tp4</t>
  </si>
  <si>
    <t>https://drive.google.com/open?id=1R8g2MGEXm92dqZby4aPwUSmMOVQvG9z_</t>
  </si>
  <si>
    <t>عبير احمد علام محمد</t>
  </si>
  <si>
    <t>مدينة الشروق</t>
  </si>
  <si>
    <t>1145000628638100011</t>
  </si>
  <si>
    <t>EG320003011450006286381000110</t>
  </si>
  <si>
    <t>0114</t>
  </si>
  <si>
    <t>Mona Karem Mosaed Ahmad</t>
  </si>
  <si>
    <t>monakarem61@gmail.com</t>
  </si>
  <si>
    <t>201145447250</t>
  </si>
  <si>
    <t xml:space="preserve">Hanzada Galal Mohamed AbdElrhem  </t>
  </si>
  <si>
    <t xml:space="preserve">هانزاده جلال محمد عبد الرحيم </t>
  </si>
  <si>
    <t>Hanzygalal@gmail.com</t>
  </si>
  <si>
    <t>201276095277</t>
  </si>
  <si>
    <t xml:space="preserve">Pyramids American school </t>
  </si>
  <si>
    <t xml:space="preserve">Head of science department and biology teacher </t>
  </si>
  <si>
    <t>https://drive.google.com/open?id=1t7_7aMyCOQm_JwyJ8Cvs_qPz8jgeUyAe</t>
  </si>
  <si>
    <t>https://drive.google.com/open?id=1oEpLF8Nn4tq3m_L2IlbJhvZCp0tCMHmS</t>
  </si>
  <si>
    <t xml:space="preserve">هانزاده جلال محمد عبد الرحيم  </t>
  </si>
  <si>
    <t xml:space="preserve">المنيل </t>
  </si>
  <si>
    <t>1290333000054501</t>
  </si>
  <si>
    <t>EG850002012901290333000054501</t>
  </si>
  <si>
    <t>Hadeer Saad Eddin Hussain Mohamed</t>
  </si>
  <si>
    <t>هدير سعد الدين حسين محمد</t>
  </si>
  <si>
    <t>hadeersaadeldin89@gmail.com</t>
  </si>
  <si>
    <t>https://drive.google.com/open?id=1TtwTNqk8YkuBcBuvf5AU-zNRq_7frJOx</t>
  </si>
  <si>
    <t>https://drive.google.com/open?id=1Ac6W58k1DJaZQg2WKSnig5i9AoaQX-0q</t>
  </si>
  <si>
    <t>B401</t>
  </si>
  <si>
    <t>asmaa masoud makhlouf abo elnour</t>
  </si>
  <si>
    <t>اسماء مسعود مخلوف ابو النور</t>
  </si>
  <si>
    <t>asmaamasoud443@gmail.com</t>
  </si>
  <si>
    <t>201227359995</t>
  </si>
  <si>
    <t>مدرسة حتب الدولية</t>
  </si>
  <si>
    <t>مديرة حسابات</t>
  </si>
  <si>
    <t>https://drive.google.com/open?id=1OuoomjorFBfzZ_PO1kdfwW3PWZ9ZrgvC</t>
  </si>
  <si>
    <t>https://drive.google.com/open?id=1iO13Z1zjWBBvVn0VVzKh4jTG5PaBHbvk</t>
  </si>
  <si>
    <t>asmaa masoud makhlouf</t>
  </si>
  <si>
    <t>Golf city</t>
  </si>
  <si>
    <t>100042437551</t>
  </si>
  <si>
    <t>EG530010011800000100042437551</t>
  </si>
  <si>
    <t>Hossam Ahmed Mostafa Abdelwahhab</t>
  </si>
  <si>
    <t>hossam.ahmed@fue.edu.eg</t>
  </si>
  <si>
    <t>201010953893</t>
  </si>
  <si>
    <t>28201230101915</t>
  </si>
  <si>
    <t>B402</t>
  </si>
  <si>
    <t>Ahmad Nasr Esmaeel Abdel Maaboud</t>
  </si>
  <si>
    <t>ahmed.abdelmaaboud@fue.edu.eg</t>
  </si>
  <si>
    <t>201003208431</t>
  </si>
  <si>
    <t>69122777</t>
  </si>
  <si>
    <t>Eman Emad Eldin Ahmed Nafea</t>
  </si>
  <si>
    <t>emanader4@gmail.com</t>
  </si>
  <si>
    <t>201018789252</t>
  </si>
  <si>
    <t>Renaissance International School</t>
  </si>
  <si>
    <t>https://drive.google.com/open?id=1yHZPo_sMv9c_e3ZQ1rCqzaaQcRgC5kbl</t>
  </si>
  <si>
    <t>https://drive.google.com/open?id=1dMBswv7xcIx2h2iXz-G9MW8MuBX6co9N</t>
  </si>
  <si>
    <t>إيمان عماد الدين سيد أحمد نافع</t>
  </si>
  <si>
    <t>Cairo festival</t>
  </si>
  <si>
    <t>5010333000058449</t>
  </si>
  <si>
    <t>EG960002050105010333000058449</t>
  </si>
  <si>
    <t>0501</t>
  </si>
  <si>
    <t>B404</t>
  </si>
  <si>
    <t>Mostafa Nasr Nasr saed</t>
  </si>
  <si>
    <t xml:space="preserve">مصطفى نصر نصر سعيد </t>
  </si>
  <si>
    <t>mostafanasr191981@gmail.com</t>
  </si>
  <si>
    <t>201112990430</t>
  </si>
  <si>
    <t xml:space="preserve">The Egyptian international school </t>
  </si>
  <si>
    <t>https://drive.google.com/open?id=149R_Sl6qYyBQLvkfBs0UejZKloHYRv5a</t>
  </si>
  <si>
    <t>https://drive.google.com/open?id=1IJeueL7OQB3Y_z2nLhFchrG0zMML3zoK</t>
  </si>
  <si>
    <t>MOSTAFA NASR NASR</t>
  </si>
  <si>
    <t>البرج اغاخان</t>
  </si>
  <si>
    <t>1565010283779100013</t>
  </si>
  <si>
    <t>EG460003015650102837791000130</t>
  </si>
  <si>
    <t>0156</t>
  </si>
  <si>
    <t>Ahmed Abdelhady Abdelbaky Abdelsalam</t>
  </si>
  <si>
    <t>aallam@fue.edu.eg</t>
  </si>
  <si>
    <t>201023704111</t>
  </si>
  <si>
    <t>B405</t>
  </si>
  <si>
    <t xml:space="preserve">Mona Kamal El din mohamed </t>
  </si>
  <si>
    <t xml:space="preserve">منى كمال الدين محمد </t>
  </si>
  <si>
    <t>monakamal5522@gmail.com</t>
  </si>
  <si>
    <t>201124884768</t>
  </si>
  <si>
    <t xml:space="preserve">Talae  el amal language  school </t>
  </si>
  <si>
    <t>Social studies  teacher</t>
  </si>
  <si>
    <t>https://drive.google.com/open?id=1CBkxEQ87QE-d1OPR3iaReKBgGaLOodWv</t>
  </si>
  <si>
    <t>https://drive.google.com/open?id=10rGiscDXEAiDEoAE37hQWvjYowtrhjkn</t>
  </si>
  <si>
    <t>MONA KAMAL ELDEEN MOHAMED</t>
  </si>
  <si>
    <t>1820333000040476</t>
  </si>
  <si>
    <t>EG830002018201820333000040476</t>
  </si>
  <si>
    <t>0182</t>
  </si>
  <si>
    <t>Ramy Abdalla Ahmed Esmail</t>
  </si>
  <si>
    <t>رامي عبدالله احمد اسماعيل</t>
  </si>
  <si>
    <t>ramyabdalla892008@gmail.com</t>
  </si>
  <si>
    <t>201009723626</t>
  </si>
  <si>
    <t>mokattam international language school</t>
  </si>
  <si>
    <t xml:space="preserve">english teacher </t>
  </si>
  <si>
    <t>https://drive.google.com/open?id=1asWskZr7D5yS0bbHvgySqaix5Zi6ZMpC</t>
  </si>
  <si>
    <t>https://drive.google.com/open?id=14NndpDhn1utuY6rABzdX5nKu93S8D0FR</t>
  </si>
  <si>
    <t>رامي عبدالله احمد اسماعيل سيد</t>
  </si>
  <si>
    <t>فيصل</t>
  </si>
  <si>
    <t>1875000548093400018</t>
  </si>
  <si>
    <t>EG550003018750005480934000180</t>
  </si>
  <si>
    <t>B406</t>
  </si>
  <si>
    <t xml:space="preserve"> Reem Kamal Osman Ahmed</t>
  </si>
  <si>
    <t>ريم كمال عثمان احمد</t>
  </si>
  <si>
    <t>reemkamal372012@gmail.com</t>
  </si>
  <si>
    <t>201060636635</t>
  </si>
  <si>
    <t>Integrated Thebes International scho</t>
  </si>
  <si>
    <t>https://drive.google.com/open?id=1d0Y6PniUhkIHwJK0RMt48tuw3gDmlCON</t>
  </si>
  <si>
    <t>https://drive.google.com/open?id=1_YPO_gTg64HKpD6EFka32HxBO-e3FOTc</t>
  </si>
  <si>
    <t xml:space="preserve">Reem Kamal Osman Ahmed </t>
  </si>
  <si>
    <t>059100941162</t>
  </si>
  <si>
    <t>EG570046020400000059100941162</t>
  </si>
  <si>
    <t>0006</t>
  </si>
  <si>
    <t>Amal Salah Mostafa Fahmy</t>
  </si>
  <si>
    <t>esraasalahmoustfa@gmail.com</t>
  </si>
  <si>
    <t>201010581885</t>
  </si>
  <si>
    <t>B407</t>
  </si>
  <si>
    <t>Eman Mohammad Hammad Ahmad</t>
  </si>
  <si>
    <t>Eng.emanhammad@gmail.com</t>
  </si>
  <si>
    <t>201024784858</t>
  </si>
  <si>
    <t>70180922</t>
  </si>
  <si>
    <t>Ahmed abdel azim sayed abdelhamid</t>
  </si>
  <si>
    <t>aazim9335@gmail.com</t>
  </si>
  <si>
    <t>201010282114</t>
  </si>
  <si>
    <t>بورسعيد الخاصة</t>
  </si>
  <si>
    <t xml:space="preserve">Social teacher </t>
  </si>
  <si>
    <t>069875031</t>
  </si>
  <si>
    <t>https://drive.google.com/open?id=1kq8Eu9XQmmFrZJmQ6sFT5pZf6KWWBqDR</t>
  </si>
  <si>
    <t>https://drive.google.com/open?id=1MtIb6sAqBH-SNI1LkcznHwQoNOC_dou3</t>
  </si>
  <si>
    <t>Ahmed abdelazim sayed abdelhamid</t>
  </si>
  <si>
    <t>المطرية</t>
  </si>
  <si>
    <t>7830333000070159</t>
  </si>
  <si>
    <t>EG270002078307830333000070159</t>
  </si>
  <si>
    <t>GS 214</t>
  </si>
  <si>
    <t>Maged Makram</t>
  </si>
  <si>
    <t>ماجد مكرم حافظ</t>
  </si>
  <si>
    <t>maged.makram@york-press.com</t>
  </si>
  <si>
    <t>Sphinx</t>
  </si>
  <si>
    <t>الاكاديمية العربية شارع المشير أحمد اسماعيل متفرع من صلاح سالم - مساكن الشيراتون -مربع 1175</t>
  </si>
  <si>
    <t>Arab Academy Sheraton Faculty of Studies Post-Graduate Building</t>
  </si>
  <si>
    <t>https://maps.app.goo.gl/CdHTyML3UNrK6KSS6?g_st=iw</t>
  </si>
  <si>
    <t>old</t>
  </si>
  <si>
    <t xml:space="preserve">Hany Mohamed Ahmed Abdel Hameed </t>
  </si>
  <si>
    <t>هاني محمد احمد عبد الحميد</t>
  </si>
  <si>
    <t>hanyMohamed4480@gmail.com</t>
  </si>
  <si>
    <t>Mostafa Mohamed Atteya Mohamed Moghazy</t>
  </si>
  <si>
    <t xml:space="preserve">مصطفى محمد عطية محمد </t>
  </si>
  <si>
    <t>Mustafa26111985@gmail.com</t>
  </si>
  <si>
    <t>Esraa Mohamed Abdelmabod</t>
  </si>
  <si>
    <t>اسراء محمد عبد المعبود ابو العزم</t>
  </si>
  <si>
    <t>esraa.maaboud@sayegh1944.com</t>
  </si>
  <si>
    <t>201113986605</t>
  </si>
  <si>
    <t>64</t>
  </si>
  <si>
    <t xml:space="preserve">Omnia Hussain Khalil Hussain </t>
  </si>
  <si>
    <t xml:space="preserve">امنيه حسين خليل حسين </t>
  </si>
  <si>
    <t>omniahussian9@gmail.com</t>
  </si>
  <si>
    <t>Marker</t>
  </si>
  <si>
    <t>https://drive.google.com/open?id=15iac31hN2xhCBwwVuqpkxkxli63Fq08f</t>
  </si>
  <si>
    <t>https://drive.google.com/open?id=1ZNh129ce3fZq22EIwCauioUlbgtWeKaQ</t>
  </si>
  <si>
    <t>GS 002</t>
  </si>
  <si>
    <t>Sally youssef AbdAlla Afifi</t>
  </si>
  <si>
    <t>سالي يوسف عبد الله عفيفي</t>
  </si>
  <si>
    <t>salyafifi7@gmail.com</t>
  </si>
  <si>
    <t>201002548477</t>
  </si>
  <si>
    <t>28609291701604</t>
  </si>
  <si>
    <t>Sara Tarek Mohamed ahmed</t>
  </si>
  <si>
    <t xml:space="preserve">ساره طارق محمد احمد </t>
  </si>
  <si>
    <t>staarek10@gmail.com</t>
  </si>
  <si>
    <t>201005114778</t>
  </si>
  <si>
    <t>Al Andalus international school</t>
  </si>
  <si>
    <t>002328557</t>
  </si>
  <si>
    <t>https://drive.google.com/open?id=17v0UkA-EdPvXkZAV9NLNKdYUzCR3pbYB</t>
  </si>
  <si>
    <t>https://drive.google.com/open?id=10CfAsENhN8CZQqG2FbXHh9RatOaPAb0M</t>
  </si>
  <si>
    <t xml:space="preserve">Sara Tarek Mohamed Ahmed </t>
  </si>
  <si>
    <t>1390333000047764</t>
  </si>
  <si>
    <t>EG580002013901390333000047764</t>
  </si>
  <si>
    <t>0139</t>
  </si>
  <si>
    <t>Kholoud Mahmoud Ali Ahmed Shaltoot</t>
  </si>
  <si>
    <t>خلود محمود علي احمد شلتوت</t>
  </si>
  <si>
    <t>kholoudshaltoot78@gmail.com</t>
  </si>
  <si>
    <t>201223829809</t>
  </si>
  <si>
    <t>Own Heliopolis Language School</t>
  </si>
  <si>
    <t>https://drive.google.com/open?id=1R_zeLH_4yR1os5TvK0K_nKaLkFSZMx2b</t>
  </si>
  <si>
    <t>https://drive.google.com/open?id=1nCU45Jl_Gslg9_Ybn97uYbNZz-wad0_q</t>
  </si>
  <si>
    <t>الزيتون</t>
  </si>
  <si>
    <t>EG730003012250004691472000110</t>
  </si>
  <si>
    <t>0122</t>
  </si>
  <si>
    <t>GS 005</t>
  </si>
  <si>
    <t>Magdy Mouris Zaky Megala</t>
  </si>
  <si>
    <t>مجدى موريس زكى مجلع</t>
  </si>
  <si>
    <t>magdy.mouris333@gmail.com</t>
  </si>
  <si>
    <t>201226611838</t>
  </si>
  <si>
    <t xml:space="preserve">Green Hights School </t>
  </si>
  <si>
    <t xml:space="preserve">Coordinator </t>
  </si>
  <si>
    <t>https://drive.google.com/open?id=1Svu2vxBZHrk5AL97mON1Gt7ekDJHMnTn</t>
  </si>
  <si>
    <t>https://drive.google.com/open?id=1GJv162dPE9fgfijWNfHQrl3R6s4PJq7O</t>
  </si>
  <si>
    <t xml:space="preserve">Magdy Mouris Zaky </t>
  </si>
  <si>
    <t>البنيان</t>
  </si>
  <si>
    <t>0955001508827201019</t>
  </si>
  <si>
    <t>EG300003009550015088272010190</t>
  </si>
  <si>
    <t>Rania Ahmed Ahmed Mohamed Mehasseb</t>
  </si>
  <si>
    <t>رانيا احمد احمد محمد محسب</t>
  </si>
  <si>
    <t>raniamehasseb@gmail.com</t>
  </si>
  <si>
    <t>201003676483</t>
  </si>
  <si>
    <t xml:space="preserve">Hotep International School </t>
  </si>
  <si>
    <t>https://drive.google.com/open?id=1YEIk5hBT8a9vKQzMmeeYbESJGpNO8nWM</t>
  </si>
  <si>
    <t>https://drive.google.com/open?id=1UUF_5xxWg09oR-ctjumfpL1ZNSX1l_-z</t>
  </si>
  <si>
    <t>100033221578</t>
  </si>
  <si>
    <t>EG320010015100000100033221578</t>
  </si>
  <si>
    <t>GS 006</t>
  </si>
  <si>
    <t>Ali Fouad El Tantawi Ahmad</t>
  </si>
  <si>
    <t>علي فؤاد الطنطاوي</t>
  </si>
  <si>
    <t>ali.eltantawy@fue.edu.eg</t>
  </si>
  <si>
    <t>201090940405</t>
  </si>
  <si>
    <t>60719503</t>
  </si>
  <si>
    <t xml:space="preserve">Religion Teacher </t>
  </si>
  <si>
    <t>0007</t>
  </si>
  <si>
    <t xml:space="preserve">Fatma Omar Abd Elhady Mohamed </t>
  </si>
  <si>
    <t>فاطمه عمر عبدالهادي محمد</t>
  </si>
  <si>
    <t>fatmakorkar@icloud.com</t>
  </si>
  <si>
    <t>201154736660</t>
  </si>
  <si>
    <t xml:space="preserve">Sheraton Heliopolis language school </t>
  </si>
  <si>
    <t>https://drive.google.com/open?id=1DriN0Q1VkGxnpciXYq132G2Z9glgt-Lg</t>
  </si>
  <si>
    <t>https://drive.google.com/open?id=1oXBZMIwtm8cbmaWZ34Vhu6FntyzfunwA</t>
  </si>
  <si>
    <t>فاطمة عمر عبدالهادي محمد</t>
  </si>
  <si>
    <t>ابوبكر الصديق</t>
  </si>
  <si>
    <t>0635001692303400017</t>
  </si>
  <si>
    <t>EG240003006350016923034000170</t>
  </si>
  <si>
    <t>0063</t>
  </si>
  <si>
    <t>Zainab Saad Mustafa Elsayed</t>
  </si>
  <si>
    <t>زينب سعد مصطفي السيد</t>
  </si>
  <si>
    <t>za_s_3r@hotmail.com</t>
  </si>
  <si>
    <t>https://drive.google.com/open?id=1JRqkXy8g7JDk8FpmKWsAn20NCK_K-dqm</t>
  </si>
  <si>
    <t>https://drive.google.com/open?id=1Me9PXZ8Pi6palDMV_03VMrBjpi-n6eu4</t>
  </si>
  <si>
    <t>GS 103</t>
  </si>
  <si>
    <t>Nouran Tamer Mohamed Samir Elwakil</t>
  </si>
  <si>
    <t>نوران تامر محمد سمير الوكيل</t>
  </si>
  <si>
    <t>nouran.elwakil98@gmail.com</t>
  </si>
  <si>
    <t>201225711118</t>
  </si>
  <si>
    <t xml:space="preserve">Narmer American College </t>
  </si>
  <si>
    <t>Homeroom Teacher</t>
  </si>
  <si>
    <t>https://drive.google.com/open?id=15_4CZpKkbcA-GIKsPO65W64kAmJEdUfM</t>
  </si>
  <si>
    <t>https://drive.google.com/open?id=1ZU98Dv5IwmP9w3016DrFCILzUvAzgBTB</t>
  </si>
  <si>
    <t>التجمع الخامس</t>
  </si>
  <si>
    <t>100059780268</t>
  </si>
  <si>
    <t>EG920010020700000100059780268</t>
  </si>
  <si>
    <t>0207</t>
  </si>
  <si>
    <t>Sara Abdullah Mahmoud Naguib</t>
  </si>
  <si>
    <t>سارة عبدالله محمود نجيب</t>
  </si>
  <si>
    <t>Saraabdullahrajac@gmail.com</t>
  </si>
  <si>
    <t>201001898924</t>
  </si>
  <si>
    <t>Rajac international School</t>
  </si>
  <si>
    <t>https://drive.google.com/open?id=1hynVBkKbymitp05zrrv3N6Yb9i8cRtpr</t>
  </si>
  <si>
    <t>https://drive.google.com/open?id=1Z3Yuk33Ap-WbIPdcJLyo02p-tFm_lnio</t>
  </si>
  <si>
    <t>Obour</t>
  </si>
  <si>
    <t>00681771-0001</t>
  </si>
  <si>
    <t>EG150019002300000006817710001</t>
  </si>
  <si>
    <t>0023</t>
  </si>
  <si>
    <t>GS 104</t>
  </si>
  <si>
    <t xml:space="preserve">Heba Gamal Abd El Naser El Sayed </t>
  </si>
  <si>
    <t xml:space="preserve">هبه جمال عبد الناصر السيد </t>
  </si>
  <si>
    <t>Hebagamal768@gmail.com</t>
  </si>
  <si>
    <t>201206201373</t>
  </si>
  <si>
    <t xml:space="preserve">Nozha language school </t>
  </si>
  <si>
    <t>https://drive.google.com/open?id=1W23ARLWhh15mkSNBCkgpB3JAw8eg3DxZ</t>
  </si>
  <si>
    <t>https://drive.google.com/open?id=1KArTOWsaSIxREpk4Fp_DOAGKmCwRANu3</t>
  </si>
  <si>
    <t>برج الشاهد شارع الطيران مدينة نصر</t>
  </si>
  <si>
    <t>0036527811001</t>
  </si>
  <si>
    <t>EG830029003600000036527811001</t>
  </si>
  <si>
    <t>Ramy Salah Mahmoud Elsayed</t>
  </si>
  <si>
    <t>رامي صلاح محمود السيد</t>
  </si>
  <si>
    <t>ramyever0@gmail.com</t>
  </si>
  <si>
    <t>201017771241</t>
  </si>
  <si>
    <t>44359367</t>
  </si>
  <si>
    <t>GS 105</t>
  </si>
  <si>
    <t>Mohamed mostafa mohamed Mohamed</t>
  </si>
  <si>
    <t>محمد مصطفى محمد محمد</t>
  </si>
  <si>
    <t>mohamed.mostafa.mohamed_89@outlook.com</t>
  </si>
  <si>
    <t>201150247667</t>
  </si>
  <si>
    <t>28907282102332</t>
  </si>
  <si>
    <t>Nehal Mohsen abdelmnam abdo</t>
  </si>
  <si>
    <t>نهال محسن عبدالمنعم عبده</t>
  </si>
  <si>
    <t>nonasado16@gmail.com‏</t>
  </si>
  <si>
    <t>201003880243</t>
  </si>
  <si>
    <t>سان جون الامريكية</t>
  </si>
  <si>
    <t>مدرسة لغة عربية</t>
  </si>
  <si>
    <t>https://drive.google.com/open?id=11hsU6uTgYcxXpcpTuqQCKqYLkV6K1uW1</t>
  </si>
  <si>
    <t>https://drive.google.com/open?id=1khaU7GXOGQZFyIgU0CWQqYNU4enklrBB</t>
  </si>
  <si>
    <t xml:space="preserve">نهال محسن عبدالمنعم عبده </t>
  </si>
  <si>
    <t>100049005088</t>
  </si>
  <si>
    <t>EG490010002400000100049005088</t>
  </si>
  <si>
    <t>Walaa Maher Mahmoud</t>
  </si>
  <si>
    <t>ولاء ماهر محمود عبد العزيز</t>
  </si>
  <si>
    <t>walaa.maher@sayegh1944.com</t>
  </si>
  <si>
    <t>201067295749</t>
  </si>
  <si>
    <t xml:space="preserve">Senior </t>
  </si>
  <si>
    <t>65</t>
  </si>
  <si>
    <t>Janna Moatassem Aly Genenna</t>
  </si>
  <si>
    <t xml:space="preserve">جنة معتصم علي جنينة </t>
  </si>
  <si>
    <t>janna.genena@gmail.com</t>
  </si>
  <si>
    <t>201033921308</t>
  </si>
  <si>
    <t>Integrated thebes international schools</t>
  </si>
  <si>
    <t>https://drive.google.com/open?id=19mNz34q6ZXrC699WY0_Nv3kEUYN3gKfG</t>
  </si>
  <si>
    <t>https://drive.google.com/open?id=19eMWUmGMexptjO1UD1eUmikupEt_gJpL</t>
  </si>
  <si>
    <t>منشية البكري</t>
  </si>
  <si>
    <t>0465001681888300019</t>
  </si>
  <si>
    <t>EG560003004650016818883000190</t>
  </si>
  <si>
    <t>0046</t>
  </si>
  <si>
    <t>Asmaa Tareq Helmy Mostafa</t>
  </si>
  <si>
    <t>Asmaatareq03@gmail.com</t>
  </si>
  <si>
    <t>https://drive.google.com/open?id=1jho4KUewseOUXie9FNcIxCMIBZXHB-LG</t>
  </si>
  <si>
    <t>https://drive.google.com/open?id=1eZ2Qa3DT5DBCFLV-4XtpGZ1RfokccwP6</t>
  </si>
  <si>
    <t>GS 201</t>
  </si>
  <si>
    <t>Mayada Mohamed Ezz Mohamed</t>
  </si>
  <si>
    <t>مياده محمد عز محمد</t>
  </si>
  <si>
    <t>Mayada.mohamed999@gmail.com</t>
  </si>
  <si>
    <t>201118489344</t>
  </si>
  <si>
    <t>Thebes school (Cairo British School)</t>
  </si>
  <si>
    <t>https://drive.google.com/open?id=1PcRrYJhBhKavEuM2GUs2-GNwWaMud6Qh</t>
  </si>
  <si>
    <t>https://drive.google.com/open?id=14EbKUUNYe1yh4YqGTCXCQJlf7Old--G8</t>
  </si>
  <si>
    <t>منشية الحرية</t>
  </si>
  <si>
    <t>0345001797421000012</t>
  </si>
  <si>
    <t>EG590003003450017974210000120</t>
  </si>
  <si>
    <t xml:space="preserve">Wael fekry mostafa Ali elgohry </t>
  </si>
  <si>
    <t xml:space="preserve">وائل فكري مصطفى على الجوهري </t>
  </si>
  <si>
    <t xml:space="preserve">Elgohrywael@yahoo.com </t>
  </si>
  <si>
    <t>201099024563</t>
  </si>
  <si>
    <t xml:space="preserve">National center for education and examination evaluation </t>
  </si>
  <si>
    <t xml:space="preserve">Educational specialist </t>
  </si>
  <si>
    <t>https://drive.google.com/open?id=1RRdLicl4z0hb03DK5CZTDy91OSupiMVV</t>
  </si>
  <si>
    <t>https://drive.google.com/open?id=1gypsHA1-NSrkS6daaAWhMrvRlY0YnTnO</t>
  </si>
  <si>
    <t xml:space="preserve">السيدة زينب </t>
  </si>
  <si>
    <t>1545000171058401016</t>
  </si>
  <si>
    <t>EG060003015450001710584010160</t>
  </si>
  <si>
    <t>0154</t>
  </si>
  <si>
    <t>Omar ouf ahmed ali</t>
  </si>
  <si>
    <t>عمر عوف احمد علي</t>
  </si>
  <si>
    <t>Omarouf222@gmail.com</t>
  </si>
  <si>
    <t>201118532039</t>
  </si>
  <si>
    <t xml:space="preserve">Princeton </t>
  </si>
  <si>
    <t>PE teacher</t>
  </si>
  <si>
    <t>Hhhffbb</t>
  </si>
  <si>
    <t>https://drive.google.com/open?id=10bNN0nFIfgNyQLgod9gOw-yFBxXS10Q7</t>
  </si>
  <si>
    <t>https://drive.google.com/open?id=1Fun3LNFoJm3G1_ERaAWxDy8C8v68QSoy</t>
  </si>
  <si>
    <t>0953011677105800011</t>
  </si>
  <si>
    <t>EG370003009530116771058000110</t>
  </si>
  <si>
    <t>GS 202</t>
  </si>
  <si>
    <t xml:space="preserve">Dalal Hassanen Ahmed Hassanen </t>
  </si>
  <si>
    <t>دلال حسانين احمد حسانين</t>
  </si>
  <si>
    <t>dalalyasser7@gmail.com</t>
  </si>
  <si>
    <t>201159608404</t>
  </si>
  <si>
    <t>Senior specialist</t>
  </si>
  <si>
    <t>https://drive.google.com/open?id=1TqvGJkxM5Jp3_qAWrAVpDp9X219EgAaS</t>
  </si>
  <si>
    <t>https://drive.google.com/open?id=15SPT25v6CzRn-tY0Ztma1D6yL6pxfabg</t>
  </si>
  <si>
    <t>دلال حسانين احمد حسنين</t>
  </si>
  <si>
    <t>1063010146044000019</t>
  </si>
  <si>
    <t>EG870003010630101460440000190</t>
  </si>
  <si>
    <t>Manar Bakhet Mohamad Abdel Aziz</t>
  </si>
  <si>
    <t>منار بخيت محمد عبد العزيز</t>
  </si>
  <si>
    <t>manarbekheet@hotmail.com</t>
  </si>
  <si>
    <t>201142482742</t>
  </si>
  <si>
    <t>GS 203</t>
  </si>
  <si>
    <t>Mohammed Sultan Mohammed Ahmad</t>
  </si>
  <si>
    <t>mohammed.sultan@fue.edu.eg</t>
  </si>
  <si>
    <t>201023706322</t>
  </si>
  <si>
    <t>76587079</t>
  </si>
  <si>
    <t xml:space="preserve">Merna Maher Ramzy Attia </t>
  </si>
  <si>
    <t xml:space="preserve">ميرنا ماهر رمزي عطيه </t>
  </si>
  <si>
    <t xml:space="preserve">merna_maher315@yahoo.com </t>
  </si>
  <si>
    <t>201282166960</t>
  </si>
  <si>
    <t>Genesis International School</t>
  </si>
  <si>
    <t>https://drive.google.com/open?id=1L1SniUl4pXdAC-pvFUW67EQtweU-z9Tz</t>
  </si>
  <si>
    <t>https://drive.google.com/open?id=1Z4nx_gRcbPpaAUcyD0YsQ8araFgJv0tv</t>
  </si>
  <si>
    <t xml:space="preserve">فريد سميكه </t>
  </si>
  <si>
    <t>0223051604880600017</t>
  </si>
  <si>
    <t>EG640003002230516048806000170</t>
  </si>
  <si>
    <t>0022</t>
  </si>
  <si>
    <t>GS 204</t>
  </si>
  <si>
    <t>Amira Mahfouz Refaat Riad</t>
  </si>
  <si>
    <t>اميره محفوظ رفعت رياض</t>
  </si>
  <si>
    <t>amira_basely@yahoo.com</t>
  </si>
  <si>
    <t>201061818593</t>
  </si>
  <si>
    <t xml:space="preserve">British Council </t>
  </si>
  <si>
    <t>Exams Finance Officer</t>
  </si>
  <si>
    <t>https://drive.google.com/open?id=1vySQLPAG5s8AkoF8lq0J0z1da0yf8z0A</t>
  </si>
  <si>
    <t>https://drive.google.com/open?id=1fuprDFbBPGE8a2h4SgVVzG4_LmFfGBj-</t>
  </si>
  <si>
    <t>Dokki</t>
  </si>
  <si>
    <t>064035041013</t>
  </si>
  <si>
    <t>EG630025006400000064035041013</t>
  </si>
  <si>
    <t>0064</t>
  </si>
  <si>
    <t>Abdel Rahman Ayman Fathy Nageeb</t>
  </si>
  <si>
    <t>boodaayman4@gmail.com</t>
  </si>
  <si>
    <t>201122177767</t>
  </si>
  <si>
    <t>73097866</t>
  </si>
  <si>
    <t>GS 206</t>
  </si>
  <si>
    <t xml:space="preserve">Nada Nagy Abdrabou Mohamed </t>
  </si>
  <si>
    <t xml:space="preserve">ندى ناجي عبدربه محمد </t>
  </si>
  <si>
    <t>nadaemara468@gmail.com</t>
  </si>
  <si>
    <t>201013798822</t>
  </si>
  <si>
    <t>ICB. International college of Benha</t>
  </si>
  <si>
    <t xml:space="preserve">PE. Teacher </t>
  </si>
  <si>
    <t>https://drive.google.com/open?id=14FruSQogDg3_3eATt8nNsoI7QnB9mG8_</t>
  </si>
  <si>
    <t>https://drive.google.com/open?id=13EoRwIdPOoY5tunry1DRuQ8gRZVOy-RB</t>
  </si>
  <si>
    <t>NADA NAGY ABDERABBO MOHAMED</t>
  </si>
  <si>
    <t>1130283397619</t>
  </si>
  <si>
    <t>EG270037010708181130283397619</t>
  </si>
  <si>
    <t>Amira fawzy rabee mohamed</t>
  </si>
  <si>
    <t>اميره فوزي ربيع محمد</t>
  </si>
  <si>
    <t>amira.tarek71@gmail.com</t>
  </si>
  <si>
    <t>201009720359</t>
  </si>
  <si>
    <t>almady international school</t>
  </si>
  <si>
    <t>accounting</t>
  </si>
  <si>
    <t>https://drive.google.com/open?id=1dII_1RAhjYfM5lOPol_qirGRiwfZcVYA</t>
  </si>
  <si>
    <t>https://drive.google.com/open?id=1D1URwVQnpmRGaQTrkCpVzej9C4OowHUE</t>
  </si>
  <si>
    <t>روكسي</t>
  </si>
  <si>
    <t>1190333000000308</t>
  </si>
  <si>
    <t>EG050002011901190333000000308</t>
  </si>
  <si>
    <t>0119</t>
  </si>
  <si>
    <t>Sherine Roushdy Fouad Helmy</t>
  </si>
  <si>
    <t>شيرين رشدي فؤاد حلمي</t>
  </si>
  <si>
    <t>sherine.roushdy.helmy@gmail.com</t>
  </si>
  <si>
    <t>201223832289</t>
  </si>
  <si>
    <t>British Council</t>
  </si>
  <si>
    <t xml:space="preserve">Assistant supervisor </t>
  </si>
  <si>
    <t>https://drive.google.com/open?id=1MvLecc11Ckak-AK8kNZGeUWphPnrXKrr</t>
  </si>
  <si>
    <t>https://drive.google.com/open?id=1E4NLSJhMVnW86kKYpEyUePG1n1gx4Wx_</t>
  </si>
  <si>
    <t>Zamalek</t>
  </si>
  <si>
    <t>001475367013</t>
  </si>
  <si>
    <t>EG170025000100000001475367013</t>
  </si>
  <si>
    <t xml:space="preserve">Sameh Sedky Shrabeen Abdel Sayed </t>
  </si>
  <si>
    <t>سامح صدقى شرابين عبدالسيد</t>
  </si>
  <si>
    <t>samehtech02@gmail.com</t>
  </si>
  <si>
    <t>201205449690</t>
  </si>
  <si>
    <t xml:space="preserve">Yehia El Rafee Experimental Language school </t>
  </si>
  <si>
    <t xml:space="preserve">It especiallist </t>
  </si>
  <si>
    <t>https://drive.google.com/open?id=1l5HVIcNAgw6QEeU7IL5e_HAJ7jGVv26F</t>
  </si>
  <si>
    <t>https://drive.google.com/open?id=1shw8bpPEaFHdAaB-qaNShMpU6utIJPzU</t>
  </si>
  <si>
    <t xml:space="preserve">سامح صدقى شرابين عبدالسيد </t>
  </si>
  <si>
    <t xml:space="preserve">جسر السويس </t>
  </si>
  <si>
    <t>1275010514192800017</t>
  </si>
  <si>
    <t>EG580003012750105141928000170</t>
  </si>
  <si>
    <t>0127</t>
  </si>
  <si>
    <t>Shimaa Attia Abd Rabo</t>
  </si>
  <si>
    <t xml:space="preserve">شيماء عطية عبدربة عطية </t>
  </si>
  <si>
    <t xml:space="preserve">Yokayahia12@gmail.com </t>
  </si>
  <si>
    <t>201018879373</t>
  </si>
  <si>
    <t>Talaea modern language school</t>
  </si>
  <si>
    <t xml:space="preserve">Computer techer </t>
  </si>
  <si>
    <t>28710040102984</t>
  </si>
  <si>
    <t>https://drive.google.com/open?id=1sHFw8hT1G0BD0g81bX-ieoAIINb9UumV</t>
  </si>
  <si>
    <t>https://drive.google.com/open?id=1R2Jx8MoHOe031NoDQMajvA8XiRWVRUhj</t>
  </si>
  <si>
    <t>7830333000096786</t>
  </si>
  <si>
    <t>EG620002078307830333000096786</t>
  </si>
  <si>
    <t>GS 301</t>
  </si>
  <si>
    <t>Amna Hamdy Mahgoub mohmed</t>
  </si>
  <si>
    <t xml:space="preserve">آمنه حمدى محجوب محمد عبد الله </t>
  </si>
  <si>
    <t>monyelashery123@gmail.com</t>
  </si>
  <si>
    <t>201100678823</t>
  </si>
  <si>
    <t>https://drive.google.com/open?id=1ds6bN3Q7ZP9r5P_VIOkGOIJ5N1gpwijI</t>
  </si>
  <si>
    <t>https://drive.google.com/open?id=1Y2ttd8A3d6lk46k4ky1Y2H7vHq7Eq3T7</t>
  </si>
  <si>
    <t>Viola Sobhy Shawky Sedra</t>
  </si>
  <si>
    <t>فيولا صبحى شوقى سدره</t>
  </si>
  <si>
    <t>Viola.sobhy333@gmail.com</t>
  </si>
  <si>
    <t>201201365765</t>
  </si>
  <si>
    <t>Pioneer Integrated School</t>
  </si>
  <si>
    <t>Science Teacher</t>
  </si>
  <si>
    <t>52500678</t>
  </si>
  <si>
    <t>27809200100901</t>
  </si>
  <si>
    <t>https://drive.google.com/open?id=1LZEZUY1PmT8Tgq0nyFwllP113Qy0CGWe</t>
  </si>
  <si>
    <t>https://drive.google.com/open?id=1farr8kL4CU0ufXw9scGYLob9GU3AZHzA</t>
  </si>
  <si>
    <t>Madenty(مدينتى)</t>
  </si>
  <si>
    <t>2045010222798082</t>
  </si>
  <si>
    <t>EG970061109702045010222798082</t>
  </si>
  <si>
    <t>Ahmed helmy Ibrahim</t>
  </si>
  <si>
    <t>Ahmed.helmy@fue.edu.eg</t>
  </si>
  <si>
    <t>201003494053</t>
  </si>
  <si>
    <t>63151648</t>
  </si>
  <si>
    <t>28602030104779</t>
  </si>
  <si>
    <t>GS 302</t>
  </si>
  <si>
    <t>Sawsan Hussein Mohamed Ahmed</t>
  </si>
  <si>
    <t>Totaramy31@gmail.com</t>
  </si>
  <si>
    <t>201118060705</t>
  </si>
  <si>
    <t>28901220101064</t>
  </si>
  <si>
    <t>Mohamed Abd ElHalim Mohamed Ghanima</t>
  </si>
  <si>
    <t>محمد عبد الحليم محمد غنيمة</t>
  </si>
  <si>
    <t xml:space="preserve">Mohamedmghanima@gmail.com </t>
  </si>
  <si>
    <t>201551913511</t>
  </si>
  <si>
    <t>الهيئة المصرية العامة للمساحة</t>
  </si>
  <si>
    <t>Survey Engineer</t>
  </si>
  <si>
    <t>100/554/172</t>
  </si>
  <si>
    <t>https://drive.google.com/open?id=1nQkPd9Yx5sEKPJ5oo2L3yoFIpSIpEt2X</t>
  </si>
  <si>
    <t>https://drive.google.com/open?id=1_I0pHuSepfl2loxa1IrpSDmbO9SLcmBV</t>
  </si>
  <si>
    <t>عبد العزيز آل سعود _ منيل الروضة</t>
  </si>
  <si>
    <t>0315001162249400013</t>
  </si>
  <si>
    <t>EG940003003150011622494000130</t>
  </si>
  <si>
    <t>0031</t>
  </si>
  <si>
    <t>GS 305</t>
  </si>
  <si>
    <t>Mai Samy Elsayed AbdAllah</t>
  </si>
  <si>
    <t>مي سامي السيد عبدالله</t>
  </si>
  <si>
    <t>maisamy22@hotmail.com</t>
  </si>
  <si>
    <t>201271172229</t>
  </si>
  <si>
    <t>Network engineer</t>
  </si>
  <si>
    <t>https://drive.google.com/open?id=1b1w9z-AKBgeLo8ivrWRBKUYu0xGyWn0C</t>
  </si>
  <si>
    <t>https://drive.google.com/open?id=1W9R3pyn0frwMb3wFb8MInGptJX23irMf</t>
  </si>
  <si>
    <t>مى سامى السيد عبدالله</t>
  </si>
  <si>
    <t>1065010333976000019</t>
  </si>
  <si>
    <t>EG710003010650103339760000190</t>
  </si>
  <si>
    <t xml:space="preserve">Dooa Hamad Zaki Mohammad </t>
  </si>
  <si>
    <t>دعاء حمد زكي محمد</t>
  </si>
  <si>
    <t>doaahamada915@gmail.com</t>
  </si>
  <si>
    <t>201117797339</t>
  </si>
  <si>
    <t>72919660</t>
  </si>
  <si>
    <t>GS 306</t>
  </si>
  <si>
    <t>Saeed Mostafa Hussein Emam</t>
  </si>
  <si>
    <t>company1980tally@gmail.com</t>
  </si>
  <si>
    <t>201114075473</t>
  </si>
  <si>
    <t>Ali Mohamed Ali Abdelaziz</t>
  </si>
  <si>
    <t xml:space="preserve">علي محمد علي عبدالعزيز </t>
  </si>
  <si>
    <t>alidolsika97@gmail.com</t>
  </si>
  <si>
    <t xml:space="preserve">Ethos international school </t>
  </si>
  <si>
    <t xml:space="preserve">PE Teacher </t>
  </si>
  <si>
    <t>https://drive.google.com/open?id=1lBOPNtEitideEj8cwTssYmaelt9SCatt</t>
  </si>
  <si>
    <t>https://drive.google.com/open?id=1vFMFOHu4HxQkEhKqtsuWG87EzrE06BwV</t>
  </si>
  <si>
    <t xml:space="preserve">Ali Mohamed Ali Abdelaziz </t>
  </si>
  <si>
    <t>Osama Abdel monsef</t>
  </si>
  <si>
    <t>اسامة عبدالمنصف ابراهيم محمد</t>
  </si>
  <si>
    <t>osama.monsef@longmanegypt.com</t>
  </si>
  <si>
    <t>Arab Academy Sheraton Faculty of Management &amp; Technology</t>
  </si>
  <si>
    <t>https://maps.app.goo.gl/5VsxBQ6rYyrFaPKKA?g_st=iw</t>
  </si>
  <si>
    <t>Toqa Mohamed Elsayid aboelyazid</t>
  </si>
  <si>
    <t>تقى محمد السيد ابو اليزيد</t>
  </si>
  <si>
    <t>toqaaboelyazid59@gmail.com</t>
  </si>
  <si>
    <t>https://drive.google.com/open?id=11dIT4bJTYdt0K_96jBDb0V0OnFyWvV9Y</t>
  </si>
  <si>
    <t>https://drive.google.com/open?id=1ybsFJ26zt8KrocrPXM-L_TZmxtJJhSQC</t>
  </si>
  <si>
    <t>Ziad hossam Mohamed abelmoniem</t>
  </si>
  <si>
    <t>زياد حسام محمد عبد المنعم</t>
  </si>
  <si>
    <t>ziad.hossam1812@gmail.com</t>
  </si>
  <si>
    <t>موظف في البنك الاهلي الكويتي</t>
  </si>
  <si>
    <t>https://drive.google.com/open?id=1UGBjNeyUvLWsl5nB5AUqqxrgQXk5RLuC</t>
  </si>
  <si>
    <t>https://drive.google.com/open?id=1EJiIkGt3X5QnCJXsSvxqEHr1f76sZ1IN</t>
  </si>
  <si>
    <t>Mohamed zaki ibrahim taefiq</t>
  </si>
  <si>
    <t>محمد زكي ابراهيم توفيق</t>
  </si>
  <si>
    <t>mohamedzaky3061996@gmail.com</t>
  </si>
  <si>
    <t>Uk marking</t>
  </si>
  <si>
    <t>Marking</t>
  </si>
  <si>
    <t>https://drive.google.com/open?id=1PkUvWZzyX4lo_uwR1MmaynaiagfC5lzm</t>
  </si>
  <si>
    <t>https://drive.google.com/open?id=1Tr87PiBTSBIz9AxjVHmAK9WhiqShKZXV</t>
  </si>
  <si>
    <t>Abdel Rahman Afifi Ibrahim Shalaby</t>
  </si>
  <si>
    <t xml:space="preserve">عبد الرحمن عفيفي ابراهيم شلبي </t>
  </si>
  <si>
    <t>abdoshalaby270@gmail.com</t>
  </si>
  <si>
    <t>Ahmed Farouk Ebrahim Awad</t>
  </si>
  <si>
    <t>ahmed_farouk@ymail.com</t>
  </si>
  <si>
    <t>201090196969</t>
  </si>
  <si>
    <t>27812218800251</t>
  </si>
  <si>
    <t>Arab Academy Sheraton Faculty of Language &amp; Communication Building C</t>
  </si>
  <si>
    <t>https://goo.gl/maps/AzRPq8f8ySLrbTXj8</t>
  </si>
  <si>
    <t xml:space="preserve">Reham Yosry Omar Hassaneen </t>
  </si>
  <si>
    <t>ريهام يسري عمر حسانين</t>
  </si>
  <si>
    <t>rehamyosry99@gmail.com</t>
  </si>
  <si>
    <t>201100064595</t>
  </si>
  <si>
    <t>Futures Tech Language School</t>
  </si>
  <si>
    <t xml:space="preserve">Science Teacher </t>
  </si>
  <si>
    <t>https://drive.google.com/open?id=1dXaIsZH-ANSVtOWHfSnXs7-UGC_gtFpX</t>
  </si>
  <si>
    <t>https://drive.google.com/open?id=1RfAyW-c8n6BmrCScUaNH3MfoRmZ-oBkr</t>
  </si>
  <si>
    <t xml:space="preserve">ريهام يسري عمر حسانين </t>
  </si>
  <si>
    <t>0029476360100</t>
  </si>
  <si>
    <t>EG930029002900000029476360100</t>
  </si>
  <si>
    <t>heba samir yosef ward</t>
  </si>
  <si>
    <t>هبة سمير يوسف ورد</t>
  </si>
  <si>
    <t>hebaward87@gmail.com</t>
  </si>
  <si>
    <t>201143251821</t>
  </si>
  <si>
    <t>nceee</t>
  </si>
  <si>
    <t>data entry</t>
  </si>
  <si>
    <t>https://drive.google.com/open?id=154oaLpiMm4v-MllfRJllLP3gfR0lre67</t>
  </si>
  <si>
    <t>https://drive.google.com/open?id=1HonWoXiN83jmu__EnZIMajjyCmQOeDZS</t>
  </si>
  <si>
    <t>heba samir youssef</t>
  </si>
  <si>
    <t>رابعة العدوية</t>
  </si>
  <si>
    <t>1253010183383900011</t>
  </si>
  <si>
    <t>EG470003012530101833839000110</t>
  </si>
  <si>
    <t>0125</t>
  </si>
  <si>
    <t>Mohamed Salaheldeen Desoky</t>
  </si>
  <si>
    <t>محمد صلاح الدين الدسوقى ابراهيم</t>
  </si>
  <si>
    <t>mohamed.salah@york-press.com</t>
  </si>
  <si>
    <t>Salah el din el desouky ebrahim</t>
  </si>
  <si>
    <t>صلاح الدين الدسوقى ابراهيم نجئ</t>
  </si>
  <si>
    <t>mnaga622@gmail.com</t>
  </si>
  <si>
    <t>147</t>
  </si>
  <si>
    <t xml:space="preserve">Asmaa Mohammed Ahmed Ali </t>
  </si>
  <si>
    <t>QudsMohammed50@gmail.com</t>
  </si>
  <si>
    <t>https://drive.google.com/open?id=1QDDcp9kYmWHFf8S33_AlVE6vAX952_Qi</t>
  </si>
  <si>
    <t>https://drive.google.com/open?id=1i5-0hhxQvryW6f0W1smIlrZNSFeg6qvm</t>
  </si>
  <si>
    <t xml:space="preserve">Mohamed Abd-Elrahman Desouki Ali </t>
  </si>
  <si>
    <t xml:space="preserve">محمد عبدالرحمن دسوقي علي </t>
  </si>
  <si>
    <t>Abousafeen@gmail.com</t>
  </si>
  <si>
    <t>Team leader</t>
  </si>
  <si>
    <t>https://drive.google.com/open?id=1i-UnE4tDOLyfIxhulGez3GAjCnbKbmgS</t>
  </si>
  <si>
    <t>https://drive.google.com/open?id=1lNeJQn3UsPT8VuAT5KiKrZei17yUf4-j</t>
  </si>
  <si>
    <t xml:space="preserve">Nourhan Mohamed Abdel Fadeel Tolba </t>
  </si>
  <si>
    <t>نورهان محمد عبد الفضيل طلبة</t>
  </si>
  <si>
    <t>norhanm786@gmail.com</t>
  </si>
  <si>
    <t>201000385953</t>
  </si>
  <si>
    <t xml:space="preserve">Shams mohamed ahmed fahmy badr </t>
  </si>
  <si>
    <t xml:space="preserve">شمس محمد احمد فهمي بدر </t>
  </si>
  <si>
    <t>Shamsm699@gmail.com</t>
  </si>
  <si>
    <t>201120578992</t>
  </si>
  <si>
    <t>Lab technician</t>
  </si>
  <si>
    <t>https://drive.google.com/open?id=1sUmZw9SkDgmovrB-x8CBXoQp89zY9lCV</t>
  </si>
  <si>
    <t>https://drive.google.com/open?id=1iG3s7QMJXPPIBmdGqdFyEuaJAyvpt-q2</t>
  </si>
  <si>
    <t>Shams mohamed ahmed fahmy badr</t>
  </si>
  <si>
    <t>SUN CITY</t>
  </si>
  <si>
    <t>EG760002079307930333000049832</t>
  </si>
  <si>
    <t>0793</t>
  </si>
  <si>
    <t>Yousef Yousry Reda Halem</t>
  </si>
  <si>
    <t>يوسف يسري رضا حليم</t>
  </si>
  <si>
    <t>youssefyoussry06@gmail.com</t>
  </si>
  <si>
    <t>201223160942</t>
  </si>
  <si>
    <t>Integrated Thebes American College in Cairo</t>
  </si>
  <si>
    <t>Computer Teacher</t>
  </si>
  <si>
    <t>086575681</t>
  </si>
  <si>
    <t>https://drive.google.com/open?id=1OHNPwCCHqUhmW_AE7Dro-Ls-i3ZR-rMm</t>
  </si>
  <si>
    <t>https://drive.google.com/open?id=1bEMlgnrBIHXd2YdugQWPYcnERTyFO06o</t>
  </si>
  <si>
    <t>الخلفاوى</t>
  </si>
  <si>
    <t>1775001793155500018</t>
  </si>
  <si>
    <t>EG450003017750017931555000180</t>
  </si>
  <si>
    <t>Mohammad Tawfik Eid Ali</t>
  </si>
  <si>
    <t>محمد توفيق عيد علي</t>
  </si>
  <si>
    <t>mohamed.tawfiek@fue.edu.eg</t>
  </si>
  <si>
    <t>201011859645</t>
  </si>
  <si>
    <t>70014397</t>
  </si>
  <si>
    <t>Mohamed Reda sayed Mohamed</t>
  </si>
  <si>
    <t>محمد رضا سيد محمد</t>
  </si>
  <si>
    <t>mohamed.eladawy80@gmail.com</t>
  </si>
  <si>
    <t>201004470037</t>
  </si>
  <si>
    <t>28009200108097</t>
  </si>
  <si>
    <t>Shimaa Farouk Ibrahim Hafez</t>
  </si>
  <si>
    <t>Chaimaafarouk013@gmail.com</t>
  </si>
  <si>
    <t>مدرسة المنيل القومية</t>
  </si>
  <si>
    <t>مدسة لغة فرنسية</t>
  </si>
  <si>
    <t>https://drive.google.com/open?id=1nkFALl8GR-b_JcTzLdcbIE4ZY-mzWKG0</t>
  </si>
  <si>
    <t>https://drive.google.com/open?id=1oohHa-KjAmjuQ4Tpoyd3w1j_UXxajvyy</t>
  </si>
  <si>
    <t>SHIMAA FAROUK IBRAHIM</t>
  </si>
  <si>
    <t>EG230002012901290333000050282</t>
  </si>
  <si>
    <t>Randa Gouda Ahmed El said</t>
  </si>
  <si>
    <t>رند جوده احمد السيد</t>
  </si>
  <si>
    <t>randa_gouda_ahmed@hotmail.com</t>
  </si>
  <si>
    <t>201115511669</t>
  </si>
  <si>
    <t xml:space="preserve">Thebes international schools </t>
  </si>
  <si>
    <t>French HOD</t>
  </si>
  <si>
    <t>27711258800368</t>
  </si>
  <si>
    <t>https://drive.google.com/open?id=1e8D183V-W4DVj3eKgAur8du9khNVfMN8</t>
  </si>
  <si>
    <t>https://drive.google.com/open?id=11H6fVjMmGQ-xv6x6qVLR4tIB_-sJuJSL</t>
  </si>
  <si>
    <t>Randa Gouda Ahmed</t>
  </si>
  <si>
    <t xml:space="preserve">وسط البلد </t>
  </si>
  <si>
    <t>1032555360010201</t>
  </si>
  <si>
    <t>EG350057000401032555360010201</t>
  </si>
  <si>
    <t>ARAIEGCXXXX</t>
  </si>
  <si>
    <t>Mohamed Mostafa Ibraheem Tawfeek</t>
  </si>
  <si>
    <t>محمد مصطفى ابراهيم توفيق</t>
  </si>
  <si>
    <t>mtarektawfiq20@gmail.com</t>
  </si>
  <si>
    <t xml:space="preserve">UK marking </t>
  </si>
  <si>
    <t>https://drive.google.com/open?id=1F2wHMdg8LpnPZMxLUk-jGT_YZ8YECyYf</t>
  </si>
  <si>
    <t>https://drive.google.com/open?id=1TGLw55xoFeot4a0S-mZx77xU3nNYyFNB</t>
  </si>
  <si>
    <t>Fardous magdy aboelala shaaban</t>
  </si>
  <si>
    <t>فردوس مجدى ابوالعلا شعبان</t>
  </si>
  <si>
    <t>Fardousmagdy726@gmail.com</t>
  </si>
  <si>
    <t>201151098907</t>
  </si>
  <si>
    <t>Dr nermin ismail schools</t>
  </si>
  <si>
    <t>social studies teacher</t>
  </si>
  <si>
    <t>https://drive.google.com/open?id=1Q5OXJ19ORMZbaSkSAfR2_EFqkbgsTWzM</t>
  </si>
  <si>
    <t>https://drive.google.com/open?id=1heacbp1h5V1XX7zWCo3_a7n4bLZoeqbG</t>
  </si>
  <si>
    <t>CAIRO - Future University in Egypt</t>
  </si>
  <si>
    <t>Fardous shabaan</t>
  </si>
  <si>
    <t>Emirates NBD بنك الامارات دبى الوطنى</t>
  </si>
  <si>
    <t>Sheraton</t>
  </si>
  <si>
    <t>EG830014002600001019798732801</t>
  </si>
  <si>
    <t>EBILEGCXXXX</t>
  </si>
  <si>
    <t>Marwa mohamed hassan kotb</t>
  </si>
  <si>
    <t>مروه محمد حسن قطب</t>
  </si>
  <si>
    <t>marososo12@gmail.com</t>
  </si>
  <si>
    <t>201060545517</t>
  </si>
  <si>
    <t>Mokatam international  language school</t>
  </si>
  <si>
    <t>https://drive.google.com/open?id=1kvi_6PHYXos2O_p6sZcgzXB47r1lpohV</t>
  </si>
  <si>
    <t>https://drive.google.com/open?id=1GU0ICHpM-oj2Q_ORhmysOZCmVIhi6Pgo</t>
  </si>
  <si>
    <t>Marwa mohamed hassan</t>
  </si>
  <si>
    <t>0590000957289</t>
  </si>
  <si>
    <t>EG110038005900000590000957289</t>
  </si>
  <si>
    <t>0059</t>
  </si>
  <si>
    <t>Mahmoud Masry mohamad Abdel Kader</t>
  </si>
  <si>
    <t>محمود مصري محمد عبد القادر</t>
  </si>
  <si>
    <t>masry4559@gmail.com</t>
  </si>
  <si>
    <t>201027000841</t>
  </si>
  <si>
    <t>52823153</t>
  </si>
  <si>
    <t>Ahmad Badr Bassem Abbas</t>
  </si>
  <si>
    <t>Ahmed.abdelazim@fue.edu.Eg</t>
  </si>
  <si>
    <t>201062270622</t>
  </si>
  <si>
    <t>60715912</t>
  </si>
  <si>
    <t>Maha abdelsalam saeed abdelsalam</t>
  </si>
  <si>
    <t>مها عبد السلام سعيد عبد السلام</t>
  </si>
  <si>
    <t>Abdoomaha18@gmail.com</t>
  </si>
  <si>
    <t>201283549761</t>
  </si>
  <si>
    <t>المركز القومي للامتحانات و التقويم التربوي</t>
  </si>
  <si>
    <t>الشئون الماليه</t>
  </si>
  <si>
    <t>028506300101026</t>
  </si>
  <si>
    <t>https://drive.google.com/open?id=1uRvtuwXtvq3aze7mt_Yn8MVhSqsXts41</t>
  </si>
  <si>
    <t>https://drive.google.com/open?id=1QeKpdUwieksDi-kj8U3sDup-sRz6fidX</t>
  </si>
  <si>
    <t>Katameya</t>
  </si>
  <si>
    <t>0270000009772</t>
  </si>
  <si>
    <t>EG860038002700000270000009772</t>
  </si>
  <si>
    <t>Reem atef kamal abd elhamid</t>
  </si>
  <si>
    <t>ريم عاطف كمال عبد الحميد</t>
  </si>
  <si>
    <t>rimatef62@gmail.com</t>
  </si>
  <si>
    <t xml:space="preserve"> رواسي مصر</t>
  </si>
  <si>
    <t>Accouting</t>
  </si>
  <si>
    <t>https://drive.google.com/open?id=1BGqIM2_Hq-bnIMNNcWxsjv09xTE0oL3F</t>
  </si>
  <si>
    <t>https://drive.google.com/open?id=1oMasuTkam-6Cj8gC_eT7yeC8JVG-cTzS</t>
  </si>
  <si>
    <t>Reem atef kamal</t>
  </si>
  <si>
    <t>Tharwat</t>
  </si>
  <si>
    <t>0035000379966300013</t>
  </si>
  <si>
    <t>EG240003000350003799663000130</t>
  </si>
  <si>
    <t>Sarah Ibrahim Fareed Shaheen</t>
  </si>
  <si>
    <t>chahensara2@gmail.com</t>
  </si>
  <si>
    <t>201095954341</t>
  </si>
  <si>
    <t>28805291700041</t>
  </si>
  <si>
    <t>Yousef Mohammad Abdelfadeel Tolba</t>
  </si>
  <si>
    <t>يوسف محمد عبد الفضيل طلبة</t>
  </si>
  <si>
    <t>youssefmohamed_753@yahoo.com</t>
  </si>
  <si>
    <t>201111400616</t>
  </si>
  <si>
    <t>محمود سعد ابراهيم محمود</t>
  </si>
  <si>
    <t>Youssif2013327@gmail.com</t>
  </si>
  <si>
    <t>201111371703</t>
  </si>
  <si>
    <t>https://drive.google.com/open?id=1oOL8O_4kRj9Yo3PJkTo1tYTM4XP_khrF</t>
  </si>
  <si>
    <t>https://drive.google.com/open?id=1tbbiyffFcwX0kVlBZnId8kj61JhNlvUu</t>
  </si>
  <si>
    <t>Mahmoud Saad Ibrahim</t>
  </si>
  <si>
    <t>100066770405</t>
  </si>
  <si>
    <t>Hala Mohamed Mahmoud Ali Hassanin</t>
  </si>
  <si>
    <t>هالة محمد محمود علي حسانين</t>
  </si>
  <si>
    <t>Hala.hassanin@fue.edu.eg</t>
  </si>
  <si>
    <t>201068810105</t>
  </si>
  <si>
    <t>28909201100708</t>
  </si>
  <si>
    <t>ESLAM HUSSIEN HOSNY MOHAMED</t>
  </si>
  <si>
    <t>اسلام حسين حسنى محمد</t>
  </si>
  <si>
    <t>e3853385@gmail.com</t>
  </si>
  <si>
    <t>UK MARKING</t>
  </si>
  <si>
    <t>https://drive.google.com/open?id=1P7Tj-IpiNFAwG4SabeF8_cPDCml-W0Br</t>
  </si>
  <si>
    <t>https://drive.google.com/open?id=14uUyW7aaNRbXY3ATvQJBF1h_HXQUKMn_</t>
  </si>
  <si>
    <t xml:space="preserve">Nariman Ibrahim Ibrahim Ahmed </t>
  </si>
  <si>
    <t xml:space="preserve">ناريمان ابراهيم ابراهيم احمد </t>
  </si>
  <si>
    <t xml:space="preserve">narimanashry56@gmail.com </t>
  </si>
  <si>
    <t>201147335735</t>
  </si>
  <si>
    <t xml:space="preserve">El eman private school/British Council of egypt </t>
  </si>
  <si>
    <t>Worked as a teacher/ now invigilator at council</t>
  </si>
  <si>
    <t>https://drive.google.com/open?id=1PAExLuMUIdQt75ptlP1AGyKPpm4x7l0D</t>
  </si>
  <si>
    <t>https://drive.google.com/open?id=1HA1FAvgOSpqWdk6wuqL08qV6sfLkTWQj</t>
  </si>
  <si>
    <t>Nariman Ibrahim Ibrahim Ahmed Ashry</t>
  </si>
  <si>
    <t>الرحاب</t>
  </si>
  <si>
    <t>1485000672081300013</t>
  </si>
  <si>
    <t>EG110003014850006720813000130</t>
  </si>
  <si>
    <t>Sherif Essam Ibrahim Mohamed</t>
  </si>
  <si>
    <t>Sherif.Hassanin@fue.edu.eg</t>
  </si>
  <si>
    <t>201022324341</t>
  </si>
  <si>
    <t>Marwa Mahmoud Mohamed Ibrahim</t>
  </si>
  <si>
    <t xml:space="preserve">مروه محمود محمد ابراهيم السمان </t>
  </si>
  <si>
    <t>dr01001270335@gmail.com</t>
  </si>
  <si>
    <t>201001270335</t>
  </si>
  <si>
    <t>Integrated Thebes American college in cairo</t>
  </si>
  <si>
    <t>School doctor and biology teacher</t>
  </si>
  <si>
    <t>https://drive.google.com/open?id=1FAoiMU-iv6_Y3An3ocIdk3DA6z5KD8Hk</t>
  </si>
  <si>
    <t>https://drive.google.com/open?id=1Kn-CHv7FEgPJrvweuo8Bjxl4Va3d_ttX</t>
  </si>
  <si>
    <t>مروه محمود محمد ابراهيم السمان</t>
  </si>
  <si>
    <t>1032622060010201</t>
  </si>
  <si>
    <t>EG890057000401032622060010201</t>
  </si>
  <si>
    <t>Abdelaal Saeed Abdelaal Saleh</t>
  </si>
  <si>
    <t>عبد العال سعيد عبد العال صالح</t>
  </si>
  <si>
    <t>Abdelaal.Said@fue.edu.eg</t>
  </si>
  <si>
    <t>201095507735</t>
  </si>
  <si>
    <t>60644784</t>
  </si>
  <si>
    <t>Khaled Mahmoud Abdelmoaty Ibrahim</t>
  </si>
  <si>
    <t>Khaled.Abdelmoaty@fue.edu.eg</t>
  </si>
  <si>
    <t>201147571471</t>
  </si>
  <si>
    <t>75556151</t>
  </si>
  <si>
    <t>Naglaa farouk Ali Ali tantawy</t>
  </si>
  <si>
    <t>نجلاء فاروق على على طنطاوي</t>
  </si>
  <si>
    <t>Naglaafarouk04@gmail.com</t>
  </si>
  <si>
    <t>201007882194</t>
  </si>
  <si>
    <t>National center for examination and educational evaluation</t>
  </si>
  <si>
    <t>https://drive.google.com/open?id=1VQDa6LI6rlW_OEI4gI4_dIx-THJLqatb</t>
  </si>
  <si>
    <t>https://drive.google.com/open?id=1Uxt0xVpUas-oXlohsWJHSjd27OK_lrs9</t>
  </si>
  <si>
    <t>فرع المقطم</t>
  </si>
  <si>
    <t>1065010525652500014</t>
  </si>
  <si>
    <t>EG440003010650105256525000140</t>
  </si>
  <si>
    <t>Maged Louise Kamel</t>
  </si>
  <si>
    <t>ماجد لويز كامل زكي</t>
  </si>
  <si>
    <t>maged.louis@york-press.com</t>
  </si>
  <si>
    <t>201229549021</t>
  </si>
  <si>
    <t>Basma Ahmed Samy Sharaf El Din Khattab</t>
  </si>
  <si>
    <t>basmakhattab66@gmail.com</t>
  </si>
  <si>
    <t>201224654343</t>
  </si>
  <si>
    <t>Assistant Supervisor in Control Room</t>
  </si>
  <si>
    <t>https://drive.google.com/open?id=1T_NSWSiIeyR-pZTUCxlqT1sJGeB2xAll</t>
  </si>
  <si>
    <t>https://drive.google.com/open?id=1VOMI2I6J1NyO8qIlUK3oWeMTvxI4ISrl</t>
  </si>
  <si>
    <t>Al Baraka bank</t>
  </si>
  <si>
    <t>EG180022010550000105407574101</t>
  </si>
  <si>
    <t>ABRKEGCAXXX</t>
  </si>
  <si>
    <t>0105</t>
  </si>
  <si>
    <t>Vera Mansour Masood Abd El masih</t>
  </si>
  <si>
    <t>فيرا منصور مسعود عبدالمسيح</t>
  </si>
  <si>
    <t xml:space="preserve">Verashams97@gmail.com </t>
  </si>
  <si>
    <t>201276841115</t>
  </si>
  <si>
    <t>-</t>
  </si>
  <si>
    <t>https://drive.google.com/open?id=1QuyOMlZyY8alGplEw4GkYCsKGkZZlS9J</t>
  </si>
  <si>
    <t>https://drive.google.com/open?id=1HV6eBfHvTvOAGOVIj5JqUEb4xM9m160i</t>
  </si>
  <si>
    <t>فيرا منصور مسعود عبد المسيح</t>
  </si>
  <si>
    <t xml:space="preserve">مسره </t>
  </si>
  <si>
    <t>7570333000015710</t>
  </si>
  <si>
    <t>EG730002075707570333000015710</t>
  </si>
  <si>
    <t>0757</t>
  </si>
  <si>
    <t>Fahd Ali Abdelwahab Afifi</t>
  </si>
  <si>
    <t xml:space="preserve">فهد على عبد الوهاب عفيفي </t>
  </si>
  <si>
    <t>FahdـAliـAbdelwahabـAfifi@outlook.com</t>
  </si>
  <si>
    <t>201225407775</t>
  </si>
  <si>
    <t>Egyptian Japanese Schools</t>
  </si>
  <si>
    <t>Physical Education teacher</t>
  </si>
  <si>
    <t>https://drive.google.com/open?id=1PZ9X18GXdCJk7dNVyZefFWgSbC0Qfc82</t>
  </si>
  <si>
    <t>https://drive.google.com/open?id=1yc-fncLZOxIzSBbwToAsqg8rWp0JGfGK</t>
  </si>
  <si>
    <t xml:space="preserve">FAHD ALI ABDELWAHAB </t>
  </si>
  <si>
    <t xml:space="preserve">قصر النيل </t>
  </si>
  <si>
    <t>1070111000005038</t>
  </si>
  <si>
    <t>EG460002010701070111000005038</t>
  </si>
  <si>
    <t>hatem abu al fotouh  bayomi abd el gawad</t>
  </si>
  <si>
    <t>حاتم ابو الفتوح بيومى عبد الجواد</t>
  </si>
  <si>
    <t>hatemfotouh63@gmail.com</t>
  </si>
  <si>
    <t>201222631188</t>
  </si>
  <si>
    <t>National Center for Examinations &amp;Educational Evaluation (NCEEE)</t>
  </si>
  <si>
    <t xml:space="preserve">مدير مكتب مدير المركز القومى للامتحانات  والتقويم التربوى </t>
  </si>
  <si>
    <t>27101240102253</t>
  </si>
  <si>
    <t>https://drive.google.com/open?id=1eZts7gU9lmDqpz6toPy1C5R2Fk7jDhRq</t>
  </si>
  <si>
    <t>https://drive.google.com/open?id=1N4i031a49l7omObHX5mF4uqMXI8en5rD</t>
  </si>
  <si>
    <t>1110320000205481</t>
  </si>
  <si>
    <t>EG090002011101110320000205481</t>
  </si>
  <si>
    <t>0111</t>
  </si>
  <si>
    <t>Shehab Abdel Gawad Elsayed Mohmad</t>
  </si>
  <si>
    <t>شهاب عبد الجواد السيد محمد</t>
  </si>
  <si>
    <t>shehapahmed660@gmail.com</t>
  </si>
  <si>
    <t>201008330295</t>
  </si>
  <si>
    <t>Shaimaa Saber Mohamed Hafiz</t>
  </si>
  <si>
    <t>شيماء صابر محمد حافظ</t>
  </si>
  <si>
    <t>Misho.mero.86@gmail.com</t>
  </si>
  <si>
    <t>201119781148</t>
  </si>
  <si>
    <t>28606190105106</t>
  </si>
  <si>
    <t>Ahmed Mahmoud Mohamed Ibrahim Hassabou</t>
  </si>
  <si>
    <t>احمد محمود محمد ابراهيم حسبو</t>
  </si>
  <si>
    <t>a.hasabo5@yahoo.com</t>
  </si>
  <si>
    <t>The International School of Egypt</t>
  </si>
  <si>
    <t>Behavior Support Director</t>
  </si>
  <si>
    <t>315-885-858</t>
  </si>
  <si>
    <t>https://drive.google.com/open?id=1kU6xhVZrKj63gfQlIktbKmqiVQBU5_13</t>
  </si>
  <si>
    <t>https://drive.google.com/open?id=1x9ByWQ9bx36XTxw9PR8RPKD00tdwDmID</t>
  </si>
  <si>
    <t>Helwan</t>
  </si>
  <si>
    <t>EG440010019200000100030891222</t>
  </si>
  <si>
    <t>John Mansour Gerges Mansour</t>
  </si>
  <si>
    <t>جون منصور جرجس منصور</t>
  </si>
  <si>
    <t>mr.john.gerges@gmail.com</t>
  </si>
  <si>
    <t>201223583718</t>
  </si>
  <si>
    <t xml:space="preserve">Thebes  </t>
  </si>
  <si>
    <t xml:space="preserve">HOD Music </t>
  </si>
  <si>
    <t>https://drive.google.com/open?id=18bXQ-OEEgtIut03uUq7JfSLALhrB4q4H</t>
  </si>
  <si>
    <t>https://drive.google.com/open?id=1bJ-U99Hx8BuWcwCjx6SE3loq-3tnyuJ0</t>
  </si>
  <si>
    <t xml:space="preserve">JOHN MANSOUR GERGES MANSOUR </t>
  </si>
  <si>
    <t>1016832660010201</t>
  </si>
  <si>
    <t>EG110057004001016832660010201</t>
  </si>
  <si>
    <t>0040</t>
  </si>
  <si>
    <t>Mahmoud samy hassan meeky</t>
  </si>
  <si>
    <t>محمود سامي حسن مكي</t>
  </si>
  <si>
    <t>Mahmodsamymeeky@gmail.com</t>
  </si>
  <si>
    <t>https://drive.google.com/open?id=1Geqg7fdUz8JStiaBIRWkUqq0Jg2WNg5v</t>
  </si>
  <si>
    <t>https://drive.google.com/open?id=1Iq5TvQ88Pik6AERsBiHa9UQXeI_K53UH</t>
  </si>
  <si>
    <t>Arab Academy Sheraton Faculty of International Transport &amp; Logistics</t>
  </si>
  <si>
    <t>https://maps.app.goo.gl/X8x8vWTE7HDTvGpD6?g_st=iw</t>
  </si>
  <si>
    <t xml:space="preserve">Marian mourice nissem tadrouce </t>
  </si>
  <si>
    <t xml:space="preserve">ماريان موريس نسيم تادرس </t>
  </si>
  <si>
    <t>Minime15519@gmail.com</t>
  </si>
  <si>
    <t>201204326321</t>
  </si>
  <si>
    <t>Marionette factory</t>
  </si>
  <si>
    <t xml:space="preserve">Social media specialist </t>
  </si>
  <si>
    <t>https://drive.google.com/open?id=1Qim6ClWD1GpT_cyrdXF6UapuNr98LTBy</t>
  </si>
  <si>
    <t>https://drive.google.com/open?id=175qJb3BEnmlz1ZOUbjLjVT1RoR5y6EOy</t>
  </si>
  <si>
    <t xml:space="preserve">المحور المركزى ٦ اكتوبر </t>
  </si>
  <si>
    <t>1843050615762001012</t>
  </si>
  <si>
    <t>EG030003018430506157620010120</t>
  </si>
  <si>
    <t>0184</t>
  </si>
  <si>
    <t>Simone Sabry Sakhi Ghattas</t>
  </si>
  <si>
    <t xml:space="preserve">سيمون صبري سخي غطاس </t>
  </si>
  <si>
    <t>Simon.sabry1@gmail.com</t>
  </si>
  <si>
    <t>201008455149</t>
  </si>
  <si>
    <t xml:space="preserve">Integrated thebes international school </t>
  </si>
  <si>
    <t xml:space="preserve">Teacher assistant </t>
  </si>
  <si>
    <t>https://drive.google.com/open?id=1usnfS_BZSqSPJoXFrrh9Ce7BT2yEO2az</t>
  </si>
  <si>
    <t>https://drive.google.com/open?id=1eM36cW9r6jQR1BOpmxiJ1hcofS42kkji</t>
  </si>
  <si>
    <t>دوران شبرا</t>
  </si>
  <si>
    <t>0115001791649100015</t>
  </si>
  <si>
    <t>EG580003001150017916491000150</t>
  </si>
  <si>
    <t>Heba Reda Nour EL-Deen Hussien</t>
  </si>
  <si>
    <t>هبه رضا نورالدين حسين</t>
  </si>
  <si>
    <t>hebo6368@gmail.com</t>
  </si>
  <si>
    <t>Rajac High school</t>
  </si>
  <si>
    <t>https://drive.google.com/open?id=1HYmFhr02ND2WudQuy36wPLRbVojost1P</t>
  </si>
  <si>
    <t>https://drive.google.com/open?id=1paTyF54YbnOqGxpxI3-qoFF__BpCJLBh</t>
  </si>
  <si>
    <t>EG230003011550105300865000170</t>
  </si>
  <si>
    <t>Nevine Wadie Baky Risk</t>
  </si>
  <si>
    <t>نيڤين وديع باقي رزق</t>
  </si>
  <si>
    <t>nevine.wadie2020@gmail.com</t>
  </si>
  <si>
    <t>201223518352</t>
  </si>
  <si>
    <t>Teacher of English in St. Clare School and English supervisor in Armenian Catholic sister’s school</t>
  </si>
  <si>
    <t>English supervisor</t>
  </si>
  <si>
    <t>https://drive.google.com/open?id=1nDb-K9YsGZaU45U9eT0hBZ1iuHLqgXuC</t>
  </si>
  <si>
    <t>https://drive.google.com/open?id=1vI1wjFrS2Ukf4M-cOuJljebx4Z1RwYZS</t>
  </si>
  <si>
    <t>1445000544830201018</t>
  </si>
  <si>
    <t>EG490003014450005448302010180</t>
  </si>
  <si>
    <t>Dina Mosaad Soliaman Mohammad</t>
  </si>
  <si>
    <t>دينا مساعد سليمان محمد</t>
  </si>
  <si>
    <t>dinamosaad211@gmail.com</t>
  </si>
  <si>
    <t>201050877170</t>
  </si>
  <si>
    <t>28901011423003</t>
  </si>
  <si>
    <t xml:space="preserve">Yousr Abdelwahab Abdelmonem Abdelwahab </t>
  </si>
  <si>
    <t xml:space="preserve">يسر عبد الوهاب عبدالمنعم عبدالوهاب </t>
  </si>
  <si>
    <t>yusr.abdelwahab@gmail.com</t>
  </si>
  <si>
    <t>201009765870</t>
  </si>
  <si>
    <t xml:space="preserve">Pioneer integrated school </t>
  </si>
  <si>
    <t xml:space="preserve">Math Teacher.. Middle school coordinator </t>
  </si>
  <si>
    <t>https://drive.google.com/open?id=1SFHYNvHlEllZhGXiW9YkNam1D6p2ufDf</t>
  </si>
  <si>
    <t>https://drive.google.com/open?id=1i2P9SWBFmOaSgUzVNCg_kfIUhCgLBY9L</t>
  </si>
  <si>
    <t xml:space="preserve">Yousr Abdelwahab Abdelmonem </t>
  </si>
  <si>
    <t>1155001184680401016</t>
  </si>
  <si>
    <t>EG880003011550011846804010160</t>
  </si>
  <si>
    <t>Hamed Hany Hamed Mohammad</t>
  </si>
  <si>
    <t>حمد هاني حامد محمد</t>
  </si>
  <si>
    <t>Hamed.Aboatia@fue.edu.eg</t>
  </si>
  <si>
    <t>201006298918</t>
  </si>
  <si>
    <t>79413666</t>
  </si>
  <si>
    <t>Asmaa abdelnaby Mohamed</t>
  </si>
  <si>
    <t>asmaaelsamary@gmail.com</t>
  </si>
  <si>
    <t>201010987090</t>
  </si>
  <si>
    <t>https://drive.google.com/open?id=1orKGP5wCdyh_NYZq0rpHha40uO_uK3R6</t>
  </si>
  <si>
    <t>https://drive.google.com/open?id=1qdQKX5yP5C1h5xozljOBj0KRlOnjX2ZU</t>
  </si>
  <si>
    <t xml:space="preserve">El Shourouk City </t>
  </si>
  <si>
    <t>100037464974</t>
  </si>
  <si>
    <t>EG890010011800000100037464974</t>
  </si>
  <si>
    <t>Sarah Eshak Hanna Boulos</t>
  </si>
  <si>
    <t>ساره اسحق حنا بولس</t>
  </si>
  <si>
    <t>saraheshak880@gmail.com</t>
  </si>
  <si>
    <t>201276796656</t>
  </si>
  <si>
    <t>Ramses international school</t>
  </si>
  <si>
    <t>social study teacher</t>
  </si>
  <si>
    <t>https://drive.google.com/open?id=1VApGEDRcIkUG_75rS88Cyx_TdMzAbsT2</t>
  </si>
  <si>
    <t>https://drive.google.com/open?id=1t7_UsLVnlaglcDg4-zcfhWZlDzC2NZkm</t>
  </si>
  <si>
    <t>Sarah Eshak Hanna</t>
  </si>
  <si>
    <t>1155001778813400011</t>
  </si>
  <si>
    <t>EG090003011550017788134000110</t>
  </si>
  <si>
    <t>Walid Ahmed Abdel Azim</t>
  </si>
  <si>
    <t>walid.abdelazim@york-press.com</t>
  </si>
  <si>
    <t>201068801471</t>
  </si>
  <si>
    <t>Dalia Saied Ahmed Ewies</t>
  </si>
  <si>
    <t>daliasaeed1138@gmail.com</t>
  </si>
  <si>
    <t>201141008825</t>
  </si>
  <si>
    <t>27910180102505</t>
  </si>
  <si>
    <t xml:space="preserve">ALSHIMAA ABD ELRHMAN MOHAMED MAHMOUD </t>
  </si>
  <si>
    <t>الشيماء عبدالرحمن محمد محمود المدرك</t>
  </si>
  <si>
    <t>forqana.shima1410@gmail.com</t>
  </si>
  <si>
    <t>201123325581</t>
  </si>
  <si>
    <t>INTEGRATED THEBES INTERNATIONAL SCHOOL</t>
  </si>
  <si>
    <t xml:space="preserve">TEACHER </t>
  </si>
  <si>
    <t>https://drive.google.com/open?id=1qyvGFbHAdSXD8RqLn3HOqMoCLUlpW6N4</t>
  </si>
  <si>
    <t>https://drive.google.com/open?id=1wq6qeRnqjKq-eTLTi17N7WkRHB1m8hzR</t>
  </si>
  <si>
    <t>1130925955057</t>
  </si>
  <si>
    <t>EG190037020408181130925955057</t>
  </si>
  <si>
    <t>Mohamed Fathy Abdelhady Mohamed</t>
  </si>
  <si>
    <t>محمد فتحي عبد الهادي محمد</t>
  </si>
  <si>
    <t>muhamed.abdelhady@fue.edu.eg</t>
  </si>
  <si>
    <t>201016833212</t>
  </si>
  <si>
    <t>28401232100117</t>
  </si>
  <si>
    <t>Doaa Khalid Elhussini Younis</t>
  </si>
  <si>
    <t>دعاء خالد الحسيني يونس</t>
  </si>
  <si>
    <t>Doaa.younis@fue.edu.eg</t>
  </si>
  <si>
    <t>201004849862</t>
  </si>
  <si>
    <t xml:space="preserve">28902202104303 </t>
  </si>
  <si>
    <t>Mohamed Nabil Mohamed gamal</t>
  </si>
  <si>
    <t xml:space="preserve">محمد نبيل محمد جمال </t>
  </si>
  <si>
    <t>mido.nobel2002@gmail.com</t>
  </si>
  <si>
    <t xml:space="preserve">Team leader </t>
  </si>
  <si>
    <t>https://drive.google.com/open?id=1bEES6GMJJb5kUyKEnPDzl5SKwaKWj56I</t>
  </si>
  <si>
    <t>https://drive.google.com/open?id=1JHhRTfCsMmV7ESVoQG7m1bDid35zn2PN</t>
  </si>
  <si>
    <t>Mahmoud saied rezk mahros</t>
  </si>
  <si>
    <t>محمود سعيد رزق محروس</t>
  </si>
  <si>
    <t>Mahmoudsaied5556@gmail.com</t>
  </si>
  <si>
    <t>https://drive.google.com/open?id=1A2MWMgVvaJDBm1hYGK9nKCkHGfqsMQLO</t>
  </si>
  <si>
    <t>https://drive.google.com/open?id=13J8Tuefp7GxEPYsRV4srRkEMAorEjKTL</t>
  </si>
  <si>
    <t>MAHMOUD SAIEED REZK MAHROS</t>
  </si>
  <si>
    <t>Reham Ali El- Sayed Mohamed</t>
  </si>
  <si>
    <t xml:space="preserve">ريهام على السيد محمد </t>
  </si>
  <si>
    <t>rehamshikhaiby@gmail.com</t>
  </si>
  <si>
    <t>201093822670</t>
  </si>
  <si>
    <t>NECCC</t>
  </si>
  <si>
    <t>PhD</t>
  </si>
  <si>
    <t>https://drive.google.com/open?id=1LHRgJArkBfi-Z6AUS7ujuFoIElp9vE4v</t>
  </si>
  <si>
    <t>https://drive.google.com/open?id=1Vc2cZVoNY56E0Jdhgo1txo9sajyi1nSj</t>
  </si>
  <si>
    <t>ريهام على السيد محمد الشخيبي</t>
  </si>
  <si>
    <t>كوم حمادة</t>
  </si>
  <si>
    <t>3925000500487300018</t>
  </si>
  <si>
    <t>EG470003039250005004873000180</t>
  </si>
  <si>
    <t>392</t>
  </si>
  <si>
    <t>New October</t>
  </si>
  <si>
    <t>Khaled Mohamad Fathy Mahmoud</t>
  </si>
  <si>
    <t>خالد محمد فتحي محمود</t>
  </si>
  <si>
    <t>kmohamed@fue.edu.eg</t>
  </si>
  <si>
    <t>201224622075</t>
  </si>
  <si>
    <t>47336207</t>
  </si>
  <si>
    <t>Marwa Sobhy Ahmed Bakr</t>
  </si>
  <si>
    <t>marwasobhyahmedbakr@gmail.com</t>
  </si>
  <si>
    <t>201061995596</t>
  </si>
  <si>
    <t xml:space="preserve">Nile Sons International School </t>
  </si>
  <si>
    <t xml:space="preserve">Head of Mathematics Department </t>
  </si>
  <si>
    <t>https://drive.google.com/open?id=1or2fQw-6UYQDAXR-Lpe7dIm88_GzVJiG</t>
  </si>
  <si>
    <t>https://drive.google.com/open?id=1Z1j-1MlEI8CQNGEY_jc-7tHqUGGglCkI</t>
  </si>
  <si>
    <t xml:space="preserve">مروه صبحي أحمد بكر </t>
  </si>
  <si>
    <t xml:space="preserve">سوق الجملة مدينة العبور </t>
  </si>
  <si>
    <t>1365010521143300011</t>
  </si>
  <si>
    <t>EG760003013650105211433000110</t>
  </si>
  <si>
    <t>0136</t>
  </si>
  <si>
    <t>New July</t>
  </si>
  <si>
    <t>Ahmed Mohamed Mohamed Atwa Ahmed Ibrahim</t>
  </si>
  <si>
    <t>Ahmed.atwa@fue.edu.eg</t>
  </si>
  <si>
    <t>201123456504</t>
  </si>
  <si>
    <t>28311251201251</t>
  </si>
  <si>
    <t>Mayssa Emam Sayed Ahmed</t>
  </si>
  <si>
    <t>maisaemam9661@outlook.com</t>
  </si>
  <si>
    <t>201011764490</t>
  </si>
  <si>
    <t>Ameer Bernab Riad Tobia</t>
  </si>
  <si>
    <t>a_bernab@yahoo.com</t>
  </si>
  <si>
    <t>International Public School (IPS)</t>
  </si>
  <si>
    <t>https://drive.google.com/open?id=1jBrEc1-B1JoW6t0Q2udDKo5Y2u-msrtI</t>
  </si>
  <si>
    <t>https://drive.google.com/open?id=1kU0M-n81sN2ApOoS6ZFlDrZFEmrq8YRN</t>
  </si>
  <si>
    <t>هليوبوليس</t>
  </si>
  <si>
    <t>1155000883607401015</t>
  </si>
  <si>
    <t>Amira Ahmed Mohamed gamal eldeen</t>
  </si>
  <si>
    <t>a.a.gamal1996@gmail.com</t>
  </si>
  <si>
    <t>201093497154</t>
  </si>
  <si>
    <t>Hotel international school</t>
  </si>
  <si>
    <t>76583326</t>
  </si>
  <si>
    <t>484568809</t>
  </si>
  <si>
    <t>29601201403483</t>
  </si>
  <si>
    <t>https://drive.google.com/open?id=1NPASv9EYk7gTQkSdDW-GH0lCwcRba5Uh</t>
  </si>
  <si>
    <t>https://drive.google.com/open?id=1UMIJFatLB1O5ld6_EQdidCxgtoD79bam</t>
  </si>
  <si>
    <t>AMIRA AHMED MOHAMED</t>
  </si>
  <si>
    <t>شبين القناطر</t>
  </si>
  <si>
    <t>2360333000181801</t>
  </si>
  <si>
    <t>EG320002023602360333000181801</t>
  </si>
  <si>
    <t>0236</t>
  </si>
  <si>
    <t>Mohammad salah Amin Mohammad</t>
  </si>
  <si>
    <t>mohammed.salah@fue.edu.eg</t>
  </si>
  <si>
    <t>201142421998</t>
  </si>
  <si>
    <t>54842903</t>
  </si>
  <si>
    <t>27609291400775</t>
  </si>
  <si>
    <t>Youssef Maher El Zamzamy</t>
  </si>
  <si>
    <t>يوسف ماهر يوسف الزمزمى</t>
  </si>
  <si>
    <t>yousefzamzamy1191@gmail.com</t>
  </si>
  <si>
    <t>201032593403</t>
  </si>
  <si>
    <t>70</t>
  </si>
  <si>
    <t xml:space="preserve">Ahmed Mohamed Maghraby </t>
  </si>
  <si>
    <t xml:space="preserve">maghrabyahmed000@gmail.com </t>
  </si>
  <si>
    <t>201222955978</t>
  </si>
  <si>
    <t xml:space="preserve">Princeton school </t>
  </si>
  <si>
    <t xml:space="preserve">Pe teacher </t>
  </si>
  <si>
    <t>Wwew</t>
  </si>
  <si>
    <t>https://drive.google.com/open?id=1A5vTpHzNOM_FphlWMhEsMt6RZl7uGirc</t>
  </si>
  <si>
    <t>https://drive.google.com/open?id=1Y9HZdhXw24ofWPYrqUYQ42aKZFbECvDo</t>
  </si>
  <si>
    <t xml:space="preserve">العبور </t>
  </si>
  <si>
    <t>1032269860010201</t>
  </si>
  <si>
    <t>EG300057000401032269860010201</t>
  </si>
  <si>
    <t>Mariam Moatassem Ali Mohamed</t>
  </si>
  <si>
    <t>مريم معتصم علي محمد</t>
  </si>
  <si>
    <t>mariam.moatassem@outlook.com</t>
  </si>
  <si>
    <t>201141103244</t>
  </si>
  <si>
    <t>New Generation International School</t>
  </si>
  <si>
    <t>071827288</t>
  </si>
  <si>
    <t>https://drive.google.com/open?id=14T40W0XHe_u8-Rd8McPO1HX87VTGICM-</t>
  </si>
  <si>
    <t>https://drive.google.com/open?id=1OLgGv9_ZcvSVVYQ8PdkPv15q7QqSU19v</t>
  </si>
  <si>
    <t>Mariam Moatassem Ali Mohamed Genina</t>
  </si>
  <si>
    <t>100065176836</t>
  </si>
  <si>
    <t>EG200010008100000100065176836</t>
  </si>
  <si>
    <t>0081</t>
  </si>
  <si>
    <t>Mohamed Ali Alsahat Atea EL_DEEB</t>
  </si>
  <si>
    <t>محمد على الشحات عطية الديب</t>
  </si>
  <si>
    <t>mwaaz_eldeab@yahoo.com</t>
  </si>
  <si>
    <t>201119991551</t>
  </si>
  <si>
    <t>Al Tal Al Kibir secondary school for girls</t>
  </si>
  <si>
    <t>Experienced teacher</t>
  </si>
  <si>
    <t>https://drive.google.com/open?id=1LUH9RWdYYHWNRf9WKsn4g-n6ejr-GW_u</t>
  </si>
  <si>
    <t>https://drive.google.com/open?id=1nkgszewtDbOFTl9q0EjYomUfRO9sSqx9</t>
  </si>
  <si>
    <t>MOHAMED ALY EL SHAHT</t>
  </si>
  <si>
    <t>03204090208524</t>
  </si>
  <si>
    <t>EG590004303000003204090208524</t>
  </si>
  <si>
    <t>abdelwahap mahmuod ahmed</t>
  </si>
  <si>
    <t>عبد الوهاب محمود احمد علي</t>
  </si>
  <si>
    <t>hobaballbof@gmail.com‏</t>
  </si>
  <si>
    <t>UK marking</t>
  </si>
  <si>
    <t xml:space="preserve">لايوجد </t>
  </si>
  <si>
    <t>لايوجد</t>
  </si>
  <si>
    <t>۲۹۷۰۹۳۰ ١٤٠٢٢٧٧</t>
  </si>
  <si>
    <t>https://drive.google.com/open?id=1NTOhnL6bgl5ugXpul_n4l5qZbBQ7KZf2</t>
  </si>
  <si>
    <t>https://drive.google.com/open?id=1xX6DEB2adKUljE-q-L2k_a9XJVp-K4GF</t>
  </si>
  <si>
    <t>Tarek sead ahmed abdelrhman</t>
  </si>
  <si>
    <t xml:space="preserve">طارق سيد احمد عبد الرحمن </t>
  </si>
  <si>
    <t>tareksead2@gmail.com</t>
  </si>
  <si>
    <t>201142049625</t>
  </si>
  <si>
    <t>Administrators</t>
  </si>
  <si>
    <t>https://drive.google.com/open?id=1zshdVysJYfpRZXHlxH_EaYjAMPPqmyDn</t>
  </si>
  <si>
    <t>https://drive.google.com/open?id=1Y_Q3Vfqgey37THNNrUHG6ERS9MWFCriS</t>
  </si>
  <si>
    <t xml:space="preserve">طارق سيد احمد عبدالرحمن </t>
  </si>
  <si>
    <t>الشروق</t>
  </si>
  <si>
    <t>0380000007408</t>
  </si>
  <si>
    <t>EG510038003800000380000007408</t>
  </si>
  <si>
    <t>0038</t>
  </si>
  <si>
    <t xml:space="preserve">Ahmed Mohamed Aly abdelmoty </t>
  </si>
  <si>
    <t xml:space="preserve">احمد محمد علي عبد المعطى </t>
  </si>
  <si>
    <t>ahmedmohamedabdelmoty2195@gmail.com</t>
  </si>
  <si>
    <t>201142282244</t>
  </si>
  <si>
    <t xml:space="preserve">National center for Examinations and Educationa evaluation l </t>
  </si>
  <si>
    <t xml:space="preserve">منسق بحوث امتحانات </t>
  </si>
  <si>
    <t>https://drive.google.com/open?id=1AqTwsUsuCFTtYK5S-4TcmYQ05KHqTo0Z</t>
  </si>
  <si>
    <t>https://drive.google.com/open?id=1Kc80KJZMeqr8_wFpG-FmugeElD7uY93N</t>
  </si>
  <si>
    <t xml:space="preserve">احمد محمد علي عبد المعطي </t>
  </si>
  <si>
    <t>الجيزة</t>
  </si>
  <si>
    <t>113041019003</t>
  </si>
  <si>
    <t>EG350005101300000113041019003</t>
  </si>
  <si>
    <t>1013</t>
  </si>
  <si>
    <t>Ahmad Mohammad Asaad Taha</t>
  </si>
  <si>
    <t>ahmed.asaaed@fue.edu.eg</t>
  </si>
  <si>
    <t>201007546921</t>
  </si>
  <si>
    <t>52307736</t>
  </si>
  <si>
    <t>MARTINA WILLIAM MAAR NASEEM</t>
  </si>
  <si>
    <t>مارتينا وليم مقار نسيم</t>
  </si>
  <si>
    <t>marmoramoheb12@gmail.com</t>
  </si>
  <si>
    <t>201275718743</t>
  </si>
  <si>
    <t>Own Heliopolis American school</t>
  </si>
  <si>
    <t>Physical Education Teacher</t>
  </si>
  <si>
    <t>https://drive.google.com/open?id=1t5WhpjOHxeo8U6afefAe0f65YxHitn4y</t>
  </si>
  <si>
    <t>https://drive.google.com/open?id=1KBsYdQeFuCX88U3xosqg7X-6cwm3Ap9t</t>
  </si>
  <si>
    <t>النزهة</t>
  </si>
  <si>
    <t>EG340002011601160333000060764</t>
  </si>
  <si>
    <t>0116</t>
  </si>
  <si>
    <t>Esraa Maher Abdel Baqi Hasham</t>
  </si>
  <si>
    <t>esoomaher1995@gmail.com</t>
  </si>
  <si>
    <t>201143340094</t>
  </si>
  <si>
    <t xml:space="preserve">Moataza Khaled Abdelmoaty </t>
  </si>
  <si>
    <t xml:space="preserve">معتزة خالد عبد المعطى </t>
  </si>
  <si>
    <t>motaza.khaled@gmail.com</t>
  </si>
  <si>
    <t>201003224638</t>
  </si>
  <si>
    <t xml:space="preserve">Modern school </t>
  </si>
  <si>
    <t xml:space="preserve">German teacher </t>
  </si>
  <si>
    <t>28506081401701</t>
  </si>
  <si>
    <t>https://drive.google.com/open?id=1_kqleogrKyRNg8g15oJXy7XhjuL2xKZd</t>
  </si>
  <si>
    <t>https://drive.google.com/open?id=1UpKZBpKtfNaLzRO9XbKoNH4zIXZynydz</t>
  </si>
  <si>
    <t xml:space="preserve">MOATAZA KHALED ABDELMOATY </t>
  </si>
  <si>
    <t>1050333000034018</t>
  </si>
  <si>
    <t>EG380002010501050333000034018</t>
  </si>
  <si>
    <t>Marian Safwat Moriece Wahba</t>
  </si>
  <si>
    <t xml:space="preserve">ماريان صفوت موريس وهبه </t>
  </si>
  <si>
    <t>mariansafwat84@gmail.com</t>
  </si>
  <si>
    <t>201001913042</t>
  </si>
  <si>
    <t>28407250200068</t>
  </si>
  <si>
    <t>Rania kamel fekry</t>
  </si>
  <si>
    <t>رانيا كامل فكرى</t>
  </si>
  <si>
    <t>Kamelrania75@gmail.com</t>
  </si>
  <si>
    <t>201286240296</t>
  </si>
  <si>
    <t>https://drive.google.com/open?id=1LLvbZQ828fnGrUjbHKk-xF8nK95q2d3F</t>
  </si>
  <si>
    <t>https://drive.google.com/open?id=1MXm_YKprC_kj5MbK70wAbo1JfrCRR75Y</t>
  </si>
  <si>
    <t>RANIA KAMEL FEKRY MOURGAN</t>
  </si>
  <si>
    <t>1365000743266600014</t>
  </si>
  <si>
    <t>EG700003013650007432666000140</t>
  </si>
  <si>
    <t>0071</t>
  </si>
  <si>
    <t>Dina Refai Sayed Ali</t>
  </si>
  <si>
    <t xml:space="preserve">دينا رفاعي سيد علي </t>
  </si>
  <si>
    <t xml:space="preserve">Dinarefai439@gmail.com </t>
  </si>
  <si>
    <t>201140001516</t>
  </si>
  <si>
    <t>IPS ELshrouk</t>
  </si>
  <si>
    <t>Teacher of science</t>
  </si>
  <si>
    <t>059922452</t>
  </si>
  <si>
    <t>https://drive.google.com/open?id=13miKyuuU4_qDI7ApV0Lqe4lT8lRGDwO9</t>
  </si>
  <si>
    <t>https://drive.google.com/open?id=1xYsfZgynwzsGEHgKpU7gm2m1eks9aCh8</t>
  </si>
  <si>
    <t>Dina Refaai Sayed Aly Hussein</t>
  </si>
  <si>
    <t xml:space="preserve">سيتي ستارز </t>
  </si>
  <si>
    <t>1275001801921200018</t>
  </si>
  <si>
    <t>EG300003012750018019212000180</t>
  </si>
  <si>
    <t>Logistics 101 A</t>
  </si>
  <si>
    <t>Safwat Ahmed</t>
  </si>
  <si>
    <t>صفوت احمد محمود عبدالرسول</t>
  </si>
  <si>
    <t>Safwat.ahmed@longmanegypt.com</t>
  </si>
  <si>
    <t>201002380523</t>
  </si>
  <si>
    <t>Rana Shebl Mohamed</t>
  </si>
  <si>
    <t xml:space="preserve">رنا شبل محمد </t>
  </si>
  <si>
    <t>ranashebl95@gmail.com</t>
  </si>
  <si>
    <t>201022963720</t>
  </si>
  <si>
    <t>136</t>
  </si>
  <si>
    <t xml:space="preserve">Abdelrahman Ezzat Mohamed Mohamed </t>
  </si>
  <si>
    <t xml:space="preserve">عبدالرحمن عزت محمد محمد </t>
  </si>
  <si>
    <t>abdelrahmanezzat363@gmail.com</t>
  </si>
  <si>
    <t>Uk-marking</t>
  </si>
  <si>
    <t xml:space="preserve">Uk-marking </t>
  </si>
  <si>
    <t>https://drive.google.com/open?id=1BJWi3XF48djqEHbBtq2hIapc46XNKPea</t>
  </si>
  <si>
    <t>https://drive.google.com/open?id=19tSio-dUNC6OReH3JvcJOsLw-0IBeY21</t>
  </si>
  <si>
    <t>Fatma Mohamed Elhasan</t>
  </si>
  <si>
    <t>فاطمة محمد الحسن عثمان</t>
  </si>
  <si>
    <t>fatma.mohamed@sayegh1944.com</t>
  </si>
  <si>
    <t>201146325892</t>
  </si>
  <si>
    <t>69</t>
  </si>
  <si>
    <t>Mohamed Hamed Taha Mohamed</t>
  </si>
  <si>
    <t>محمد حامد طه محمد</t>
  </si>
  <si>
    <t>Mohamed.hamed1082@gmail.com</t>
  </si>
  <si>
    <t>201018124485</t>
  </si>
  <si>
    <t>28210130103952</t>
  </si>
  <si>
    <t>Shaimaa Khaled Ahmed</t>
  </si>
  <si>
    <t xml:space="preserve">شيماء خالد احمد </t>
  </si>
  <si>
    <t>shaimaa.khaled120@gmail.com</t>
  </si>
  <si>
    <t>https://drive.google.com/open?id=1tzdGAa_wRiSbvZXueu-6Kk2jHJGuAZ0y</t>
  </si>
  <si>
    <t>https://drive.google.com/open?id=1O7SUhoDL4aSFGonkTOwM0MVmvtEQLf1j</t>
  </si>
  <si>
    <t>201A</t>
  </si>
  <si>
    <t>Mennat Allah Sayed Abdel Salam Said</t>
  </si>
  <si>
    <t>منة الله سيد عبد السلام سعيد</t>
  </si>
  <si>
    <t>mennaabdelsalam1198@gmail.com</t>
  </si>
  <si>
    <t>201097821940</t>
  </si>
  <si>
    <t xml:space="preserve">Own Heliopolis School American Division </t>
  </si>
  <si>
    <t>077603882</t>
  </si>
  <si>
    <t xml:space="preserve">Not Available </t>
  </si>
  <si>
    <t>https://drive.google.com/open?id=12ng6NFUX0dihp6m-7c5ZZ32MPuYiBbuA</t>
  </si>
  <si>
    <t>https://drive.google.com/open?id=1XeP8QprTtkbP_PLvMU5M-jkKR-fMB3Vg</t>
  </si>
  <si>
    <t>منة اللّٰه سيد عبد السلام سعيد</t>
  </si>
  <si>
    <t>0465001800190400012</t>
  </si>
  <si>
    <t>EG410003004650018001904000120</t>
  </si>
  <si>
    <t>Amgad Ahmed Atef Ali</t>
  </si>
  <si>
    <t>Amgad.atef670@gmail.com</t>
  </si>
  <si>
    <t>Khodair school</t>
  </si>
  <si>
    <t>teacher</t>
  </si>
  <si>
    <t>https://drive.google.com/open?id=16fhhpSODd7dvKk0Hr3qE3Sqe-TeJiKBg</t>
  </si>
  <si>
    <t>https://drive.google.com/open?id=1BtXXtmvah0tf40Dw_zb2wSvbmjHqmy5a</t>
  </si>
  <si>
    <t>Michael Tanious Mreed Boules</t>
  </si>
  <si>
    <t>ميخائيل تانيوس مريد بولس</t>
  </si>
  <si>
    <t>michaeltaniuos@gmail.com</t>
  </si>
  <si>
    <t>201023260070</t>
  </si>
  <si>
    <t>28506010112458</t>
  </si>
  <si>
    <t>202A</t>
  </si>
  <si>
    <t>Nourhan Ehab Mahmoud Elzalbany</t>
  </si>
  <si>
    <t xml:space="preserve">نورهان ايهاب محمود الزلبانى </t>
  </si>
  <si>
    <t>nouraehab68@gmail.com</t>
  </si>
  <si>
    <t>201097707136</t>
  </si>
  <si>
    <t xml:space="preserve">Elbayan Language school </t>
  </si>
  <si>
    <t>https://drive.google.com/open?id=1JJa4d8gzegGv_Xlj0DU2kTmWNLlTZQUc</t>
  </si>
  <si>
    <t>https://drive.google.com/open?id=1FlOFQ7_cjLbj4qy21lOpd0ecPVwvpU3B</t>
  </si>
  <si>
    <t xml:space="preserve">Nourhan Ehab Mahmoud </t>
  </si>
  <si>
    <t xml:space="preserve">Nasr city </t>
  </si>
  <si>
    <t>1590333000009945</t>
  </si>
  <si>
    <t>EG470002015901590333000009945</t>
  </si>
  <si>
    <t>0159</t>
  </si>
  <si>
    <t>Samar Mohamed Zain elabdeen darwish</t>
  </si>
  <si>
    <t>سمر محمد زين العابدين درويش</t>
  </si>
  <si>
    <t>Samarzaiin93@gmail.com</t>
  </si>
  <si>
    <t>201157562771</t>
  </si>
  <si>
    <t>https://drive.google.com/open?id=1re9ZAGNKbVvnwEvLNr9Msn15-nnSQPJC</t>
  </si>
  <si>
    <t>https://drive.google.com/open?id=1sNXEPZKYZL4eJI6KAlaV0TiM9ObTBOy8</t>
  </si>
  <si>
    <t>Samar Mohamed Zain elabdeen</t>
  </si>
  <si>
    <t>EG400010011800000100028805793</t>
  </si>
  <si>
    <t>203A</t>
  </si>
  <si>
    <t xml:space="preserve">Menna Allah Ayman Ebrahim Abdelghany </t>
  </si>
  <si>
    <t>menna.ayman@icb-eg.com</t>
  </si>
  <si>
    <t>201270016764</t>
  </si>
  <si>
    <t xml:space="preserve">ICB (International College Of Benha) </t>
  </si>
  <si>
    <t>Student Affairs (Administration)</t>
  </si>
  <si>
    <t>286-616-647</t>
  </si>
  <si>
    <t>https://drive.google.com/open?id=1ANl-O7uDL5UpEnJaBtcxoz6ts_y_hjZr</t>
  </si>
  <si>
    <t>https://drive.google.com/open?id=1j1GymqsZOug_j9dTBCXZsNlz-dgGPCdE</t>
  </si>
  <si>
    <t>MENNATALLAH AYMAN IBRAHIM</t>
  </si>
  <si>
    <t>1130352143919</t>
  </si>
  <si>
    <t>EG230037010708181130352143919</t>
  </si>
  <si>
    <t>Mohamed Ahmed Ahmed Hussein</t>
  </si>
  <si>
    <t>Mohammed.Hussien@fue.edu.eg</t>
  </si>
  <si>
    <t>201223897294</t>
  </si>
  <si>
    <t>204A</t>
  </si>
  <si>
    <t>Nadine essam eldin hassan hassan</t>
  </si>
  <si>
    <t xml:space="preserve">نادين عصام الدين حسن حسن </t>
  </si>
  <si>
    <t>Nadine98.essam@gmail.com</t>
  </si>
  <si>
    <t>201095571014</t>
  </si>
  <si>
    <t>Own heliopolis american school</t>
  </si>
  <si>
    <t>https://drive.google.com/open?id=19kbA-CEIDRWYJd4btY_sRuaLwzGNvXSi</t>
  </si>
  <si>
    <t>https://drive.google.com/open?id=1FxBOhnZ0P23F5cIISnjjPT6vHBNgDJ7_</t>
  </si>
  <si>
    <t xml:space="preserve">Al Orouba </t>
  </si>
  <si>
    <t>1730333000049664</t>
  </si>
  <si>
    <t>EG140002017301730333000049664</t>
  </si>
  <si>
    <t>0173</t>
  </si>
  <si>
    <t>Raafat Mostafa Hussein Emam</t>
  </si>
  <si>
    <t>raafatdorra@gmail.com</t>
  </si>
  <si>
    <t>201226944545</t>
  </si>
  <si>
    <t>27610161400798</t>
  </si>
  <si>
    <t>205A</t>
  </si>
  <si>
    <t>Yousef Zakria Hassan Hassan</t>
  </si>
  <si>
    <t>يوسف زكريا حسن حسن</t>
  </si>
  <si>
    <t>yousefzakria080@gmail.com</t>
  </si>
  <si>
    <t>Khodair language school</t>
  </si>
  <si>
    <t>https://drive.google.com/open?id=1tPMHZtlFrteLot29hrCljN9-YInX4oEW</t>
  </si>
  <si>
    <t>https://drive.google.com/open?id=1odX1dgbk41lX9UHrShQ5nxFb3nTEJRM5</t>
  </si>
  <si>
    <t>Marwa Saeed Seddeek Helmy</t>
  </si>
  <si>
    <t>مروة سعيد صديق حلمي</t>
  </si>
  <si>
    <t>marwahossam2010@gmail.com</t>
  </si>
  <si>
    <t>201224651450</t>
  </si>
  <si>
    <t>28406030101784</t>
  </si>
  <si>
    <t>Ahmed Nour El Din Salman Abbas</t>
  </si>
  <si>
    <t>ahmed.nour@fue.edu.eg</t>
  </si>
  <si>
    <t>201023300291</t>
  </si>
  <si>
    <t>28201080102756</t>
  </si>
  <si>
    <t>Mohammed Yahia Ali AbdElaziz</t>
  </si>
  <si>
    <t>محمد يحيى على عبد العزيز</t>
  </si>
  <si>
    <t>mohammed.yahia53@gmail.com</t>
  </si>
  <si>
    <t>201092002265</t>
  </si>
  <si>
    <t xml:space="preserve">مودرن سكول </t>
  </si>
  <si>
    <t>I teach middle school and high school in addition to the IT official</t>
  </si>
  <si>
    <t xml:space="preserve">none </t>
  </si>
  <si>
    <t>https://drive.google.com/open?id=19O5G_w0xCy5mYXsyMI9PlIayCF5NVsnQ</t>
  </si>
  <si>
    <t>https://drive.google.com/open?id=17uHOjZD5AmLYn1kj8hpqFmon6UcUkqMy</t>
  </si>
  <si>
    <t>فرع رمسيس</t>
  </si>
  <si>
    <t>100063989667</t>
  </si>
  <si>
    <t>EG150010008300000100063989667</t>
  </si>
  <si>
    <t>0083</t>
  </si>
  <si>
    <t>302A</t>
  </si>
  <si>
    <t>Mary Maher Refaat Ragheb</t>
  </si>
  <si>
    <t>ماري ماهر رفعت راغب</t>
  </si>
  <si>
    <t>marcri0904@gmail.com</t>
  </si>
  <si>
    <t>201205796174</t>
  </si>
  <si>
    <t>Nile sons international school</t>
  </si>
  <si>
    <t>https://drive.google.com/open?id=18eGusB0M6pII2ahxMmKnXorgjHUXj2PP</t>
  </si>
  <si>
    <t>https://drive.google.com/open?id=13yVdblHiJWYg9O-1xMs5FyF7EvTUYL9R</t>
  </si>
  <si>
    <t>Mary Maher Refaat</t>
  </si>
  <si>
    <t>1425000953964401018</t>
  </si>
  <si>
    <t>EG470003014250009539644010180</t>
  </si>
  <si>
    <t>0142</t>
  </si>
  <si>
    <t>Mustafa Saad El Sayed Ibrahim</t>
  </si>
  <si>
    <t>مصطفى سعد السيد ابراهيم</t>
  </si>
  <si>
    <t>mostafaelfiky45@gmail.com</t>
  </si>
  <si>
    <t>No</t>
  </si>
  <si>
    <t>https://drive.google.com/open?id=1SM2_0x8h9bKlC-neecPca4sCHwu1VOct</t>
  </si>
  <si>
    <t>https://drive.google.com/open?id=18l84Azr7XxfS-OLhuYV6Oidr4AkAe12V</t>
  </si>
  <si>
    <t>Randa Taher Abdelaziem Mohamed</t>
  </si>
  <si>
    <t>رندا طاهر عبد العظيم محمد</t>
  </si>
  <si>
    <t>randataher6@gmail.com</t>
  </si>
  <si>
    <t>201126888217</t>
  </si>
  <si>
    <t>29311262100507</t>
  </si>
  <si>
    <t>303A</t>
  </si>
  <si>
    <t>Mahmoud Abo Bakr Mohammed Mohammed Shakrah</t>
  </si>
  <si>
    <t>mahmoudshakrah1988@gmail.com</t>
  </si>
  <si>
    <t>Khodair Language Schools</t>
  </si>
  <si>
    <t>https://drive.google.com/open?id=19mU1n6CMqSiNnhj9qE84WNsPZ25Vet6i</t>
  </si>
  <si>
    <t>https://drive.google.com/open?id=1jFjCkSY9R7GmDji8Xa8glfl0MpMooWhC</t>
  </si>
  <si>
    <t>أحمد جمال أحمدى</t>
  </si>
  <si>
    <t>السويس</t>
  </si>
  <si>
    <t>EG450005500300000503055803001</t>
  </si>
  <si>
    <t>Reham Zarif Zaky Abdelmalak</t>
  </si>
  <si>
    <t>ريهام ظريف زكي عبد الملاك</t>
  </si>
  <si>
    <t>rehamzaky81@gmail.com</t>
  </si>
  <si>
    <t>201289057497</t>
  </si>
  <si>
    <t>Cambridge School</t>
  </si>
  <si>
    <t>https://drive.google.com/open?id=1VlDg4EMsP5lyVOg5e8mE0bUiqgc7HMJU</t>
  </si>
  <si>
    <t>https://drive.google.com/open?id=1chnBmLA1Rw7Z1Vne2e0yaTS2GogjOuwW</t>
  </si>
  <si>
    <t>0955000828987001017</t>
  </si>
  <si>
    <t>EG780003009550008289870010170</t>
  </si>
  <si>
    <t>304A</t>
  </si>
  <si>
    <t>Ghada Wageh Metry Sawers</t>
  </si>
  <si>
    <t xml:space="preserve">غادة وجيه مترى ساويرس </t>
  </si>
  <si>
    <t>ghada.wageh1122@gmail.com</t>
  </si>
  <si>
    <t>201272579405</t>
  </si>
  <si>
    <t xml:space="preserve">Merryland international school </t>
  </si>
  <si>
    <t>https://drive.google.com/open?id=10hNZMYp59swLszQ3LGq-eGN66Q7gv-NI</t>
  </si>
  <si>
    <t>https://drive.google.com/open?id=1QQT9yWsIyMmQXJRTjKwzkJcCzgpFxRo7</t>
  </si>
  <si>
    <t xml:space="preserve">Ghada Wageh Metry </t>
  </si>
  <si>
    <t xml:space="preserve">Point 90 mall </t>
  </si>
  <si>
    <t>9983051005977400012</t>
  </si>
  <si>
    <t>EG980003099830510059774000120</t>
  </si>
  <si>
    <t>0998</t>
  </si>
  <si>
    <t>Mohamed Sobhy Emam Hussein</t>
  </si>
  <si>
    <t>sobhy45@hotmail.com</t>
  </si>
  <si>
    <t>201555201230</t>
  </si>
  <si>
    <t>305A</t>
  </si>
  <si>
    <t>Basma Mohamed Ismail Mohamed Youssef</t>
  </si>
  <si>
    <t xml:space="preserve">بسمه محمد اسماعيل محمد يوسف </t>
  </si>
  <si>
    <t>bosyismail43@gmail.com</t>
  </si>
  <si>
    <t>201144704544</t>
  </si>
  <si>
    <t>068364097</t>
  </si>
  <si>
    <t>https://drive.google.com/open?id=1U596DlvWqdtDWvfesd5HwaS5Ai2ASjAo</t>
  </si>
  <si>
    <t>https://drive.google.com/open?id=1AbNfTKn9RrfybUGaGo1BcuyTqcCWAdIP</t>
  </si>
  <si>
    <t>1225000254753000014</t>
  </si>
  <si>
    <t>EG140003012250002547530000140</t>
  </si>
  <si>
    <t>Fatma El Zahraa Emad ElDin Said Nafee</t>
  </si>
  <si>
    <t xml:space="preserve">فاطمة الزهراء عماد الدين سيد نافع </t>
  </si>
  <si>
    <t>fatomanafee5@gmail.com</t>
  </si>
  <si>
    <t>201012282740</t>
  </si>
  <si>
    <t xml:space="preserve">Sheraton Heliopolis </t>
  </si>
  <si>
    <t xml:space="preserve">Ict teacher </t>
  </si>
  <si>
    <t>000000</t>
  </si>
  <si>
    <t>https://drive.google.com/open?id=1bx2o0XewpIsh-4k_uAJnOzEavWav3wkn</t>
  </si>
  <si>
    <t>https://drive.google.com/open?id=1ZuSYIP-gvpSMgXyqMNLF9yv3leEzDs-H</t>
  </si>
  <si>
    <t>1930333000058211</t>
  </si>
  <si>
    <t>EG030002019301930333000058211</t>
  </si>
  <si>
    <t>0193</t>
  </si>
  <si>
    <t>Ragab Mahmoud Abdel Hafiz</t>
  </si>
  <si>
    <t>رجب محمود عبد الحفيظ</t>
  </si>
  <si>
    <t>ragabmabdelhafeez@gmail.com</t>
  </si>
  <si>
    <t>201006480834</t>
  </si>
  <si>
    <t>ABDELNASSER MOHAMED MAHMOUD ALI</t>
  </si>
  <si>
    <t>عبد الناصر محمد محمود علي</t>
  </si>
  <si>
    <t>abdelnasser.muhammad@gmail.com‏</t>
  </si>
  <si>
    <t>201145275757</t>
  </si>
  <si>
    <t>El Nagah School</t>
  </si>
  <si>
    <t>https://drive.google.com/open?id=1Dy-yUuArhxaFCZbzZ7omh6WHSJL1aBmV</t>
  </si>
  <si>
    <t>https://drive.google.com/open?id=1ZuLwR3f7vLQEZVhqIGPYemsj2p9yPDRw</t>
  </si>
  <si>
    <t>1615081787662400018</t>
  </si>
  <si>
    <t>EG610003016150817876624000180</t>
  </si>
  <si>
    <t>0161</t>
  </si>
  <si>
    <t>Aya Hussein Hosni Mohamed</t>
  </si>
  <si>
    <t>haya22451@gmail.com</t>
  </si>
  <si>
    <t>https://drive.google.com/open?id=12xr5zWOtYf6-QTCumlR7BWgRsFKccIJ8</t>
  </si>
  <si>
    <t>https://drive.google.com/open?id=1N30qx34J92u_6nK2oyMkydPA93a4apWl</t>
  </si>
  <si>
    <t>401A</t>
  </si>
  <si>
    <t>Fatma El Zahraa Magdy Seleem Seleem</t>
  </si>
  <si>
    <t xml:space="preserve">فاطمة الزهراء مجدي سليم </t>
  </si>
  <si>
    <t>fatmasliem69@gmail.com</t>
  </si>
  <si>
    <t>Mohammed Gamal Ahmady Abdulhaleem Lasheen</t>
  </si>
  <si>
    <t>mohdgamal1981@gmail.com</t>
  </si>
  <si>
    <t>Khodair Language School</t>
  </si>
  <si>
    <t>A teacher</t>
  </si>
  <si>
    <t>https://drive.google.com/open?id=1cNgS9x0-c19kxXL1T1-JebW9ST4PlwZz</t>
  </si>
  <si>
    <t>https://drive.google.com/open?id=1ZgbHHRxRW4DU2u2XXtUmWtmuqnHwQpKn</t>
  </si>
  <si>
    <t>Benha</t>
  </si>
  <si>
    <t>EG480059000600000100014521731</t>
  </si>
  <si>
    <t>Abdel Rahman Mohamed Zaky Sayed</t>
  </si>
  <si>
    <t>عبد الرحمن محمد زكي سيد</t>
  </si>
  <si>
    <t>abdulrahman.m.zaki2020@gmail.com</t>
  </si>
  <si>
    <t>201222866458</t>
  </si>
  <si>
    <t>85811749</t>
  </si>
  <si>
    <t>30303150102534</t>
  </si>
  <si>
    <t>402A</t>
  </si>
  <si>
    <t>Hoda Abdallah Eleamy Solaiman</t>
  </si>
  <si>
    <t>هدى عبدالله عليمي سليمان</t>
  </si>
  <si>
    <t>hodasolaiman@hotmail.com</t>
  </si>
  <si>
    <t>201273990955</t>
  </si>
  <si>
    <t>https://drive.google.com/open?id=1fsY4hcRvOkHQVfiFfp113HVzX8LjOII1</t>
  </si>
  <si>
    <t>https://drive.google.com/open?id=14PUBGzKvXV9dD7xVBT4IAW29uMli17ZZ</t>
  </si>
  <si>
    <t>Hoda Abdalla Alimy Soliman</t>
  </si>
  <si>
    <t>1003908173993</t>
  </si>
  <si>
    <t>EG210037009708181003908173993</t>
  </si>
  <si>
    <t>0097</t>
  </si>
  <si>
    <t>Hazem Rezek Mohammad Abdel Haleem</t>
  </si>
  <si>
    <t>حازم رزق محمد عبد الحليم</t>
  </si>
  <si>
    <t>Hazem.Abdelhalim@fue.edu.eg</t>
  </si>
  <si>
    <t>201026903336</t>
  </si>
  <si>
    <t>76329015</t>
  </si>
  <si>
    <t>403A</t>
  </si>
  <si>
    <t xml:space="preserve">Ahmad Khalid MAhMOUDd Abdel Razik </t>
  </si>
  <si>
    <t>ahomba@gmail.com</t>
  </si>
  <si>
    <t>201005810988</t>
  </si>
  <si>
    <t>MELS  Manaret El eman</t>
  </si>
  <si>
    <t xml:space="preserve">Administration </t>
  </si>
  <si>
    <t>https://drive.google.com/open?id=1OdSH1HCFbzbNm_Oej8oxQCF6Uo_caK2h</t>
  </si>
  <si>
    <t>https://drive.google.com/open?id=16HKcHYklc2INWOg1pwyK42DsYXIIJIRY</t>
  </si>
  <si>
    <t>00131800031422</t>
  </si>
  <si>
    <t>EG110036000100000131800031422</t>
  </si>
  <si>
    <t>Wafaa El-Sayed Abdel-Fattah El-Sayed</t>
  </si>
  <si>
    <t>وفاء السيد عبد الفتاح</t>
  </si>
  <si>
    <t>wafaa.elsayed@fue.edu.eg</t>
  </si>
  <si>
    <t>404A</t>
  </si>
  <si>
    <t>Lilian Karkour Majrian</t>
  </si>
  <si>
    <t>ليليان كركور مجريان</t>
  </si>
  <si>
    <t>karkorlilian@gmail.com</t>
  </si>
  <si>
    <t>201000984976</t>
  </si>
  <si>
    <t>Maronia schools</t>
  </si>
  <si>
    <t>English HOD</t>
  </si>
  <si>
    <t>https://drive.google.com/open?id=1G5Hy78TTIdczUAfudcCTcRt7CIevFito</t>
  </si>
  <si>
    <t>https://drive.google.com/open?id=1CnQEZ22Gvl1-5Kn1ygnEIMhXu8pAyZXO</t>
  </si>
  <si>
    <t>شارع بيروت</t>
  </si>
  <si>
    <t>1790333000043817</t>
  </si>
  <si>
    <t>EG140002017901790333000043817</t>
  </si>
  <si>
    <t>0179</t>
  </si>
  <si>
    <t>Hala Salah El Deen Abdel Hameed Desoki</t>
  </si>
  <si>
    <t>هالة صلاح الدين عبد الحميد دسوقي</t>
  </si>
  <si>
    <t>h.eldesoky888@gmail.com</t>
  </si>
  <si>
    <t>201097536624</t>
  </si>
  <si>
    <t>405A</t>
  </si>
  <si>
    <t>Mai abdel nasser mohamed elteery</t>
  </si>
  <si>
    <t>مى عبد الناصر محمد الطيرى</t>
  </si>
  <si>
    <t>maim92011@gmail.com</t>
  </si>
  <si>
    <t>201098923260</t>
  </si>
  <si>
    <t>Royal kings schools</t>
  </si>
  <si>
    <t>٣١٤-٤٩٤-٥١٨</t>
  </si>
  <si>
    <t>https://drive.google.com/open?id=1FQDjnpcU3lbdSJGL8q56ZNFw4NW7kVWl</t>
  </si>
  <si>
    <t>https://drive.google.com/open?id=1haSCxP1v9YXpC5S8_Ll0ckR9hCr83I8b</t>
  </si>
  <si>
    <t>Mai abdelnaser mohamed</t>
  </si>
  <si>
    <t>العروبة</t>
  </si>
  <si>
    <t>1730001000008626</t>
  </si>
  <si>
    <t>EG110002017301730001000008626</t>
  </si>
  <si>
    <t xml:space="preserve">Sara Abbas Mohamed Ahmed </t>
  </si>
  <si>
    <t xml:space="preserve">سارة عباس محمد احمد </t>
  </si>
  <si>
    <t>abassara51@gmail.com</t>
  </si>
  <si>
    <t>https://drive.google.com/open?id=1dTc3G9iqerGwnDEqEiIA7JEntv1fbTxu</t>
  </si>
  <si>
    <t>https://drive.google.com/open?id=1ZkRnip2S8U3z97TwNRVOCxtK61JtgBC1</t>
  </si>
  <si>
    <t>Nayer Samir Karras Boshra</t>
  </si>
  <si>
    <t>ناير سمير كراس بشرة</t>
  </si>
  <si>
    <t>Nayer.samir2010@gmail.com</t>
  </si>
  <si>
    <t>201022231137</t>
  </si>
  <si>
    <t>28310280100077</t>
  </si>
  <si>
    <t xml:space="preserve">Mariam Mahmoud Abdel Maaboud El Naggar </t>
  </si>
  <si>
    <t xml:space="preserve">مريم محمود عبد المعبود النجار </t>
  </si>
  <si>
    <t>mariamelnaggar762@gmail.com</t>
  </si>
  <si>
    <t>https://drive.google.com/open?id=15oO2qynEHmz9ON7IIntRbdTiJKccQZ7z</t>
  </si>
  <si>
    <t>https://drive.google.com/open?id=1c18mzMOzcwtnMr7IwatJrwTjI0OjLH0S</t>
  </si>
  <si>
    <t>502A</t>
  </si>
  <si>
    <t>El Sayed Mohamed elsayed elsadeq</t>
  </si>
  <si>
    <t>السيد محمد السيد الصادق</t>
  </si>
  <si>
    <t>coachsameh8@gmail.com</t>
  </si>
  <si>
    <t>201008251912</t>
  </si>
  <si>
    <t>Windrose academy</t>
  </si>
  <si>
    <t>https://drive.google.com/open?id=16oaO0Ss_8WFv_7osaCVNAkK4Rt9-XQdQ</t>
  </si>
  <si>
    <t>https://drive.google.com/open?id=1DXz0ZPwF4F8tuQucqFZhr8GwpnTtRviS</t>
  </si>
  <si>
    <t>El Sayed Mohamed El sayed</t>
  </si>
  <si>
    <t>ميفيدا</t>
  </si>
  <si>
    <t>EG450010004900000100041518817</t>
  </si>
  <si>
    <t>0049</t>
  </si>
  <si>
    <t>Reham Mohammed Shawky Shaker</t>
  </si>
  <si>
    <t>ريهام محمد شوقى شاكر</t>
  </si>
  <si>
    <t>rshawkya2m@gmail.com</t>
  </si>
  <si>
    <t>201001722291</t>
  </si>
  <si>
    <t>Orouba Language School. Invigilator in the British Council And in Sorting Team in British Council and Teaching Center Assistant in British Council</t>
  </si>
  <si>
    <t>Invgilitor in the British Council And in Sorting Team in British Council and Teaching Center Assistant in British Council</t>
  </si>
  <si>
    <t>https://drive.google.com/open?id=16g9y2Ojuye6zWv6mROBZ38bIhM9eJEmz</t>
  </si>
  <si>
    <t>https://drive.google.com/open?id=1LLg2H0HMOVyB10CP-2acSB2LgcmSoLgz</t>
  </si>
  <si>
    <t>فرع كايروفيستفال</t>
  </si>
  <si>
    <t>EG940003098250017890937000140</t>
  </si>
  <si>
    <t>0982</t>
  </si>
  <si>
    <t>Naeem Mohamed Naeem Ahmad</t>
  </si>
  <si>
    <t xml:space="preserve">nm202220222022@gmail.com </t>
  </si>
  <si>
    <t>201159585756</t>
  </si>
  <si>
    <t>45763613</t>
  </si>
  <si>
    <t>29109260105451</t>
  </si>
  <si>
    <t>503A</t>
  </si>
  <si>
    <t>Hossam Elden Mohamed Mostafa Elsayed</t>
  </si>
  <si>
    <t>حسام الدين محمد مصطفى السيد</t>
  </si>
  <si>
    <t>hossam_elden88@ymail.com</t>
  </si>
  <si>
    <t>201007968629</t>
  </si>
  <si>
    <t>28802260100399</t>
  </si>
  <si>
    <t>Khloud mohamed abdelfath</t>
  </si>
  <si>
    <t>خلود محمد عبدالفتاح</t>
  </si>
  <si>
    <t>Kokym6217@gmail.com</t>
  </si>
  <si>
    <t>201128297793</t>
  </si>
  <si>
    <t>Hotep</t>
  </si>
  <si>
    <t>https://drive.google.com/open?id=1uNqVxqJaw0uaNLlJTMqtbDB-ew6Mjxu7</t>
  </si>
  <si>
    <t>https://drive.google.com/open?id=13u7har01o2zdw8Ft17RiayFGALld8o-i</t>
  </si>
  <si>
    <t>KHLOUD MOHAMED ABDELFATAH</t>
  </si>
  <si>
    <t>100051973792</t>
  </si>
  <si>
    <t>EG920010011800000100051973792</t>
  </si>
  <si>
    <t>504A</t>
  </si>
  <si>
    <t>Omar Ahmed Khaled Mahmoud</t>
  </si>
  <si>
    <t>عمر احمد خالد محمود</t>
  </si>
  <si>
    <t>omarahmadkhaledv@gmail.com</t>
  </si>
  <si>
    <t>201111954295</t>
  </si>
  <si>
    <t>El Rowad College International School</t>
  </si>
  <si>
    <t>https://drive.google.com/open?id=1bA_-hXBAfcRd2BhaXY4qJhX-iwq136yS</t>
  </si>
  <si>
    <t>https://drive.google.com/open?id=1gF95pQ48r2iWdwkorLj9Ljvxndyf7erq</t>
  </si>
  <si>
    <t>El Merghany</t>
  </si>
  <si>
    <t>15068180027310</t>
  </si>
  <si>
    <t>EG720036000100015068180027310</t>
  </si>
  <si>
    <t>Aly Abdel-Rahman Gad Emam</t>
  </si>
  <si>
    <t>aliabdelrahmangad@gmail.com</t>
  </si>
  <si>
    <t>201113020669</t>
  </si>
  <si>
    <t>079346268</t>
  </si>
  <si>
    <t>29709270100951</t>
  </si>
  <si>
    <t>Essam Saidat Seleem</t>
  </si>
  <si>
    <t>عصام سيدات سليم مدكور</t>
  </si>
  <si>
    <t>Eng A</t>
  </si>
  <si>
    <t>32</t>
  </si>
  <si>
    <t>Hany mohamed salama</t>
  </si>
  <si>
    <t>هانى محمد سلامة على</t>
  </si>
  <si>
    <t>Shaaban Hussein fathelbab</t>
  </si>
  <si>
    <t>شعبان حسين فتح الباب بدوى</t>
  </si>
  <si>
    <t>Eng B</t>
  </si>
  <si>
    <t xml:space="preserve">Khaled Nageh </t>
  </si>
  <si>
    <t>خالد ناجح محمود على</t>
  </si>
  <si>
    <t>201063777090</t>
  </si>
  <si>
    <t xml:space="preserve">FUE </t>
  </si>
  <si>
    <t>Dr.Mohamed Ali ahmed</t>
  </si>
  <si>
    <t>mohammed.ali@york-press.com</t>
  </si>
  <si>
    <t>201009999129</t>
  </si>
  <si>
    <t>Sphinx-Cairo</t>
  </si>
  <si>
    <t>Supervisor</t>
  </si>
  <si>
    <t>جامعة المستقبل شارع التسعين القاهرة الجديدة امام الجامعة الامريكية</t>
  </si>
  <si>
    <t>Future University</t>
  </si>
  <si>
    <t>https://g.page/Future-university-egypt-FUE?share</t>
  </si>
  <si>
    <t>145</t>
  </si>
  <si>
    <t>Azza Mohamed Abdel Aziz</t>
  </si>
  <si>
    <t>عزه محمد عبدالعزيز محمد</t>
  </si>
  <si>
    <t>azza.abdelaziz@york-press.com</t>
  </si>
  <si>
    <t>201022210342</t>
  </si>
  <si>
    <t>Assistant Supervisor</t>
  </si>
  <si>
    <t>1</t>
  </si>
  <si>
    <t>H204 Dentistry</t>
  </si>
  <si>
    <t>Hossam Eldin Hussein</t>
  </si>
  <si>
    <t>حسام الدين حسين محمود حسين</t>
  </si>
  <si>
    <t>hossam.hussein@york-press.com</t>
  </si>
  <si>
    <t>201069966184</t>
  </si>
  <si>
    <t>Future University Faculty of Dentistry</t>
  </si>
  <si>
    <t>23</t>
  </si>
  <si>
    <t>Safaa Saad Abdelfatah Mohamed</t>
  </si>
  <si>
    <t>صفاء سعد عبدالفتاح محمد</t>
  </si>
  <si>
    <t>safaaa.saaad02026@gmail.com</t>
  </si>
  <si>
    <t>201095125989</t>
  </si>
  <si>
    <t>https://drive.google.com/open?id=17fcEejQ3X7wPUNUa5clQVKL5KGs-vXB2</t>
  </si>
  <si>
    <t>https://drive.google.com/open?id=1HqBay1WAaflNpZmZsyIu-yqV68Ej_j5z</t>
  </si>
  <si>
    <t>Teresa Gerges</t>
  </si>
  <si>
    <t>تريزة جرجس الياس مساك</t>
  </si>
  <si>
    <t>minammdouh999@gmail.com</t>
  </si>
  <si>
    <t>201271876283</t>
  </si>
  <si>
    <t>Mohamed Medhat Hassan</t>
  </si>
  <si>
    <t>محمد مدحت حسن</t>
  </si>
  <si>
    <t xml:space="preserve">mohamed.hassan.medhat2@gmail.com </t>
  </si>
  <si>
    <t>201158535563</t>
  </si>
  <si>
    <t xml:space="preserve">Yasmin Ahmad Helmy Mohammad </t>
  </si>
  <si>
    <t>jasminahmad138@gmail.com</t>
  </si>
  <si>
    <t xml:space="preserve">Manaret Heliopolis International School </t>
  </si>
  <si>
    <t xml:space="preserve">School Counsellor </t>
  </si>
  <si>
    <t>36611998</t>
  </si>
  <si>
    <t>28711230103762</t>
  </si>
  <si>
    <t>https://drive.google.com/open?id=1wiwldZgds2GWf3oY3qAL7Lc9nVs0IbHQ</t>
  </si>
  <si>
    <t>https://drive.google.com/open?id=1OCP0AJQnSoZvr3KBjtR-E0WURfdLjsQJ</t>
  </si>
  <si>
    <t>100022310636</t>
  </si>
  <si>
    <t>EG320010011000000100022310636</t>
  </si>
  <si>
    <t>0110</t>
  </si>
  <si>
    <t>H201 lecture hall</t>
  </si>
  <si>
    <t>Ahmed mohamed hassan saleh elsherbeeny</t>
  </si>
  <si>
    <t xml:space="preserve">احمد محمد حسن صالح الشربيني </t>
  </si>
  <si>
    <t>sherbinolgy@gmail.com</t>
  </si>
  <si>
    <t>201015308053</t>
  </si>
  <si>
    <t>67604339</t>
  </si>
  <si>
    <t>29004212100093</t>
  </si>
  <si>
    <t>https://drive.google.com/open?id=1X7mBo-H7o_J1UlJdA2XhOIZbSEmNkxXF</t>
  </si>
  <si>
    <t>https://drive.google.com/open?id=1lgIlK50VcRFW7y7xpHMaqYQ9r8ltyUyX</t>
  </si>
  <si>
    <t>Ahmed mohamed hassan saleh el sherbeeny</t>
  </si>
  <si>
    <t>المعادى الجديدة</t>
  </si>
  <si>
    <t>1690111000011283</t>
  </si>
  <si>
    <t>EG500002016901690111000011283</t>
  </si>
  <si>
    <t>Anwar Mostafa Abdul khalek Elkranfily</t>
  </si>
  <si>
    <t>anwarelkronfly@yahoo.com</t>
  </si>
  <si>
    <t>201066022126</t>
  </si>
  <si>
    <t>Qalyubia Education Directorate</t>
  </si>
  <si>
    <t>Director of Quality Management in Qalyubia Education</t>
  </si>
  <si>
    <t>14370273</t>
  </si>
  <si>
    <t>27412081402114</t>
  </si>
  <si>
    <t>https://drive.google.com/open?id=1tbeve327RFovnAKepxH0vhj9rMq6staQ</t>
  </si>
  <si>
    <t>https://drive.google.com/open?id=1mCIZUiZUvoqHQq8ZLKOkx2daNpHf1qmc</t>
  </si>
  <si>
    <t>انور مصطفى عبدالخالق مصطفى القرنفيلى</t>
  </si>
  <si>
    <t>سنهره</t>
  </si>
  <si>
    <t>11000015401901000</t>
  </si>
  <si>
    <t>EG240009149611000015401901001</t>
  </si>
  <si>
    <t>0600</t>
  </si>
  <si>
    <t>Nehad Hassan Ibrahim Hassan</t>
  </si>
  <si>
    <t>nehadhassan795 @gmail.com</t>
  </si>
  <si>
    <t>201001537520</t>
  </si>
  <si>
    <t>Janadan International school</t>
  </si>
  <si>
    <t>Director</t>
  </si>
  <si>
    <t>42441812</t>
  </si>
  <si>
    <t>308749944</t>
  </si>
  <si>
    <t>26310260100511</t>
  </si>
  <si>
    <t>https://drive.google.com/open?id=1mU2UxHkH2U5Oqvhxr1B4C-0KvEZrOsWU</t>
  </si>
  <si>
    <t>https://drive.google.com/open?id=1qgXdaPat-PXAZexNueeinAS2oNvKb197</t>
  </si>
  <si>
    <t>Nehad hassan ibrahim hassan</t>
  </si>
  <si>
    <t>Shooting club al kattamya</t>
  </si>
  <si>
    <t>EG480003012050001058161000150</t>
  </si>
  <si>
    <t>Taha Abdal Razek Mohamed Taha</t>
  </si>
  <si>
    <t>طه عبدالرازق محمد طه</t>
  </si>
  <si>
    <t>tahaabdalrazek97@gmail.com</t>
  </si>
  <si>
    <t>201150011597</t>
  </si>
  <si>
    <t>Egypt British International Schools</t>
  </si>
  <si>
    <t>History Teacher</t>
  </si>
  <si>
    <t>39221597</t>
  </si>
  <si>
    <t>374 - 333 - 947</t>
  </si>
  <si>
    <t>28908250105352</t>
  </si>
  <si>
    <t>https://drive.google.com/open?id=1o3usuhcI1cRasp7ITT4rK7w-vTIUWvAp</t>
  </si>
  <si>
    <t>https://drive.google.com/open?id=1TSzl3Wv6_DQL418LyVR-PalUnUvIs6N9</t>
  </si>
  <si>
    <t>TAHA ABDELRAZEK MOHAMED</t>
  </si>
  <si>
    <t>مصطفى النحاس</t>
  </si>
  <si>
    <t>100040895404</t>
  </si>
  <si>
    <t>EG050010017500000100040895404</t>
  </si>
  <si>
    <t>0175</t>
  </si>
  <si>
    <t>Heba Sayed Abdel Aleem Hassan</t>
  </si>
  <si>
    <t>هبه سيد عبد العليم حسن</t>
  </si>
  <si>
    <t>hebaelwsemy1984@gmail.com‏</t>
  </si>
  <si>
    <t>201067494212</t>
  </si>
  <si>
    <t>Hotep international scool</t>
  </si>
  <si>
    <t>Teacher assistant</t>
  </si>
  <si>
    <t>77804315</t>
  </si>
  <si>
    <t>28409250101067</t>
  </si>
  <si>
    <t>https://drive.google.com/open?id=10-WKrtr626unW1eRy9jmgo1lY-yV0cUa</t>
  </si>
  <si>
    <t>https://drive.google.com/open?id=1OZL1xFr4uNb39u2qFJzcWHshpj6sleQe</t>
  </si>
  <si>
    <t>HEBA SAYED ABDEL ALIM HASSAN</t>
  </si>
  <si>
    <t>100037468716</t>
  </si>
  <si>
    <t>EG320010011800000100037468716</t>
  </si>
  <si>
    <t>H202 lecture hall</t>
  </si>
  <si>
    <t>Rima Ahmed Mohamed Aly</t>
  </si>
  <si>
    <t xml:space="preserve">ريما احمد محمد علي </t>
  </si>
  <si>
    <t>rimo19356@gmail.com</t>
  </si>
  <si>
    <t>201001053671</t>
  </si>
  <si>
    <t xml:space="preserve">Royal Kings Schools </t>
  </si>
  <si>
    <t>74753012</t>
  </si>
  <si>
    <t>29505100101801</t>
  </si>
  <si>
    <t>https://drive.google.com/open?id=1kDJGls2NAJhHImBMvJ1jId3207lwoRNx</t>
  </si>
  <si>
    <t>https://drive.google.com/open?id=19nCkkyisXvN4WbYqxgtpTCrcmpq36Sy5</t>
  </si>
  <si>
    <t xml:space="preserve">Rima Ahmed Mohamed </t>
  </si>
  <si>
    <t>be Basata</t>
  </si>
  <si>
    <t>1020603814535</t>
  </si>
  <si>
    <t>EG740037002708181020603814535</t>
  </si>
  <si>
    <t>Mohamed Anwer Mohamed Khaled</t>
  </si>
  <si>
    <t>محمد انور محمد خالد</t>
  </si>
  <si>
    <t>anwermohamed609@gmail.com</t>
  </si>
  <si>
    <t>201124144508</t>
  </si>
  <si>
    <t>St Fatima Schools</t>
  </si>
  <si>
    <t>266-448-626</t>
  </si>
  <si>
    <t>https://drive.google.com/open?id=1Phc_DjEAwUcCeZXIKH0qMkgSOf0IVqL7</t>
  </si>
  <si>
    <t>https://drive.google.com/open?id=1tyzAhFzEuGoBQ1khW1Bc7007CGqHbLLn</t>
  </si>
  <si>
    <t>MOHAMED ANWAR MOHAMED KHALED</t>
  </si>
  <si>
    <t>EG260010011800000100062194318</t>
  </si>
  <si>
    <t xml:space="preserve">Mohamed habshy sayed ibrahim </t>
  </si>
  <si>
    <t>Mohamedhabshy38@yahoo.com</t>
  </si>
  <si>
    <t>201115215393</t>
  </si>
  <si>
    <t xml:space="preserve">Sgis International school </t>
  </si>
  <si>
    <t>64515736</t>
  </si>
  <si>
    <t>29010012100617</t>
  </si>
  <si>
    <t>https://drive.google.com/open?id=1U0XRH3l6sgE2OIG2ZtqlVvE8cqt3sOyI</t>
  </si>
  <si>
    <t>https://drive.google.com/open?id=1SqLj-U_dA-QVZt-NS6E_JvpB6LUh3mrg</t>
  </si>
  <si>
    <t>Mohamed habashy sayed</t>
  </si>
  <si>
    <t>Sheikh zayed</t>
  </si>
  <si>
    <t>7800111000004864</t>
  </si>
  <si>
    <t>EG410002078007800111000004864</t>
  </si>
  <si>
    <t>0780</t>
  </si>
  <si>
    <t xml:space="preserve">Raghda Salah ibrahim Mohamed </t>
  </si>
  <si>
    <t>رغدة صلاح ابراهيم محمد</t>
  </si>
  <si>
    <t>dodysalah112010@gmail.com</t>
  </si>
  <si>
    <t>201110779719</t>
  </si>
  <si>
    <t>Sun of glory international school</t>
  </si>
  <si>
    <t xml:space="preserve">Hod Arabic </t>
  </si>
  <si>
    <t>57837359</t>
  </si>
  <si>
    <t>28309230101201</t>
  </si>
  <si>
    <t>https://drive.google.com/open?id=14vx6QjFlXy1_VtxKnU95kH12lUujVwHR</t>
  </si>
  <si>
    <t>https://drive.google.com/open?id=1vDK0b2dAUs-9Hbe6EE-Gzj6prbKcA58c</t>
  </si>
  <si>
    <t xml:space="preserve">Raghda Salah ibrahim </t>
  </si>
  <si>
    <t>1690111000011920</t>
  </si>
  <si>
    <t>EG200002016901690111000011920</t>
  </si>
  <si>
    <t>ghada raof azmy attia</t>
  </si>
  <si>
    <t>غادة رؤوف عزمي عطية</t>
  </si>
  <si>
    <t>ghadaraoof4@gmail.com</t>
  </si>
  <si>
    <t>Capital</t>
  </si>
  <si>
    <t>Discipline officer</t>
  </si>
  <si>
    <t>043123262</t>
  </si>
  <si>
    <t>27911172102942</t>
  </si>
  <si>
    <t>https://drive.google.com/open?id=1f-mlCES9-9TNZYpdvpMU-ST5DZ3L1L2r</t>
  </si>
  <si>
    <t>https://drive.google.com/open?id=11H64318Dma2XIsIr0yJJmUhCsp_Obpzy</t>
  </si>
  <si>
    <t>GHADA RAOUF AZMY ATTYA</t>
  </si>
  <si>
    <t>بيروت</t>
  </si>
  <si>
    <t>1130761000875</t>
  </si>
  <si>
    <t>EG480037005908181130761000875</t>
  </si>
  <si>
    <t>H301 lecture hall</t>
  </si>
  <si>
    <t>Ola Alaa Eid Hussain</t>
  </si>
  <si>
    <t>علا علاء عيد حسين</t>
  </si>
  <si>
    <t>olaalaa136@gmail.com</t>
  </si>
  <si>
    <t>201207421409</t>
  </si>
  <si>
    <t>MetLife co</t>
  </si>
  <si>
    <t>https://drive.google.com/open?id=1cG6JKKVamg-nEc1JUsyaPt9_GJINFSz2</t>
  </si>
  <si>
    <t>https://drive.google.com/open?id=1rw_jOcIEdkbDmtg_b8Qj2I0_nWPcDTsY</t>
  </si>
  <si>
    <t>Ahmed Ayman Ahmed</t>
  </si>
  <si>
    <t>Sarah Atta AbdelWahab Atta</t>
  </si>
  <si>
    <t>سارة عطا عبدالوهاب عطا</t>
  </si>
  <si>
    <t>sarahatta060@gmail.com</t>
  </si>
  <si>
    <t>201127514573</t>
  </si>
  <si>
    <t>Egyptian language school</t>
  </si>
  <si>
    <t>86913070</t>
  </si>
  <si>
    <t>30201160103728</t>
  </si>
  <si>
    <t>https://drive.google.com/open?id=1v4jJTk1CulakCBEwHWQRe4tTzuWoUGe_</t>
  </si>
  <si>
    <t>https://drive.google.com/open?id=1Gd6OE4N-Q97nMJnCQk4uaJunk2JlRxXD</t>
  </si>
  <si>
    <t>ساره عطا عبدالوهاب عطا</t>
  </si>
  <si>
    <t>محطه حلوان</t>
  </si>
  <si>
    <t>475001537829401000</t>
  </si>
  <si>
    <t>EG270003004750015378294010150</t>
  </si>
  <si>
    <t>0047</t>
  </si>
  <si>
    <t>Manal Moustafa Ibrahim Habib</t>
  </si>
  <si>
    <t>منال مصطفى إبراهيم حبيب</t>
  </si>
  <si>
    <t>manal.habib61@gmail.com</t>
  </si>
  <si>
    <t>201223323303</t>
  </si>
  <si>
    <t>Invigilator</t>
  </si>
  <si>
    <t>12905136</t>
  </si>
  <si>
    <t>26110130100706</t>
  </si>
  <si>
    <t>https://drive.google.com/open?id=1TezkqaJQaV5yfpgpB4sJ9nl-NzA_YaAX</t>
  </si>
  <si>
    <t>https://drive.google.com/open?id=1Y0CNsuqoHboYeSAWfiUCQPq2kgnRkpKY</t>
  </si>
  <si>
    <t>رابعه العدوية</t>
  </si>
  <si>
    <t>1255000452513700000</t>
  </si>
  <si>
    <t>EG770003012550004525137000160</t>
  </si>
  <si>
    <t>Abdelmagied mamdouh abdelmagied abbas</t>
  </si>
  <si>
    <t>عبد المجيد ممدوح عبد المجيد عباس</t>
  </si>
  <si>
    <t>abdelmagiedmamdouh1@gmail.com</t>
  </si>
  <si>
    <t>201003977780</t>
  </si>
  <si>
    <t>dar alsaada</t>
  </si>
  <si>
    <t>36452244</t>
  </si>
  <si>
    <t>29002210103416</t>
  </si>
  <si>
    <t>https://drive.google.com/open?id=122ug_hz80U8JAPo4aL3gEn8NDPyUxsvz</t>
  </si>
  <si>
    <t>https://drive.google.com/open?id=1HGYQLwatun19hAHMuSrczsqPJ3fPBe7r</t>
  </si>
  <si>
    <t>Abdelmageid Mamdouh Abdelmageid</t>
  </si>
  <si>
    <t xml:space="preserve">kornesh Almaady </t>
  </si>
  <si>
    <t>1593010217403901018</t>
  </si>
  <si>
    <t>EG040003015930102174039010180</t>
  </si>
  <si>
    <t>Ahmed Attia Attia emam</t>
  </si>
  <si>
    <t xml:space="preserve">احمد عطيه عطيه امام </t>
  </si>
  <si>
    <t>ahmedatia825@gmail.com</t>
  </si>
  <si>
    <t>201284770790</t>
  </si>
  <si>
    <t xml:space="preserve">Manaret Heliopolis International School  </t>
  </si>
  <si>
    <t xml:space="preserve">physical education teacher </t>
  </si>
  <si>
    <t>69691305</t>
  </si>
  <si>
    <t>308727649</t>
  </si>
  <si>
    <t>29212061400857</t>
  </si>
  <si>
    <t>https://drive.google.com/open?id=1lLyWaKlRXgCUb4PDNHrvhFxNev23UnVx</t>
  </si>
  <si>
    <t>https://drive.google.com/open?id=1QYemGpNPXlrV5e-LV-rPIB2jMoa01sFm</t>
  </si>
  <si>
    <t>ahmed attia attia emam</t>
  </si>
  <si>
    <t>0016369154100</t>
  </si>
  <si>
    <t>EG600020001600000016369154100</t>
  </si>
  <si>
    <t>DEIBEGCXXXX</t>
  </si>
  <si>
    <t>0016</t>
  </si>
  <si>
    <t>H302 lecture hall</t>
  </si>
  <si>
    <t xml:space="preserve">Ashraf mahmoud mohamed fath el bab </t>
  </si>
  <si>
    <t xml:space="preserve">اشرف محمود محمد فتح الباب </t>
  </si>
  <si>
    <t xml:space="preserve">ashraforouba@gmail.com </t>
  </si>
  <si>
    <t>201006957762</t>
  </si>
  <si>
    <t xml:space="preserve">Orouba language schools </t>
  </si>
  <si>
    <t xml:space="preserve">Head of maths department </t>
  </si>
  <si>
    <t>https://drive.google.com/open?id=1cgQ7xfF0NM6kxPUvHLPshjLrHKkNY_pg</t>
  </si>
  <si>
    <t>https://drive.google.com/open?id=1cA3RQKfL2tcqjGiQTmboBd8PCOgFtzbQ</t>
  </si>
  <si>
    <t xml:space="preserve">ASHRAF MAHMOUD MOHAMED FATH EL BAB </t>
  </si>
  <si>
    <t>Erin Michelle Hakim Shenouda</t>
  </si>
  <si>
    <t>ايرين ميشيل حكيم شنودة</t>
  </si>
  <si>
    <t>erinmiha1@hotmail.com</t>
  </si>
  <si>
    <t>201229468659</t>
  </si>
  <si>
    <t>Elyoussefia private school</t>
  </si>
  <si>
    <t>62317368</t>
  </si>
  <si>
    <t>28610252100987</t>
  </si>
  <si>
    <t>https://drive.google.com/open?id=1Dmteuu5RuE0HZB51_me-bgqqlUhyYfNe</t>
  </si>
  <si>
    <t>https://drive.google.com/open?id=1kb5Pq0y1jvOa0zjJ5m6XBeu8-mB907j7</t>
  </si>
  <si>
    <t>Ereen Meshel Hakim</t>
  </si>
  <si>
    <t>الضاهر</t>
  </si>
  <si>
    <t>6073090108750</t>
  </si>
  <si>
    <t>EG430004134000006073090108750</t>
  </si>
  <si>
    <t>1340</t>
  </si>
  <si>
    <t>walaa ismail mohamed ismail</t>
  </si>
  <si>
    <t>ولاء اسماعيل محمد اسماعيل</t>
  </si>
  <si>
    <t>walaahatem79@gmail.com</t>
  </si>
  <si>
    <t>201121612438</t>
  </si>
  <si>
    <t>sun of Glory international school</t>
  </si>
  <si>
    <t>computer teacher</t>
  </si>
  <si>
    <t>65411734</t>
  </si>
  <si>
    <t>27908080201064</t>
  </si>
  <si>
    <t>https://drive.google.com/open?id=1lHSYxNjvkbVYiXDrRGgw60SbAyqWKxAy</t>
  </si>
  <si>
    <t>https://drive.google.com/open?id=1z1LKMqwysjcqcSxn3q14y6NiiAkC4eZN</t>
  </si>
  <si>
    <t>دريم لاند ٦ اكتوبر</t>
  </si>
  <si>
    <t>1975001414732800000</t>
  </si>
  <si>
    <t>EG860003019750014147328010180</t>
  </si>
  <si>
    <t>0197</t>
  </si>
  <si>
    <t>Nadine Yasser Fikry Soliman</t>
  </si>
  <si>
    <t>نادين ياسر فكري سليمان</t>
  </si>
  <si>
    <t>nadineesoliman@gmail.com</t>
  </si>
  <si>
    <t>201205607520</t>
  </si>
  <si>
    <t>Leaders International college</t>
  </si>
  <si>
    <t>29905240102686</t>
  </si>
  <si>
    <t>https://drive.google.com/open?id=17oJHPl6Xt66kuX4zQN6pasbqyiHLsb7F</t>
  </si>
  <si>
    <t>https://drive.google.com/open?id=1PPwPSsUZRvI2GDet7GRwZvv-N8GwyfDf</t>
  </si>
  <si>
    <t>rehab city</t>
  </si>
  <si>
    <t>100048473398</t>
  </si>
  <si>
    <t>EG980010009100000100048473398</t>
  </si>
  <si>
    <t>0091</t>
  </si>
  <si>
    <t>Eriny Samir</t>
  </si>
  <si>
    <t>ايرينى سمير ناشد سركيس</t>
  </si>
  <si>
    <t>eriny.samir12@gmail.com</t>
  </si>
  <si>
    <t>201272023330</t>
  </si>
  <si>
    <t>Esraa osman ALi waziry</t>
  </si>
  <si>
    <t>اسراء عثمان علي وزيري</t>
  </si>
  <si>
    <t>esraaosman971@gmail.com</t>
  </si>
  <si>
    <t>New maadi language school</t>
  </si>
  <si>
    <t>29910140103425</t>
  </si>
  <si>
    <t>https://drive.google.com/open?id=14Mk1lkiO4IW4-yWyM06lgbIQCH9eb7aK</t>
  </si>
  <si>
    <t>https://drive.google.com/open?id=1xJNClgG0A0VFKTwq3286Zwot0Msqe3rw</t>
  </si>
  <si>
    <t>ارابيلا بلازا</t>
  </si>
  <si>
    <t>7750333000053274</t>
  </si>
  <si>
    <t>EG240002077507750333000053274</t>
  </si>
  <si>
    <t>H401 lecture hall</t>
  </si>
  <si>
    <t>Sayed Mahmoud Mohamed Elsayed</t>
  </si>
  <si>
    <t>السيد محمود محمد السيد</t>
  </si>
  <si>
    <t>Sayedmahmoudkotb74@gmail.com</t>
  </si>
  <si>
    <t>201080380188</t>
  </si>
  <si>
    <t>https://drive.google.com/open?id=1fbiPyJxWL6VHKIwL5FPeUTN8eiewuRAD</t>
  </si>
  <si>
    <t>https://drive.google.com/open?id=1WaEiRWZPuJ2MW8WsfiyAJvQvsEtSZ3JV</t>
  </si>
  <si>
    <t>EL SAYED MAHMOUD MOHAMED EL SAYED KOTB</t>
  </si>
  <si>
    <t>10th of Ramadan</t>
  </si>
  <si>
    <t>EG040010003200000100065886019</t>
  </si>
  <si>
    <t>Dalia samir said salleh oraby</t>
  </si>
  <si>
    <t>داليا سمير سعيد صالح عرابي</t>
  </si>
  <si>
    <t>Dalia.samir@hotepis.edu.eg</t>
  </si>
  <si>
    <t>201114411760</t>
  </si>
  <si>
    <t>27112010100342</t>
  </si>
  <si>
    <t>https://drive.google.com/open?id=1fSsPddWvnUyngEnuB1Q8S9tppZgnbHtk</t>
  </si>
  <si>
    <t>https://drive.google.com/open?id=1b2kTrlwsJIWzCaGBfT7Q4RW_6GFZQrKu</t>
  </si>
  <si>
    <t>DALIA SAMIR SAEED</t>
  </si>
  <si>
    <t>عباس العقاد</t>
  </si>
  <si>
    <t>100060188585</t>
  </si>
  <si>
    <t>Ahmed Ibrahim Ali</t>
  </si>
  <si>
    <t>aebrahim740@gmail.com</t>
  </si>
  <si>
    <t>201119862727</t>
  </si>
  <si>
    <t>Egypt British International School</t>
  </si>
  <si>
    <t>Admin Supervisor</t>
  </si>
  <si>
    <t>28028353</t>
  </si>
  <si>
    <t>28504040102837</t>
  </si>
  <si>
    <t>https://drive.google.com/open?id=1iQ1wJePV4-tbIVubUDssdpTCzynqCfPA</t>
  </si>
  <si>
    <t>https://drive.google.com/open?id=13H4xWpd11iAQHjsnSFBwBLuZdlsLavF9</t>
  </si>
  <si>
    <t>مدينة نصر</t>
  </si>
  <si>
    <t>100054707578</t>
  </si>
  <si>
    <t>EG800010011000000100054707578</t>
  </si>
  <si>
    <t xml:space="preserve">Menna Tallah Ali Mohamed Elbialy </t>
  </si>
  <si>
    <t xml:space="preserve">منة الله علي محمد البيلي </t>
  </si>
  <si>
    <t>mennaelbialy4455@gmail.com</t>
  </si>
  <si>
    <t>201024484980</t>
  </si>
  <si>
    <t xml:space="preserve">Roots language school </t>
  </si>
  <si>
    <t>29508100104141</t>
  </si>
  <si>
    <t>https://drive.google.com/open?id=1pnzhrW9aY2zqqp9W4Q1SHnAdhEsY7KVv</t>
  </si>
  <si>
    <t>https://drive.google.com/open?id=1Q4Tjl8RH1TkXBRruavEXpVSIN4V86YCc</t>
  </si>
  <si>
    <t>0463051509094101012</t>
  </si>
  <si>
    <t>EG060003004630515090941010120</t>
  </si>
  <si>
    <t xml:space="preserve">Seif Ahmed Ahmed swilam </t>
  </si>
  <si>
    <t>seif56922@gmail.com</t>
  </si>
  <si>
    <t>201007678936</t>
  </si>
  <si>
    <t xml:space="preserve">Stanford international school </t>
  </si>
  <si>
    <t xml:space="preserve">P.E Teacher </t>
  </si>
  <si>
    <t>057400665</t>
  </si>
  <si>
    <t>29811011403635</t>
  </si>
  <si>
    <t>https://drive.google.com/open?id=1qNxBxyxuvqTBz5A4HlGdGrk7RfjDByJU</t>
  </si>
  <si>
    <t>https://drive.google.com/open?id=11O_ZuX2ic9at9OhE3THfGTwtas6OF6q3</t>
  </si>
  <si>
    <t>Seif Ahmed Ahmed  ibrahim Swilam</t>
  </si>
  <si>
    <t xml:space="preserve">Banha - kournish </t>
  </si>
  <si>
    <t>6085001652339300017</t>
  </si>
  <si>
    <t>EG120003060850016523393000170</t>
  </si>
  <si>
    <t>0608</t>
  </si>
  <si>
    <t>H402 lecture hall</t>
  </si>
  <si>
    <t xml:space="preserve">Reham Nagy Aly Hassan </t>
  </si>
  <si>
    <t xml:space="preserve">ريهام ناجى على حسن </t>
  </si>
  <si>
    <t>yareham17@gmail.com</t>
  </si>
  <si>
    <t>201094887528</t>
  </si>
  <si>
    <t>Manaret Heliopolis International School</t>
  </si>
  <si>
    <t>17264972</t>
  </si>
  <si>
    <t>28706150106309</t>
  </si>
  <si>
    <t>https://drive.google.com/open?id=1YBNuSdlXWwoNXHIKbHVb9SNvSsV8UxKY</t>
  </si>
  <si>
    <t>https://drive.google.com/open?id=1jIQzEMQAtgL7B4Qbbrh-3M5ydYEn0EWx</t>
  </si>
  <si>
    <t xml:space="preserve">ريهام ناجى على حسن شلبى </t>
  </si>
  <si>
    <t>1095001179844101019</t>
  </si>
  <si>
    <t>EG390003010950011798441010190</t>
  </si>
  <si>
    <t xml:space="preserve">Abdelrahman Emad Ahmed Ali </t>
  </si>
  <si>
    <t>abdo.pop5766@gmail.com</t>
  </si>
  <si>
    <t>201022183138</t>
  </si>
  <si>
    <t xml:space="preserve">Gateway International Montessori School </t>
  </si>
  <si>
    <t>68478069</t>
  </si>
  <si>
    <t>29212102104231</t>
  </si>
  <si>
    <t>https://drive.google.com/open?id=1nS4nheAsXJ_LjWCkZHF55jPJzi9v0EZb</t>
  </si>
  <si>
    <t>https://drive.google.com/open?id=1whsQ4Ky0cmzxCOlapG7Xb3d6g09qMZvh</t>
  </si>
  <si>
    <t xml:space="preserve">Abdelrahman Emad Ahmed Ali Elshayeb </t>
  </si>
  <si>
    <t>El Hammad Mall</t>
  </si>
  <si>
    <t>100064967171</t>
  </si>
  <si>
    <t>EG410010015400000100064967171</t>
  </si>
  <si>
    <t xml:space="preserve">Sara Mustafa Mahmoud Morsi </t>
  </si>
  <si>
    <t xml:space="preserve">سارة مصطفى محمود مرسى </t>
  </si>
  <si>
    <t>saraabdelrahman898@gmil.com</t>
  </si>
  <si>
    <t>201096247514 
 201226592324</t>
  </si>
  <si>
    <t xml:space="preserve">Royal Kings International School </t>
  </si>
  <si>
    <t xml:space="preserve">Social Studies Teacher </t>
  </si>
  <si>
    <t>85494027</t>
  </si>
  <si>
    <t>28106210100804</t>
  </si>
  <si>
    <t>https://drive.google.com/open?id=1XerVt8mBGq3kAyvyi0ViOlc6rtlgy75j</t>
  </si>
  <si>
    <t>https://drive.google.com/open?id=1tc5hwDuDvtDnHyzPkc_bVn-YFrn53cGt</t>
  </si>
  <si>
    <t xml:space="preserve">الميثاق </t>
  </si>
  <si>
    <t>5260333000064009</t>
  </si>
  <si>
    <t>EG530002052605260333000064009</t>
  </si>
  <si>
    <t>0526</t>
  </si>
  <si>
    <t>Dina Abd Ellatif Elsayed Abd Ellatif</t>
  </si>
  <si>
    <t>دينا عبد اللطيف السيد عبد اللطيف</t>
  </si>
  <si>
    <t>dinadd3333@gmail.com</t>
  </si>
  <si>
    <t>201023662649</t>
  </si>
  <si>
    <t>Safwaa language school</t>
  </si>
  <si>
    <t>Library and Information Specialist</t>
  </si>
  <si>
    <t>51908646</t>
  </si>
  <si>
    <t>29002010105422</t>
  </si>
  <si>
    <t>https://drive.google.com/open?id=1WeAEybLbRCtJpV_RYdp7O-qP62PLo_H-</t>
  </si>
  <si>
    <t>https://drive.google.com/open?id=1IX1p_ylKmYgo6-JLmqKnbgwdRGeWzc7P</t>
  </si>
  <si>
    <t>محطة حلوان</t>
  </si>
  <si>
    <t>0475000852915501014</t>
  </si>
  <si>
    <t>EG080003004750008529155010140</t>
  </si>
  <si>
    <t>Basement</t>
  </si>
  <si>
    <t>Ahmed mohamed ali attia</t>
  </si>
  <si>
    <t>ahmed.ali@york-press.com</t>
  </si>
  <si>
    <t>201006967669</t>
  </si>
  <si>
    <t>Future University Faculty of Pharmacy</t>
  </si>
  <si>
    <t>FakhrELdin Magdy AbdElnaby AbdElaziz</t>
  </si>
  <si>
    <t xml:space="preserve">فخر الدين مجدي عبد النبي عبد العزيز </t>
  </si>
  <si>
    <t>fakhreldinmagdy85@gmail.com‏</t>
  </si>
  <si>
    <t>Nefertary International School</t>
  </si>
  <si>
    <t xml:space="preserve">معلم لغة عربية بالمرحلة المتوسطة </t>
  </si>
  <si>
    <t>28510070103676</t>
  </si>
  <si>
    <t>https://drive.google.com/open?id=1sHXi73gtBw4NHJlCbdcfZkP476svvio0</t>
  </si>
  <si>
    <t>https://drive.google.com/open?id=1GAwpzs_jq7cOOTH0aydzFgxitok-knyu</t>
  </si>
  <si>
    <t>1130926264534</t>
  </si>
  <si>
    <t>EG270037007908181130926264534</t>
  </si>
  <si>
    <t>E1.1 lecture hall</t>
  </si>
  <si>
    <t>WAFAA MANSOUR Refaie Mansour</t>
  </si>
  <si>
    <t>وفاء منصور رفاعى منصور</t>
  </si>
  <si>
    <t>fofowafaa729@gmail.com</t>
  </si>
  <si>
    <t>201100501732/201080877466</t>
  </si>
  <si>
    <t>نيو دجله سمارت</t>
  </si>
  <si>
    <t>19749030</t>
  </si>
  <si>
    <t>560-164-572</t>
  </si>
  <si>
    <t>28507140101306</t>
  </si>
  <si>
    <t>https://drive.google.com/open?id=1S-6hGKximiwBBeBOczfdyBjCHxHylLrW</t>
  </si>
  <si>
    <t>https://drive.google.com/open?id=1wNEqGmbwzmMJDRpzZ3luH5twip0_UZMP</t>
  </si>
  <si>
    <t>وفاء منصور رفاعى</t>
  </si>
  <si>
    <t>زهراء المعادي</t>
  </si>
  <si>
    <t>965000176640801000</t>
  </si>
  <si>
    <t>EG960003009650001766408010100</t>
  </si>
  <si>
    <t>0096</t>
  </si>
  <si>
    <t>Muhammed yasser elsayed muhammed</t>
  </si>
  <si>
    <t>محمد ياسر السيد محمد</t>
  </si>
  <si>
    <t>mohamedyassser160@gmail.com</t>
  </si>
  <si>
    <t>201144759515</t>
  </si>
  <si>
    <t>uk marking</t>
  </si>
  <si>
    <t>https://drive.google.com/open?id=1fALsEhtv281F8DrPzNb9GJ-DcPushQA4</t>
  </si>
  <si>
    <t>https://drive.google.com/open?id=1jIjLpZB78AsxKqrMl8HMMPpzD-fj5BWe</t>
  </si>
  <si>
    <t>Mariam abdelmalak rizk rikz</t>
  </si>
  <si>
    <t>مريم عبد الملاك رزق رزق</t>
  </si>
  <si>
    <t>romamalak2020@gmail.com</t>
  </si>
  <si>
    <t>201226527317</t>
  </si>
  <si>
    <t>Moon Gardens international School</t>
  </si>
  <si>
    <t>female teacher</t>
  </si>
  <si>
    <t>30207121402082</t>
  </si>
  <si>
    <t>https://drive.google.com/open?id=1W0ZeHLmH991qsk30t4cYmoJHFkYOYZhS</t>
  </si>
  <si>
    <t>https://drive.google.com/open?id=1UJM0pJP-oPiq9zW32Gh-iweUysDSHKRl</t>
  </si>
  <si>
    <t>MARIAM ABDELMALAK</t>
  </si>
  <si>
    <t>4026520103953810</t>
  </si>
  <si>
    <t>EG650036000100011258180207804</t>
  </si>
  <si>
    <t xml:space="preserve">Samira Saad Abdelfatah Mohamed </t>
  </si>
  <si>
    <t xml:space="preserve">سميرة سعد عبدالفتاح محمد </t>
  </si>
  <si>
    <t>Samira.saad.22022@gmail.com</t>
  </si>
  <si>
    <t>201152070585</t>
  </si>
  <si>
    <t>Al Shohadaa</t>
  </si>
  <si>
    <t xml:space="preserve">Senior Social Specialist </t>
  </si>
  <si>
    <t>28606122301461</t>
  </si>
  <si>
    <t>https://drive.google.com/open?id=1hJmVO2w9KEKwcA2LP1uYjCUnIJ2Q3f1m</t>
  </si>
  <si>
    <t>https://drive.google.com/open?id=1SzjlGgRtz4G4AkTzp9rq2_CiJFSV0hwF</t>
  </si>
  <si>
    <t xml:space="preserve">مصر و السودان </t>
  </si>
  <si>
    <t>0665001790007500018</t>
  </si>
  <si>
    <t>EG340003006650017900075000180</t>
  </si>
  <si>
    <t>0066</t>
  </si>
  <si>
    <t>Alaa Hany nasr eldin abdelfattah</t>
  </si>
  <si>
    <t xml:space="preserve">الاء هانى نصر الدين عبدالفتاح </t>
  </si>
  <si>
    <t>alaahanymaro@gmail.com</t>
  </si>
  <si>
    <t>201009783002</t>
  </si>
  <si>
    <t xml:space="preserve">Sun of glory international </t>
  </si>
  <si>
    <t>33387248</t>
  </si>
  <si>
    <t>28909210102802</t>
  </si>
  <si>
    <t>https://drive.google.com/open?id=1TUidGWNo0_iYq_U7fCS_hF7K9rrm9UF-</t>
  </si>
  <si>
    <t>https://drive.google.com/open?id=1ZwPuOgFpNfUfWVsi9QbXi9yxqmOWikD3</t>
  </si>
  <si>
    <t xml:space="preserve">دار السلام </t>
  </si>
  <si>
    <t>1520320000097970</t>
  </si>
  <si>
    <t>EG950002015201520320000097970</t>
  </si>
  <si>
    <t>0152</t>
  </si>
  <si>
    <t xml:space="preserve">Maria Joseph Amin Youseph </t>
  </si>
  <si>
    <t xml:space="preserve">ماريا جوزيف امين يوسف </t>
  </si>
  <si>
    <t>maria.joseph1888@gmail.com</t>
  </si>
  <si>
    <t>The International School of Egypt (ISE)</t>
  </si>
  <si>
    <t xml:space="preserve">Teacher Assistant </t>
  </si>
  <si>
    <t>28909300114869</t>
  </si>
  <si>
    <t>https://drive.google.com/open?id=1Aq6IjaP8LwZ7rhBwdYc813txj2SHHUlV</t>
  </si>
  <si>
    <t>https://drive.google.com/open?id=1Dm3JDpwvspGebyp-XiZvIKPrTJEoI0ph</t>
  </si>
  <si>
    <t>ماريا جوزيف امين يوسف</t>
  </si>
  <si>
    <t>شبرا</t>
  </si>
  <si>
    <t>1535000237207200016</t>
  </si>
  <si>
    <t>EG920003015350002372072000160</t>
  </si>
  <si>
    <t>0153</t>
  </si>
  <si>
    <t>E2.1 lecture hall</t>
  </si>
  <si>
    <t>Esraa desouky Ali Mohamed</t>
  </si>
  <si>
    <t>اسراء دسوقي علي محمد</t>
  </si>
  <si>
    <t>esraa.desouki23@gmail.com</t>
  </si>
  <si>
    <t>201126013187</t>
  </si>
  <si>
    <t>Nothing</t>
  </si>
  <si>
    <t>https://drive.google.com/open?id=1eU15Lbn53DvqVLiyK4lDk0wcdT8y7I-b</t>
  </si>
  <si>
    <t>https://drive.google.com/open?id=1AxkAc-_BOAjbSrTOwXFcnYLJr0y1n4RN</t>
  </si>
  <si>
    <t xml:space="preserve">Samih Abdul-Aziz Eid Alkhouly </t>
  </si>
  <si>
    <t>سميح عبد العزيز عيد الخولي</t>
  </si>
  <si>
    <t>samih7611@gmail.com</t>
  </si>
  <si>
    <t>201060706316</t>
  </si>
  <si>
    <t>International Public Schools &amp; BUE</t>
  </si>
  <si>
    <t xml:space="preserve">English teacher, trainer and instructor </t>
  </si>
  <si>
    <t>16712600</t>
  </si>
  <si>
    <t>27611181700158</t>
  </si>
  <si>
    <t>https://drive.google.com/open?id=1-YTu0dtup-v-JNQnVZbCKwOozxY_6X_-</t>
  </si>
  <si>
    <t>https://drive.google.com/open?id=1l4ZSakofrI0sg5aZbTGvtM5tKL2icSgf</t>
  </si>
  <si>
    <t>Samih Abdelaziz Eid Elkhouly</t>
  </si>
  <si>
    <t>0295001700571900018</t>
  </si>
  <si>
    <t>EG930003002950017005719000180</t>
  </si>
  <si>
    <t>Ibrahim Mosaad Ibrahim  Eldesoky</t>
  </si>
  <si>
    <t xml:space="preserve">ابراهيم مسعد ابراهيم الدسوقي </t>
  </si>
  <si>
    <t>Ibrahimmosaad860@gmail.com</t>
  </si>
  <si>
    <t>201228090161</t>
  </si>
  <si>
    <t xml:space="preserve">Dover American international school </t>
  </si>
  <si>
    <t xml:space="preserve">Math teacher </t>
  </si>
  <si>
    <t>4800250</t>
  </si>
  <si>
    <t>28611270104759</t>
  </si>
  <si>
    <t>https://drive.google.com/open?id=1avHEWa6EyfOzqkW69C8_CKqw8M3aKNhw</t>
  </si>
  <si>
    <t>https://drive.google.com/open?id=1BUNNgKSBSEBG7Otj_JZde5-yVXJ1O4ku</t>
  </si>
  <si>
    <t>Kasr Elneil</t>
  </si>
  <si>
    <t>0015001179781301019</t>
  </si>
  <si>
    <t>EG450003000150011797813010190</t>
  </si>
  <si>
    <t xml:space="preserve">Mohamed Ramadan hogeer Ahmed </t>
  </si>
  <si>
    <t xml:space="preserve">محمد رمضان حجير احمد </t>
  </si>
  <si>
    <t>mido7450@gmail.com</t>
  </si>
  <si>
    <t>201142658694</t>
  </si>
  <si>
    <t xml:space="preserve">Al andalus international school </t>
  </si>
  <si>
    <t xml:space="preserve">Social studies teacher </t>
  </si>
  <si>
    <t>75899754</t>
  </si>
  <si>
    <t>29603030102695</t>
  </si>
  <si>
    <t>https://drive.google.com/open?id=1Ss6JSbzRfbdrafkFyIzETzeO1IiUsElW</t>
  </si>
  <si>
    <t>https://drive.google.com/open?id=19WYdF62byC9e2bzO4GcWO8XasdMEDdfN</t>
  </si>
  <si>
    <t xml:space="preserve">Mohamed Ramadan hogeer </t>
  </si>
  <si>
    <t xml:space="preserve">Heliolido </t>
  </si>
  <si>
    <t>1002290935158</t>
  </si>
  <si>
    <t>EG360037020308181002290935158</t>
  </si>
  <si>
    <t>Zobaida soliman elsayed hasanin</t>
  </si>
  <si>
    <t xml:space="preserve">زبيدة سليمان السيد حسنين </t>
  </si>
  <si>
    <t>zobaida.soliman311@gmail.com</t>
  </si>
  <si>
    <t xml:space="preserve">Nefertiti </t>
  </si>
  <si>
    <t>Na</t>
  </si>
  <si>
    <t>28111030101962</t>
  </si>
  <si>
    <t>https://drive.google.com/open?id=1uY5XZzo24_TquSFEyBROtZvJaongZzVu</t>
  </si>
  <si>
    <t>https://drive.google.com/open?id=1DViJClwjTaTWR34mkK11DF6fnL9rTFam</t>
  </si>
  <si>
    <t>الميرلاند</t>
  </si>
  <si>
    <t>1032625460010201</t>
  </si>
  <si>
    <t>EG330057000401032625460010201</t>
  </si>
  <si>
    <t>E3.1 lecture hall</t>
  </si>
  <si>
    <t>Refka Maher Mourice Wesa</t>
  </si>
  <si>
    <t>رفقة ماهر موريس ويصا</t>
  </si>
  <si>
    <t>refkajohn@gmail.com</t>
  </si>
  <si>
    <t>201000499155</t>
  </si>
  <si>
    <t xml:space="preserve">The international school of Egypt </t>
  </si>
  <si>
    <t xml:space="preserve">Elementary Administrative Assistant </t>
  </si>
  <si>
    <t>15294880</t>
  </si>
  <si>
    <t>28612060400262</t>
  </si>
  <si>
    <t>https://drive.google.com/open?id=1VV15kSR19boJXYSh-k1RXcA6Avy14Qvd</t>
  </si>
  <si>
    <t>https://drive.google.com/open?id=14qANF2qMw-ZK5QID83Tz-ErsMZR6losU</t>
  </si>
  <si>
    <t>Refka Maher Mories Wesa</t>
  </si>
  <si>
    <t>100024520026</t>
  </si>
  <si>
    <t>EG610010013400000100024520026</t>
  </si>
  <si>
    <t>0242</t>
  </si>
  <si>
    <t xml:space="preserve">Yara Abdelfattah Ahmed </t>
  </si>
  <si>
    <t xml:space="preserve">يارا عبد الفتاح احمد </t>
  </si>
  <si>
    <t>yaraabdelfattah719@gmail.com</t>
  </si>
  <si>
    <t>201006648415</t>
  </si>
  <si>
    <t>Maadi langouge school</t>
  </si>
  <si>
    <t>85033645</t>
  </si>
  <si>
    <t>30003150104525</t>
  </si>
  <si>
    <t>https://drive.google.com/open?id=1C2NYxIr8R18v-JVZMn9hiR2Ls4Ja4aUZ</t>
  </si>
  <si>
    <t>https://drive.google.com/open?id=1NdOsOJY65FuiQH0-62YPWOUJLTICTHSm</t>
  </si>
  <si>
    <t xml:space="preserve">يارا عبد الفتاح احمد عبد الفتاح </t>
  </si>
  <si>
    <t>7750333000054743</t>
  </si>
  <si>
    <t>EG340002077507750333000054743</t>
  </si>
  <si>
    <t>0775</t>
  </si>
  <si>
    <t xml:space="preserve">Aya omar saber Mohamed </t>
  </si>
  <si>
    <t>oaya04144@gmail.com</t>
  </si>
  <si>
    <t>201120787499</t>
  </si>
  <si>
    <t xml:space="preserve">ابن الخطاب </t>
  </si>
  <si>
    <t xml:space="preserve"> شبرا دائري بهتيم </t>
  </si>
  <si>
    <t>81080409</t>
  </si>
  <si>
    <t>29708081400182</t>
  </si>
  <si>
    <t>https://drive.google.com/open?id=1iQgXB_3MGa4HBzVFdHwFZim-HOpzCHIF</t>
  </si>
  <si>
    <t>https://drive.google.com/open?id=1OVgFb9MBlFSTBiDWn1C9vscVa5QiqFyr</t>
  </si>
  <si>
    <t>Aya Omar Saber Mohamed</t>
  </si>
  <si>
    <t xml:space="preserve">مدينه نصر </t>
  </si>
  <si>
    <t>059101252064</t>
  </si>
  <si>
    <t>EG160046010300000059101252064</t>
  </si>
  <si>
    <t xml:space="preserve">Eman Abdallah Mousa Tawfik </t>
  </si>
  <si>
    <t>emanabdallahmousa90@gmail.com</t>
  </si>
  <si>
    <t>201002770883</t>
  </si>
  <si>
    <t xml:space="preserve">Safwa language school </t>
  </si>
  <si>
    <t xml:space="preserve">Psychologist </t>
  </si>
  <si>
    <t>38965243</t>
  </si>
  <si>
    <t>29004230102681</t>
  </si>
  <si>
    <t>https://drive.google.com/open?id=1ItM-9vLDe5OaX35V89sv4KldsmdecBXb</t>
  </si>
  <si>
    <t>https://drive.google.com/open?id=1dtwVSi8Dg5Czww_85ITywgLHRjaKEIY1</t>
  </si>
  <si>
    <t xml:space="preserve">ايمان عبدالله موسى توفيق </t>
  </si>
  <si>
    <t>مدينة ١٥مايو</t>
  </si>
  <si>
    <t>0875001370181001014</t>
  </si>
  <si>
    <t>EG950003008750013701810010140</t>
  </si>
  <si>
    <t>0087</t>
  </si>
  <si>
    <t>Eslam Mohammed Ghanem</t>
  </si>
  <si>
    <t>اسلام محمد غانم</t>
  </si>
  <si>
    <t>Eslammohammed9@hotmail.com</t>
  </si>
  <si>
    <t>201014919890</t>
  </si>
  <si>
    <t>Nashwa Ahmed Mahmoud abdelmeged</t>
  </si>
  <si>
    <t xml:space="preserve">nashwaahmed11083@gmail.com </t>
  </si>
  <si>
    <t>201017299204</t>
  </si>
  <si>
    <t xml:space="preserve">Nile Egyption International school </t>
  </si>
  <si>
    <t xml:space="preserve">Head of Arabic department for kindergarten </t>
  </si>
  <si>
    <t>18313016</t>
  </si>
  <si>
    <t>28310011817968</t>
  </si>
  <si>
    <t>https://drive.google.com/open?id=1n5xEuhUaIFjTGfjQRp5WyknXwMOWxYM8</t>
  </si>
  <si>
    <t>https://drive.google.com/open?id=1VhqyLpflPfdiZemgty3ql6QqeB9PYIvt</t>
  </si>
  <si>
    <t xml:space="preserve">Nashwa Ahmed Mahmoud </t>
  </si>
  <si>
    <t>التحرير _بدر</t>
  </si>
  <si>
    <t>2470333000090410</t>
  </si>
  <si>
    <t>EG760002024702470333000090410</t>
  </si>
  <si>
    <t>0247</t>
  </si>
  <si>
    <t>Aya raafat Mohammed naguib</t>
  </si>
  <si>
    <t>ايه رافت محمد نجيب</t>
  </si>
  <si>
    <t>Posysadam@gmail.com</t>
  </si>
  <si>
    <t>https://drive.google.com/open?id=1lnuOkqNa98C5B8Iyp6ri2Z8XvZINhnsd</t>
  </si>
  <si>
    <t>https://drive.google.com/open?id=1r0pWAy30OuZS-Xc1adAhQqJQdLtBTv25</t>
  </si>
  <si>
    <t>امان رافت محمد نجيب</t>
  </si>
  <si>
    <t>215001623153500000</t>
  </si>
  <si>
    <t>E4.1 lecture hall</t>
  </si>
  <si>
    <t>Mona Adel Hussein Ali</t>
  </si>
  <si>
    <t>مني عادل حسين علي</t>
  </si>
  <si>
    <t>monaadel585@gmail.com</t>
  </si>
  <si>
    <t>201006112796</t>
  </si>
  <si>
    <t>Sama American school</t>
  </si>
  <si>
    <t>67359894</t>
  </si>
  <si>
    <t>28111168800462</t>
  </si>
  <si>
    <t>https://drive.google.com/open?id=16XEfTo0tAAiRsVbdLZAQhwyfP82N_o_b</t>
  </si>
  <si>
    <t>https://drive.google.com/open?id=1XNN_8I_6rMT7S1aWVy1JPOdF8xs96BIh</t>
  </si>
  <si>
    <t>MonaAdel Hussein</t>
  </si>
  <si>
    <t>Zahraa El Maadi</t>
  </si>
  <si>
    <t>1295000424390300017</t>
  </si>
  <si>
    <t>EG660003012950004243903000170</t>
  </si>
  <si>
    <t>Manar saad meaky atiia</t>
  </si>
  <si>
    <t>منار سعد مكى عطيه</t>
  </si>
  <si>
    <t>Saadmanar01@gmail.com</t>
  </si>
  <si>
    <t>201098899646</t>
  </si>
  <si>
    <t>جمال عبد الناصر المتميزه للغات</t>
  </si>
  <si>
    <t>Ict</t>
  </si>
  <si>
    <t>17122964</t>
  </si>
  <si>
    <t>28712230100689</t>
  </si>
  <si>
    <t>https://drive.google.com/open?id=1JTxk__cigY-rU0pw_CpcQEKDXxD-cfXy</t>
  </si>
  <si>
    <t>https://drive.google.com/open?id=1O09jQtkyIcjDH5i0qF8EpQVmIlcU2TPc</t>
  </si>
  <si>
    <t>Manar saad meky atiia</t>
  </si>
  <si>
    <t>تاون سنتر السلام</t>
  </si>
  <si>
    <t>8140333000015188</t>
  </si>
  <si>
    <t>EG150002081408140333000015188</t>
  </si>
  <si>
    <t>0814</t>
  </si>
  <si>
    <t>Janet Basem Anes Abdul Nour</t>
  </si>
  <si>
    <t>janetbasemanes.1919@gmail.com</t>
  </si>
  <si>
    <t>201025214722</t>
  </si>
  <si>
    <t xml:space="preserve">Rajac school international </t>
  </si>
  <si>
    <t xml:space="preserve">Social worker </t>
  </si>
  <si>
    <t xml:space="preserve"> none</t>
  </si>
  <si>
    <t>29902030101904</t>
  </si>
  <si>
    <t>https://drive.google.com/open?id=1GW4hEHNHSmv-LQibqMpSajVFDqWgldP0</t>
  </si>
  <si>
    <t>https://drive.google.com/open?id=1YgL1FwvY4CkG1__hxLCH_HjrYVi9nTPO</t>
  </si>
  <si>
    <t>جانيت باسم انيس عبد النور</t>
  </si>
  <si>
    <t>زهراء عين شمس</t>
  </si>
  <si>
    <t>0145001142401501018</t>
  </si>
  <si>
    <t>EG120003001450011424015010180</t>
  </si>
  <si>
    <t>Omnia Ahmed Mohamed</t>
  </si>
  <si>
    <t>امنية احمد محمد عبد المنعم ابو الفتوح</t>
  </si>
  <si>
    <t>omniaahmed010@gmail.com</t>
  </si>
  <si>
    <t>201112257721</t>
  </si>
  <si>
    <t>Manarat El Mostaqbal Language School - American Divion</t>
  </si>
  <si>
    <t>Examination Office Manger</t>
  </si>
  <si>
    <t>70663744</t>
  </si>
  <si>
    <t>001859016</t>
  </si>
  <si>
    <t>29101310103021</t>
  </si>
  <si>
    <t>https://drive.google.com/open?id=19OqL-sR5NRSi_kyAB0nJUyWRWhuMG06z</t>
  </si>
  <si>
    <t>https://drive.google.com/open?id=1qBjDh0kR_BaQPH-THRyBWj3hrwm9ne2w</t>
  </si>
  <si>
    <t>امنية احمد محمد عبد المنعم ابو الفتوح السمنودي</t>
  </si>
  <si>
    <t>زهراء المعادى</t>
  </si>
  <si>
    <t>0965001339722601015</t>
  </si>
  <si>
    <t>EG060003009650013397226010150</t>
  </si>
  <si>
    <t>Bassem Atef Salah gaballa</t>
  </si>
  <si>
    <t>باسم عاطف صلاح جابالله</t>
  </si>
  <si>
    <t>besoatef1991@gmail.com</t>
  </si>
  <si>
    <t>201202829270</t>
  </si>
  <si>
    <t xml:space="preserve">مدرسه ويندروز اكاديمي </t>
  </si>
  <si>
    <t xml:space="preserve">مدرس تربيه رياضيه </t>
  </si>
  <si>
    <t>73261744</t>
  </si>
  <si>
    <t>2712175</t>
  </si>
  <si>
    <t>29110098800319</t>
  </si>
  <si>
    <t>https://drive.google.com/open?id=1fyV26fxPbYLrlSaknn02amlacHgGhikq</t>
  </si>
  <si>
    <t>https://drive.google.com/open?id=1eoWq_nMqaLqSqWewOPIdIarEGIwi8xnp</t>
  </si>
  <si>
    <t xml:space="preserve">Bassem Atef Salah gaballa </t>
  </si>
  <si>
    <t>2350333000173359</t>
  </si>
  <si>
    <t>EG890002023502350333000173359</t>
  </si>
  <si>
    <t>0235</t>
  </si>
  <si>
    <t>D4.1</t>
  </si>
  <si>
    <t>Sherin Sherif Hassan Ahmed Khabiry</t>
  </si>
  <si>
    <t>sherinkhabiry900@gmail.com</t>
  </si>
  <si>
    <t>201098091014</t>
  </si>
  <si>
    <t>Al Andalus International School</t>
  </si>
  <si>
    <t>Science teacher.</t>
  </si>
  <si>
    <t>4788331</t>
  </si>
  <si>
    <t>27909140105601</t>
  </si>
  <si>
    <t>https://drive.google.com/open?id=1G7TvbxB--dYnlVeGmr8reZ5uyFBO5aKr</t>
  </si>
  <si>
    <t>https://drive.google.com/open?id=1S-f9trhzTuoTCk97y3Oi4jIhjpyEzd9U</t>
  </si>
  <si>
    <t xml:space="preserve">Maadi </t>
  </si>
  <si>
    <t>100032082787</t>
  </si>
  <si>
    <t>EG440010009200000100032082787</t>
  </si>
  <si>
    <t>0019</t>
  </si>
  <si>
    <t>Hager EsSam Mossad Elsayed</t>
  </si>
  <si>
    <t>هاجر عصام مسعد السيد</t>
  </si>
  <si>
    <t>hageressam146@gmail.com</t>
  </si>
  <si>
    <t>201022635684</t>
  </si>
  <si>
    <t>International college of benha</t>
  </si>
  <si>
    <t>Be team</t>
  </si>
  <si>
    <t>84257842</t>
  </si>
  <si>
    <t>3341293</t>
  </si>
  <si>
    <t>29911131701626</t>
  </si>
  <si>
    <t>https://drive.google.com/open?id=1yE05ZVqCyZIS2OIRm0gWBB2TXyE9A40D</t>
  </si>
  <si>
    <t>https://drive.google.com/open?id=1omxUhfAzHBtnix5ijB9bZ-GaXGGcNL7L</t>
  </si>
  <si>
    <t>MAHMOUD MOHAMED ELSAYED SHEBL ALI</t>
  </si>
  <si>
    <t>بنها</t>
  </si>
  <si>
    <t>1130532327419</t>
  </si>
  <si>
    <t>EG130037010708181130532327419</t>
  </si>
  <si>
    <t>D4.2</t>
  </si>
  <si>
    <t>Maggie Maher Kamal Abdollah</t>
  </si>
  <si>
    <t xml:space="preserve">ماجي ماهر كمال عبدالله </t>
  </si>
  <si>
    <t>maggiemaher970@gmail.com</t>
  </si>
  <si>
    <t>201554517046</t>
  </si>
  <si>
    <t xml:space="preserve">Good Shepherd </t>
  </si>
  <si>
    <t xml:space="preserve">English social studies teacher </t>
  </si>
  <si>
    <t>29807270102522</t>
  </si>
  <si>
    <t>https://drive.google.com/open?id=16X8WKBjWyyEqwlDvxqUeP6AQNr5_qLGZ</t>
  </si>
  <si>
    <t>https://drive.google.com/open?id=1bvsZ_Zdz6AkcHBd2tzEq-tu6GN_zj25a</t>
  </si>
  <si>
    <t>MAGGIE MAHER KAMAL ABD</t>
  </si>
  <si>
    <t>Hala sayed Ahmed Farghaly</t>
  </si>
  <si>
    <t xml:space="preserve">هالة سيد احمد فرغلى </t>
  </si>
  <si>
    <t>hala88454@gmail.com</t>
  </si>
  <si>
    <t>201285479578</t>
  </si>
  <si>
    <t>Sama Misr Languages</t>
  </si>
  <si>
    <t>Speech pathologist</t>
  </si>
  <si>
    <t>29001150103768</t>
  </si>
  <si>
    <t>https://drive.google.com/open?id=1EUd2BsAeC2NAtY3e2PuNoIAVXOlsOXJk</t>
  </si>
  <si>
    <t>https://drive.google.com/open?id=1-9iDco1NKROo8IB31LN7R9Kb8VmVR4Aq</t>
  </si>
  <si>
    <t>1110333000071931</t>
  </si>
  <si>
    <t>EG750002011101110333000071931</t>
  </si>
  <si>
    <t>Peter Shawky Fahmy Shenouda</t>
  </si>
  <si>
    <t>بيتر شوقي فهمي شنودة</t>
  </si>
  <si>
    <t>mr.peter.shawky@gmail.com</t>
  </si>
  <si>
    <t>201277403831</t>
  </si>
  <si>
    <t xml:space="preserve">Saint arsany language school </t>
  </si>
  <si>
    <t xml:space="preserve">computer supervisor </t>
  </si>
  <si>
    <t xml:space="preserve">not available </t>
  </si>
  <si>
    <t>28102200100096</t>
  </si>
  <si>
    <t>https://drive.google.com/open?id=1ZKwWVrzGuXfrN2pg4iN5yhlo7-HphUZ1</t>
  </si>
  <si>
    <t>https://drive.google.com/open?id=1-mUurAsMs6GnZN_9Kr7iryZlQs-u3Or4</t>
  </si>
  <si>
    <t xml:space="preserve">بيتر شوقي فهمي شنودة </t>
  </si>
  <si>
    <t>1185001778925700017</t>
  </si>
  <si>
    <t>EG770003011850017789257000170</t>
  </si>
  <si>
    <t>Rana Tarek Mohamed atya</t>
  </si>
  <si>
    <t>رنا طارق محمد عطية</t>
  </si>
  <si>
    <t>ranatarek847@gmail.com</t>
  </si>
  <si>
    <t>https://drive.google.com/open?id=1terTVEmqg3PmKaMyOCQ_oWW6_wDchkNU</t>
  </si>
  <si>
    <t>https://drive.google.com/open?id=1IColAvj4zdFMG7VuxeMGEaz4p3CTWBAK</t>
  </si>
  <si>
    <t>رنا طارق محمد عطية محمد</t>
  </si>
  <si>
    <t>1715000731207700000</t>
  </si>
  <si>
    <t>EG830003017150007312077010120</t>
  </si>
  <si>
    <t>E5.1 lecture hall</t>
  </si>
  <si>
    <t xml:space="preserve">Amal Mohamed Mahmoud Soliman </t>
  </si>
  <si>
    <t>basem.2008.84@gmail.com</t>
  </si>
  <si>
    <t>201273655420</t>
  </si>
  <si>
    <t>Shobban Muslemen Language Schools</t>
  </si>
  <si>
    <t>Head of Arabic Language Department</t>
  </si>
  <si>
    <t>28411071401028</t>
  </si>
  <si>
    <t>https://drive.google.com/open?id=17bejw-Cqdy1gNvQLRVvij3hxNQCiuAZf</t>
  </si>
  <si>
    <t>https://drive.google.com/open?id=1mmpWcNhCQAtN1rWxPPcExnlbjp8R9jZ8</t>
  </si>
  <si>
    <t>0180000012697</t>
  </si>
  <si>
    <t>EG640038001800000180000012697</t>
  </si>
  <si>
    <t>0018</t>
  </si>
  <si>
    <t>Basma Samir Salama Yousif</t>
  </si>
  <si>
    <t>بسمة سمير سلامه يوسف</t>
  </si>
  <si>
    <t>sbasma43@gmail.com</t>
  </si>
  <si>
    <t>201000406344</t>
  </si>
  <si>
    <t>Manarat Elmostaqbal Language School( American Division)</t>
  </si>
  <si>
    <t xml:space="preserve">Examination Office &amp; Map Coordinator </t>
  </si>
  <si>
    <t>019227338</t>
  </si>
  <si>
    <t>28810011410968</t>
  </si>
  <si>
    <t>https://drive.google.com/open?id=1RGI4uLKR7PC-VHHWQzCoGSEgOz5Ih6uP</t>
  </si>
  <si>
    <t>https://drive.google.com/open?id=1BEfKCQ6lAWbHVRHZ7G6U3P1OrhD87y5Q</t>
  </si>
  <si>
    <t xml:space="preserve">بسمة سمير سلامة يوسف </t>
  </si>
  <si>
    <t>0945101234537800018</t>
  </si>
  <si>
    <t>EG520003009451012345378000180</t>
  </si>
  <si>
    <t>0094</t>
  </si>
  <si>
    <t>Youstina Joseph Amin Youseph</t>
  </si>
  <si>
    <t>يوستينا جوزيف أمين يوسف</t>
  </si>
  <si>
    <t>Youstina_jo@yahoo.com</t>
  </si>
  <si>
    <t>201285343387</t>
  </si>
  <si>
    <t>Future pioneers language school</t>
  </si>
  <si>
    <t>29310040101126</t>
  </si>
  <si>
    <t>https://drive.google.com/open?id=1jJt-L6vERSBG1kYSqCJNlBPDAw12f2ge</t>
  </si>
  <si>
    <t>https://drive.google.com/open?id=1TKqoTepCyB9YzKQen3lYVn4cOilZuNeT</t>
  </si>
  <si>
    <t>1535000230488400011</t>
  </si>
  <si>
    <t>EG830003015350002304884000110</t>
  </si>
  <si>
    <t>Noha Abou Bakr Mohamed Ali</t>
  </si>
  <si>
    <t xml:space="preserve">نهي ابو بكر محمد علي </t>
  </si>
  <si>
    <t>nohaabakr@gmail.com</t>
  </si>
  <si>
    <t>201020936868</t>
  </si>
  <si>
    <t>57924002</t>
  </si>
  <si>
    <t>28004192102686</t>
  </si>
  <si>
    <t>https://drive.google.com/open?id=15egBchiRgbqHS-IQg0stxGHK4SRbZxW6</t>
  </si>
  <si>
    <t>https://drive.google.com/open?id=1M_IrlTBdASipaH6GyYRhcEQSApRpUSha</t>
  </si>
  <si>
    <t>Noha Abou BAKR Mohamed Ali</t>
  </si>
  <si>
    <t>1065000885224801018</t>
  </si>
  <si>
    <t>EG100003010650008852248010180</t>
  </si>
  <si>
    <t>Mai Atef Mohamed Shawky</t>
  </si>
  <si>
    <t>مى عاطف محمد شوقى</t>
  </si>
  <si>
    <t>maiatefshawki@gmail.com</t>
  </si>
  <si>
    <t>201229752659</t>
  </si>
  <si>
    <t>International college of Benha</t>
  </si>
  <si>
    <t>81364210</t>
  </si>
  <si>
    <t>29810261401526</t>
  </si>
  <si>
    <t>https://drive.google.com/open?id=170ILeHyqDoGl3cyIG4Q2j7YjqnDj2C_S</t>
  </si>
  <si>
    <t>https://drive.google.com/open?id=18oROhHmxtNctmFr6y-Q_qSy-s2nT7j3e</t>
  </si>
  <si>
    <t>MAI ATEF MOHAMED SHAWKY</t>
  </si>
  <si>
    <t>بنها ببساطة</t>
  </si>
  <si>
    <t>1020620517735</t>
  </si>
  <si>
    <t>EG420037002708181020620517735</t>
  </si>
  <si>
    <t>F2.8 Political Science</t>
  </si>
  <si>
    <t>Mohamed Khaled Maghawry</t>
  </si>
  <si>
    <t>محمد خالد مغاورى محمود</t>
  </si>
  <si>
    <t>mohamed.khaled@york-press.com</t>
  </si>
  <si>
    <t>201226534502</t>
  </si>
  <si>
    <t>1123225210010101</t>
  </si>
  <si>
    <t>Future University Faculty of Political Science</t>
  </si>
  <si>
    <t>Aya Ayman Ahmed Khalifa</t>
  </si>
  <si>
    <t>ayayoyoooo16@gmail.com</t>
  </si>
  <si>
    <t>201060573628</t>
  </si>
  <si>
    <t>Social Media Specialist</t>
  </si>
  <si>
    <t>https://drive.google.com/open?id=1GvrqFCEIq6KweUEeQ3eDl7ItmFK4JZZt</t>
  </si>
  <si>
    <t>https://drive.google.com/open?id=1jyAtW7RKY0HRSyoHJToqZorSUszG5W5C</t>
  </si>
  <si>
    <t>100055084151</t>
  </si>
  <si>
    <t>EG110010001200000100055084151</t>
  </si>
  <si>
    <t>youssef Ashraf Galal</t>
  </si>
  <si>
    <t>يوسف اشرف جلال</t>
  </si>
  <si>
    <t>yossefdabor@gmail.com</t>
  </si>
  <si>
    <t>201111371248</t>
  </si>
  <si>
    <t>Aly rabei Awad</t>
  </si>
  <si>
    <t>على ربيع عوض</t>
  </si>
  <si>
    <t>alirabei1975@gmail.com</t>
  </si>
  <si>
    <t>201009375076</t>
  </si>
  <si>
    <t>ASMAA AHMED METWALY Attia</t>
  </si>
  <si>
    <t xml:space="preserve">اسماء احمد متولي عطية </t>
  </si>
  <si>
    <t>somasmsm1211@gmail.com</t>
  </si>
  <si>
    <t>201122215350</t>
  </si>
  <si>
    <t xml:space="preserve"> High school Teacher </t>
  </si>
  <si>
    <t>29611130101427</t>
  </si>
  <si>
    <t>https://drive.google.com/open?id=1BNlcJKbnvXZ8lXgG3EsNvZ-MnYRQLaIi</t>
  </si>
  <si>
    <t>https://drive.google.com/open?id=1rKzPdSgxoOofy_xMIotP-Dot4w0SDu9n</t>
  </si>
  <si>
    <t>Golf city mall el-obour</t>
  </si>
  <si>
    <t>100050691793</t>
  </si>
  <si>
    <t>EG030010011800000100050691793</t>
  </si>
  <si>
    <t>F1.2 lecture hall</t>
  </si>
  <si>
    <t>Salma omer Shawky Mahmoud</t>
  </si>
  <si>
    <t>سلمى عمر شوقي محمود</t>
  </si>
  <si>
    <t>salmaomershawky@gmail.com</t>
  </si>
  <si>
    <t>201227117607</t>
  </si>
  <si>
    <t>30207230105446</t>
  </si>
  <si>
    <t>https://drive.google.com/open?id=1osEVKbkYsBRYe0uKideWdgh6Ik5IWKUR</t>
  </si>
  <si>
    <t>https://drive.google.com/open?id=1AyzVGDiTxZEpqQObgdV9KNq5I7GN2MeQ</t>
  </si>
  <si>
    <t>Helwan station branch</t>
  </si>
  <si>
    <t>475081826822000000</t>
  </si>
  <si>
    <t>EG810003004750818268220000180</t>
  </si>
  <si>
    <t xml:space="preserve">Marina samir ouza ebeid </t>
  </si>
  <si>
    <t>مارينا سمير عوزه عبيد</t>
  </si>
  <si>
    <t>mrmrsamir8981@yahoo.com</t>
  </si>
  <si>
    <t>201285313543</t>
  </si>
  <si>
    <t>Mastery International School</t>
  </si>
  <si>
    <t>28911180103641</t>
  </si>
  <si>
    <t>https://drive.google.com/open?id=1Mzzh-Ocb6ZiuxnNuC7kyU2CSp1-ATG92</t>
  </si>
  <si>
    <t>https://drive.google.com/open?id=1v4_QXVwdEt_yH6g8K8DZ9rQ7SkjY8aDE</t>
  </si>
  <si>
    <t>Marina samir ouza ebeid</t>
  </si>
  <si>
    <t>Hassan el maamoun</t>
  </si>
  <si>
    <t>0535000424640700012</t>
  </si>
  <si>
    <t>EG730003005350004246407000120</t>
  </si>
  <si>
    <t>0053</t>
  </si>
  <si>
    <t>Hisham Abdal Salam Mohamed Youssef</t>
  </si>
  <si>
    <t>هشام عبدالسلام محمد يوسف</t>
  </si>
  <si>
    <t>hshamalkhdry12@gmail.com</t>
  </si>
  <si>
    <t>201148891251</t>
  </si>
  <si>
    <t>Social Studies Teacher</t>
  </si>
  <si>
    <t>67810936</t>
  </si>
  <si>
    <t>28201010114951</t>
  </si>
  <si>
    <t>https://drive.google.com/open?id=13C0KMbRnLlzG3QDQql51oDVvV8HAJLZl</t>
  </si>
  <si>
    <t>https://drive.google.com/open?id=1hPVluAyVsRzNACvyQ7gsM4OkYkl7g99F</t>
  </si>
  <si>
    <t xml:space="preserve">مدينة نصر </t>
  </si>
  <si>
    <t>100045837558</t>
  </si>
  <si>
    <t>EG450010011000000100045837558</t>
  </si>
  <si>
    <t>Walaa Hussien Hassan khalil</t>
  </si>
  <si>
    <t xml:space="preserve">ولاء حسين حسن خليل </t>
  </si>
  <si>
    <t>elgabalawyw@gmail.com</t>
  </si>
  <si>
    <t>201001119021</t>
  </si>
  <si>
    <t>New Cairo Educational Administration</t>
  </si>
  <si>
    <t>Administrative development researcher</t>
  </si>
  <si>
    <t>28001290101109</t>
  </si>
  <si>
    <t>https://drive.google.com/open?id=1y97aiLJdVDVk9quBZNTu6seFBi5oZd5K</t>
  </si>
  <si>
    <t>https://drive.google.com/open?id=1nLKgO2CsHrMxDn945mvL4SuBjxN6-i2L</t>
  </si>
  <si>
    <t>4880333000048439</t>
  </si>
  <si>
    <t>EG060002048804880333000048439</t>
  </si>
  <si>
    <t>0488</t>
  </si>
  <si>
    <t>Safaa Abdalsamea Othman assi</t>
  </si>
  <si>
    <t>صفاء عبدالسميع عثمان عاصى</t>
  </si>
  <si>
    <t>Safyalassy@gmail.com</t>
  </si>
  <si>
    <t>201111991091</t>
  </si>
  <si>
    <t>Al orman smart school</t>
  </si>
  <si>
    <t>Soical studies teacher</t>
  </si>
  <si>
    <t>20087337</t>
  </si>
  <si>
    <t>28211150104684</t>
  </si>
  <si>
    <t>https://drive.google.com/open?id=1fU1_Z8egGruTsKXLZKhaiu43qNLYlUcH</t>
  </si>
  <si>
    <t>https://drive.google.com/open?id=1PYOBTdBtaxnk48G5V5sNsX76qoK9fXga</t>
  </si>
  <si>
    <t>Safaa Abdalsamea othman</t>
  </si>
  <si>
    <t>شارع ٩ المعادى</t>
  </si>
  <si>
    <t>0615001800732200015</t>
  </si>
  <si>
    <t>EG610003006150018007322000150</t>
  </si>
  <si>
    <t>0061</t>
  </si>
  <si>
    <t>Hadia Amir Mohamed Abdeldayem</t>
  </si>
  <si>
    <t>هادية امير محمد عبد الدايم</t>
  </si>
  <si>
    <t>hadia.amir@hotepis.edu.eg</t>
  </si>
  <si>
    <t>201126989432</t>
  </si>
  <si>
    <t>Head of Math Department</t>
  </si>
  <si>
    <t>085037094</t>
  </si>
  <si>
    <t>26510258800067</t>
  </si>
  <si>
    <t>https://drive.google.com/open?id=1ytNiZCJVbviqjKaNwG4VwRwFICjileUy</t>
  </si>
  <si>
    <t>https://drive.google.com/open?id=1sUmMhr41Y_HMhliCTzaplDSVkqAuoFmt</t>
  </si>
  <si>
    <t>Sherouk City</t>
  </si>
  <si>
    <t>100041297128</t>
  </si>
  <si>
    <t>EG850010011800000100041297128</t>
  </si>
  <si>
    <t>F2.2 lecture hall</t>
  </si>
  <si>
    <t>Dina Muhammad Mostafa Attia</t>
  </si>
  <si>
    <t>دينا محمد مصطفي عطية</t>
  </si>
  <si>
    <t>dinamostafaattia@gmail.com</t>
  </si>
  <si>
    <t>201117112502</t>
  </si>
  <si>
    <t xml:space="preserve">Harvard Egypt College </t>
  </si>
  <si>
    <t>29610232100763</t>
  </si>
  <si>
    <t>https://drive.google.com/open?id=1lV-6QKSu3cWltiXzFsgq7gBKYo6RqSkn</t>
  </si>
  <si>
    <t>https://drive.google.com/open?id=1UIjl-fODagw4gDJ-bYXOEoESx3bYd4hm</t>
  </si>
  <si>
    <t>001524750013</t>
  </si>
  <si>
    <t>EG650025000100000001524750013</t>
  </si>
  <si>
    <t>Nevine Samir Anis Tadros</t>
  </si>
  <si>
    <t>Nevine_nova65@hotmail.com</t>
  </si>
  <si>
    <t>201223326296</t>
  </si>
  <si>
    <t>IG EXAMS PROCTER</t>
  </si>
  <si>
    <t>19447633</t>
  </si>
  <si>
    <t>26506120100041</t>
  </si>
  <si>
    <t>https://drive.google.com/open?id=1NViMH9OmRm4nOVZX1kVgnAr2rTPMOtMm</t>
  </si>
  <si>
    <t>https://drive.google.com/open?id=12fHe-_WDrPtgOruyiG86Yah2vWKhDgLa</t>
  </si>
  <si>
    <t>الجولف</t>
  </si>
  <si>
    <t>1385000434342300014</t>
  </si>
  <si>
    <t>EG840003013850004343423000140</t>
  </si>
  <si>
    <t>Janet Girges Habib Yassa</t>
  </si>
  <si>
    <t>جانيت جرجس حبيب يسي</t>
  </si>
  <si>
    <t>Janoo82.jg@gmail.com</t>
  </si>
  <si>
    <t>201284817457</t>
  </si>
  <si>
    <t>St. George for girls School</t>
  </si>
  <si>
    <t>54713487</t>
  </si>
  <si>
    <t>28207120100962</t>
  </si>
  <si>
    <t>https://drive.google.com/open?id=18k_QM-5pCL7jlBPP7_kvNvAIh-seCLoO</t>
  </si>
  <si>
    <t>https://drive.google.com/open?id=1gCJf6T-Xgm2FxSZDmQLtLam52-toPs28</t>
  </si>
  <si>
    <t>جانيت جرجس حبيب يسى مقار</t>
  </si>
  <si>
    <t xml:space="preserve">فيكتوريا </t>
  </si>
  <si>
    <t>0595000937065301017</t>
  </si>
  <si>
    <t>EG920003005950009370653010170</t>
  </si>
  <si>
    <t>CATHERINE KAMAL KAMEL TOUS</t>
  </si>
  <si>
    <t>كاترين كمال كامل طوس</t>
  </si>
  <si>
    <t>Catherinekamal90@gmail.com</t>
  </si>
  <si>
    <t>201221346612</t>
  </si>
  <si>
    <t>Capital international schools</t>
  </si>
  <si>
    <t>080241709</t>
  </si>
  <si>
    <t>29009292103324</t>
  </si>
  <si>
    <t>https://drive.google.com/open?id=13cLRqVNMJxT_BVikbMd34-uSSJ6TQRgG</t>
  </si>
  <si>
    <t>https://drive.google.com/open?id=1j7o-b8l55CL5y1-Zo_YlicuhgQP8xzN_</t>
  </si>
  <si>
    <t>1020603852935</t>
  </si>
  <si>
    <t>EG100037002708181020603852935</t>
  </si>
  <si>
    <t>Nihad Maamoun Abbas Ali  A.Helwa</t>
  </si>
  <si>
    <t>nehadabohelwa@gmail.com</t>
  </si>
  <si>
    <t>201220190806</t>
  </si>
  <si>
    <t xml:space="preserve">AL Retaj International School </t>
  </si>
  <si>
    <t xml:space="preserve">CO-ORDINATOR </t>
  </si>
  <si>
    <t>27404060100662</t>
  </si>
  <si>
    <t>https://drive.google.com/open?id=1FqYU9YpKQ-NlAxzb7TcyNI3WC-aAHNuW</t>
  </si>
  <si>
    <t>https://drive.google.com/open?id=162y5ap4sKLBjGVOWUylpwUiP2vV2q_Sv</t>
  </si>
  <si>
    <t>Nehad Mamoan Abass</t>
  </si>
  <si>
    <t>NASR CITY -Abbass Al Akhad</t>
  </si>
  <si>
    <t>4660333000074827</t>
  </si>
  <si>
    <t>EG490002046604660333000074827</t>
  </si>
  <si>
    <t>0466</t>
  </si>
  <si>
    <t>Hebatullah sanea ouda</t>
  </si>
  <si>
    <t xml:space="preserve">هبة الله صانع عودة </t>
  </si>
  <si>
    <t>Hebasanea49@gmail.com</t>
  </si>
  <si>
    <t>201115693821</t>
  </si>
  <si>
    <t xml:space="preserve">Egypt British International School </t>
  </si>
  <si>
    <t xml:space="preserve">IT Technician </t>
  </si>
  <si>
    <t>28911170104003</t>
  </si>
  <si>
    <t>https://drive.google.com/open?id=1zeMxE65UXGSnIa8n9_zFpr6XvzQ52_xp</t>
  </si>
  <si>
    <t>https://drive.google.com/open?id=1ITvrwfc-Z5I0AbndkU7iTAzsMNR87sfw</t>
  </si>
  <si>
    <t>Hebatullah sanea ouda amr</t>
  </si>
  <si>
    <t>100054625345</t>
  </si>
  <si>
    <t>EG410010011000000100054625345</t>
  </si>
  <si>
    <t>F3.1 lecture hall</t>
  </si>
  <si>
    <t>Wafaa Ahmed Abdel Aziz</t>
  </si>
  <si>
    <t>وفاء احمد عبد العزيز عبد الحميد</t>
  </si>
  <si>
    <t>hh0236906@gmail.com</t>
  </si>
  <si>
    <t>201090893311</t>
  </si>
  <si>
    <t>Skills teacher</t>
  </si>
  <si>
    <t>https://drive.google.com/open?id=1YcxvfWG52uQwW2bvRcvTjr8kXqRFk9eS</t>
  </si>
  <si>
    <t>https://drive.google.com/open?id=1Tzh2gyLkugNS1mcOnmVJpthZkpwH0e6-</t>
  </si>
  <si>
    <t>WAfAA AHMED ABDELAZIZ</t>
  </si>
  <si>
    <t>Mohamed Khaled Farghaly Mohamed</t>
  </si>
  <si>
    <t xml:space="preserve">محمد خالد فرغلي محمد </t>
  </si>
  <si>
    <t>mr.farghly97@gmail.com</t>
  </si>
  <si>
    <t>201142918239</t>
  </si>
  <si>
    <t>Roots school</t>
  </si>
  <si>
    <t>79320471</t>
  </si>
  <si>
    <t>29704140100893</t>
  </si>
  <si>
    <t>https://drive.google.com/open?id=1Kxj8NjzvBVrFXzVN8w0q72zwzM6Ig-c9</t>
  </si>
  <si>
    <t>https://drive.google.com/open?id=1Mk65dtroLo3_JZtm-ukzwOew8sgB62m4</t>
  </si>
  <si>
    <t>محمد خالد فرغلي محمد عبدالنعيم</t>
  </si>
  <si>
    <t>الحمد مول</t>
  </si>
  <si>
    <t>0515001690980500012</t>
  </si>
  <si>
    <t>EG160003005150016909805000120</t>
  </si>
  <si>
    <t>0051</t>
  </si>
  <si>
    <t>F3.2 lecture hall</t>
  </si>
  <si>
    <t>Marlene gamal barsoum youssef</t>
  </si>
  <si>
    <t>مارلين جمال برسوم يوسف</t>
  </si>
  <si>
    <t>Marlygb89@gmail.com</t>
  </si>
  <si>
    <t>201224583037</t>
  </si>
  <si>
    <t>Sun of glory</t>
  </si>
  <si>
    <t>32892557</t>
  </si>
  <si>
    <t>28909010100104</t>
  </si>
  <si>
    <t>https://drive.google.com/open?id=1KT_MFZXgw15J2fsygSOwWG7gX8wEvGH8</t>
  </si>
  <si>
    <t>https://drive.google.com/open?id=10R20yhqTk-hwZkDsH8bR5quGOOm8TRew</t>
  </si>
  <si>
    <t>1065010595042400016</t>
  </si>
  <si>
    <t>EG960003010650105950424000160</t>
  </si>
  <si>
    <t xml:space="preserve">Ahmed Ibrahim Badr Hussein </t>
  </si>
  <si>
    <t>ahmedbadrelzahar@gmail.com</t>
  </si>
  <si>
    <t>201011528066</t>
  </si>
  <si>
    <t>Mokattam International Language School (MILS)</t>
  </si>
  <si>
    <t>331/501/260</t>
  </si>
  <si>
    <t>28703190100398</t>
  </si>
  <si>
    <t>https://drive.google.com/open?id=1AE3a0JwMUdp5tjeGXklLbWidG5vTG8rG</t>
  </si>
  <si>
    <t>https://drive.google.com/open?id=1HGDWoZKDSSI8g317h55ZUqGZPnEnGp6V</t>
  </si>
  <si>
    <t xml:space="preserve">Ahmed Ibrahim Badr Hussein Ahmed </t>
  </si>
  <si>
    <t>المقطم شارع 9</t>
  </si>
  <si>
    <t>0590001390784</t>
  </si>
  <si>
    <t>EG540038005900000590001390784</t>
  </si>
  <si>
    <t>Amr Muhammad Afifi Ghoneim</t>
  </si>
  <si>
    <t xml:space="preserve">عمرو محمد عفيفي غنيم </t>
  </si>
  <si>
    <t>amrafifi033@gmail.com</t>
  </si>
  <si>
    <t>201095703000</t>
  </si>
  <si>
    <t>مدرسه البريطانيه</t>
  </si>
  <si>
    <t xml:space="preserve">سوبر فايزر </t>
  </si>
  <si>
    <t>58244413</t>
  </si>
  <si>
    <t>374*333*947</t>
  </si>
  <si>
    <t>28107230102052</t>
  </si>
  <si>
    <t>https://drive.google.com/open?id=1gZy43_bfFeefaAqw9akmwq25Y7VPt5Kt</t>
  </si>
  <si>
    <t>https://drive.google.com/open?id=1moGdGZ0W0jpyR99fx1jmYWjZES-mrx1b</t>
  </si>
  <si>
    <t>عمرو محمد عفيفى غنيم</t>
  </si>
  <si>
    <t>جولف سيتى العبور</t>
  </si>
  <si>
    <t>0415000133698300017</t>
  </si>
  <si>
    <t>EG830003004150001336983000170</t>
  </si>
  <si>
    <t xml:space="preserve">Elsayed Refaat Hilal Ibrahim </t>
  </si>
  <si>
    <t xml:space="preserve">السيد رفعت هلال ابراهيم </t>
  </si>
  <si>
    <t>Sayed.askar1991@gmail.com</t>
  </si>
  <si>
    <t>201068181388</t>
  </si>
  <si>
    <t xml:space="preserve">Privilege language school </t>
  </si>
  <si>
    <t>74726617</t>
  </si>
  <si>
    <t>29108271300713</t>
  </si>
  <si>
    <t>https://drive.google.com/open?id=1-QaZL8kmYdzIav65-mw8hzMV54z_lMGw</t>
  </si>
  <si>
    <t>https://drive.google.com/open?id=1N91n0sENgNyYR-zHpgQcLsuQ19tRMjRv</t>
  </si>
  <si>
    <t xml:space="preserve">Elsayed Rifaat Hilal Ibrahim </t>
  </si>
  <si>
    <t>111367282001</t>
  </si>
  <si>
    <t>EG750005101100000111367282001</t>
  </si>
  <si>
    <t xml:space="preserve">Manar mahmoud hemdan mahmoud </t>
  </si>
  <si>
    <t xml:space="preserve">منار محمود حمدان محمود </t>
  </si>
  <si>
    <t>manarfaramawy91@gmail.com</t>
  </si>
  <si>
    <t>201156467935</t>
  </si>
  <si>
    <t xml:space="preserve">السيده عائشه </t>
  </si>
  <si>
    <t>84469101</t>
  </si>
  <si>
    <t>30004100105721</t>
  </si>
  <si>
    <t>https://drive.google.com/open?id=1DeI3OKB5QhSzoQpiwGCnpLq_6sj4HsFC</t>
  </si>
  <si>
    <t>https://drive.google.com/open?id=1LFqUKhHzm9APSeaCQkcYZ0GGuLPWWbvx</t>
  </si>
  <si>
    <t>Manar mahmoud hamdan</t>
  </si>
  <si>
    <t>الشمس</t>
  </si>
  <si>
    <t>4840332000002382</t>
  </si>
  <si>
    <t>EG510002048404840332000002382</t>
  </si>
  <si>
    <t>0484</t>
  </si>
  <si>
    <t>F3.5 lecture hall</t>
  </si>
  <si>
    <t>Sabry Ali Sarhan Goda</t>
  </si>
  <si>
    <t>صبرى على سرحان جوده</t>
  </si>
  <si>
    <t>sabry.a.sarhan@gmail.com</t>
  </si>
  <si>
    <t>201016650348</t>
  </si>
  <si>
    <t>مدرسة القدس</t>
  </si>
  <si>
    <t>مدرس</t>
  </si>
  <si>
    <t>https://drive.google.com/open?id=1H5iBGeYMc5cFQ6tW9H1pTQ4FhMMfoLd_</t>
  </si>
  <si>
    <t>https://drive.google.com/open?id=196DeBkD9bAU0gK3AQv95ONPKZOpAUoHA</t>
  </si>
  <si>
    <t>mohamed fathy salem elakel</t>
  </si>
  <si>
    <t>محمد فتحي سالم السيد العاقل</t>
  </si>
  <si>
    <t>Fat7y858@gmail.com</t>
  </si>
  <si>
    <t>201001341954</t>
  </si>
  <si>
    <t>مدرسة رجاك للغات</t>
  </si>
  <si>
    <t>16759246</t>
  </si>
  <si>
    <t>28701061403632</t>
  </si>
  <si>
    <t>https://drive.google.com/open?id=1e0fhHtpZC6_8OORbycKSaTcXzCNIRplx</t>
  </si>
  <si>
    <t>https://drive.google.com/open?id=1AjRaZ7lGAfgqQPUkE2Y5TpP4ZEpDm6OV</t>
  </si>
  <si>
    <t xml:space="preserve">Elobour </t>
  </si>
  <si>
    <t>EG100019002300000003286040001</t>
  </si>
  <si>
    <t>F3.6 lecture hall</t>
  </si>
  <si>
    <t>Sagda tarek fathy abdel maksod</t>
  </si>
  <si>
    <t xml:space="preserve">سجدة طارق فتحي عبد المقصود </t>
  </si>
  <si>
    <t>sagdatarek14@gmail.com</t>
  </si>
  <si>
    <t>201113335751</t>
  </si>
  <si>
    <t xml:space="preserve">Own Heliopolis Language School </t>
  </si>
  <si>
    <t>29501140101948</t>
  </si>
  <si>
    <t>https://drive.google.com/open?id=14iSBRoqUW9dI2hgmjLUGX9NtWdoehzUy</t>
  </si>
  <si>
    <t>https://drive.google.com/open?id=159G4mtmDP5CQPNxuUmp4R2dLmYvaOV8S</t>
  </si>
  <si>
    <t>Sagda Tarek fathy abdel maksod</t>
  </si>
  <si>
    <t>أهالينا ٢</t>
  </si>
  <si>
    <t>6075001653125200013</t>
  </si>
  <si>
    <t>EG780003060750016531252000130</t>
  </si>
  <si>
    <t>0607</t>
  </si>
  <si>
    <t>Ahmed Mohamed Aly Farghaly</t>
  </si>
  <si>
    <t>احمد محمد علي فرغلي</t>
  </si>
  <si>
    <t>ahmedelsewisy60@gmail.com</t>
  </si>
  <si>
    <t>201012345274</t>
  </si>
  <si>
    <t>Futures</t>
  </si>
  <si>
    <t>5737932</t>
  </si>
  <si>
    <t>https://drive.google.com/open?id=1aLfPGSOjiRl6-0Y48KZnVhqYjkdxvsll</t>
  </si>
  <si>
    <t>https://drive.google.com/open?id=1_RDdNV3Vq6vZbceDIa3wpoxL1vyQjhqE</t>
  </si>
  <si>
    <t>الرحاب ٢</t>
  </si>
  <si>
    <t>1783855700013</t>
  </si>
  <si>
    <t>EG230003014850017838557000130</t>
  </si>
  <si>
    <t>Saleh Othman Saleh</t>
  </si>
  <si>
    <t>صالح عثمان صالح عثمان</t>
  </si>
  <si>
    <t>saleh.osman@york-press.com</t>
  </si>
  <si>
    <t>201000722494</t>
  </si>
  <si>
    <t>30</t>
  </si>
  <si>
    <t>NouRHAN GAMAL AHMED HASAN</t>
  </si>
  <si>
    <t>نورهان جمال احمد حسن</t>
  </si>
  <si>
    <t>nwrhanjmal 652@gmail.Com</t>
  </si>
  <si>
    <t>201142607945</t>
  </si>
  <si>
    <t>Own Heliopolis school</t>
  </si>
  <si>
    <t>ArabickGteacher</t>
  </si>
  <si>
    <t>29402220104141</t>
  </si>
  <si>
    <t>https://drive.google.com/open?id=1TDGoc6em2pMcjhtUSHCq_Y2t36ZeCJZ7</t>
  </si>
  <si>
    <t>https://drive.google.com/open?id=1FFh2YKYTxG8pwwcSzt_Ylw8o7EVt7WkB</t>
  </si>
  <si>
    <t>7830333000060820</t>
  </si>
  <si>
    <t>EG390002078307830333000060825</t>
  </si>
  <si>
    <t>Walid khalil abdullah hasanain</t>
  </si>
  <si>
    <t xml:space="preserve">وليد خليل عبدالله حسانين </t>
  </si>
  <si>
    <t>Wallidkhalil1964@gmail.com</t>
  </si>
  <si>
    <t>201097733393</t>
  </si>
  <si>
    <t>New kasr el aini teaching</t>
  </si>
  <si>
    <t>Translator</t>
  </si>
  <si>
    <t>26408100102495</t>
  </si>
  <si>
    <t>https://drive.google.com/open?id=1xiZIF9HX9TVMIzPAFAbu8FxHjngBicPG</t>
  </si>
  <si>
    <t>https://drive.google.com/open?id=16Xi0WvLYXja9Gu4AGmoVgS9cCs4Gw6SZ</t>
  </si>
  <si>
    <t>الروضة</t>
  </si>
  <si>
    <t>1175000022886300012</t>
  </si>
  <si>
    <t>EG750003011750000228863000120</t>
  </si>
  <si>
    <t>0117</t>
  </si>
  <si>
    <t>F4.2 lecture hall</t>
  </si>
  <si>
    <t>Zeinab Elsayed Mohamed elsayed</t>
  </si>
  <si>
    <t>زينب السيد محمد السيد</t>
  </si>
  <si>
    <t>omar7abiby9@gmail.com</t>
  </si>
  <si>
    <t>201286655802</t>
  </si>
  <si>
    <t>Pioneer integrated schools</t>
  </si>
  <si>
    <t xml:space="preserve">Students affairs of American division </t>
  </si>
  <si>
    <t>61084568</t>
  </si>
  <si>
    <t>28611150105603</t>
  </si>
  <si>
    <t>https://drive.google.com/open?id=1kUk_zCWi-DdkZkNQrjp_3T8hoPY6U8hJ</t>
  </si>
  <si>
    <t>https://drive.google.com/open?id=1AfhoMcyOiLDEWt_nSdB0spV4RA7UvyEL</t>
  </si>
  <si>
    <t>zenab elsayed mohamed elsayed</t>
  </si>
  <si>
    <t>1002990460010201</t>
  </si>
  <si>
    <t>EG600057028101002990460010201</t>
  </si>
  <si>
    <t>0281</t>
  </si>
  <si>
    <t>Elham Abd elaziz Abdou Elshamy</t>
  </si>
  <si>
    <t>الهام عبد العزيز عبده الشامى</t>
  </si>
  <si>
    <t>elhamelshamy1@gmail.com</t>
  </si>
  <si>
    <t>201023486466</t>
  </si>
  <si>
    <t xml:space="preserve">المركز القومى </t>
  </si>
  <si>
    <t>prof. Dr.</t>
  </si>
  <si>
    <t>26401120100648</t>
  </si>
  <si>
    <t>https://drive.google.com/open?id=1hFU70r4CWxwdss8tt0k8j7rrU4SSHbPY</t>
  </si>
  <si>
    <t>https://drive.google.com/open?id=1HcjAtD6Xp6S24lBj0HIMqO8CH84R-0tT</t>
  </si>
  <si>
    <t>ثروت</t>
  </si>
  <si>
    <t>0035000072574200015</t>
  </si>
  <si>
    <t>EG040003000350000725742000150</t>
  </si>
  <si>
    <t xml:space="preserve">Nesma Mohamed Mostafa Mohamed </t>
  </si>
  <si>
    <t xml:space="preserve">نسمه محمد مصطفي محمد </t>
  </si>
  <si>
    <t>green.eyes20092010@gmail.com</t>
  </si>
  <si>
    <t>201116825960</t>
  </si>
  <si>
    <t xml:space="preserve">Administrator </t>
  </si>
  <si>
    <t>261105090</t>
  </si>
  <si>
    <t>28810010300743</t>
  </si>
  <si>
    <t>https://drive.google.com/open?id=1dGBRbwrDLnURmwKThO0tlthdNjyid5i0</t>
  </si>
  <si>
    <t>https://drive.google.com/open?id=1VB8j3MI5_8ISwYtqsiJq9i2AUZGyWww-</t>
  </si>
  <si>
    <t xml:space="preserve">NESMA MOHAMED MOSTAFA </t>
  </si>
  <si>
    <t>4960333000053427</t>
  </si>
  <si>
    <t>EG610002049604960333000053427</t>
  </si>
  <si>
    <t>0496</t>
  </si>
  <si>
    <t>Mina karim salim louka</t>
  </si>
  <si>
    <t>مينا كريم سالم لوقا</t>
  </si>
  <si>
    <t>menakarem007@gmail.com‏</t>
  </si>
  <si>
    <t>201225668409</t>
  </si>
  <si>
    <t>مدرسة سانت فاتيما</t>
  </si>
  <si>
    <t>47327925</t>
  </si>
  <si>
    <t>28310300100036</t>
  </si>
  <si>
    <t>https://drive.google.com/open?id=1HcegO3xiYQ5sbrbYfYgoLnvM1wUQL4Gn</t>
  </si>
  <si>
    <t>https://drive.google.com/open?id=1q7FuUkcN8TyteBoNr18IOdQnuJ0UaMOB</t>
  </si>
  <si>
    <t>ذاكر حسين</t>
  </si>
  <si>
    <t>0535000386483300016</t>
  </si>
  <si>
    <t>EG240003005350003864833000160</t>
  </si>
  <si>
    <t>Hedaya Allah Ramy Abdelhamid</t>
  </si>
  <si>
    <t xml:space="preserve">هداية الله رامي عبدالحميد حسن </t>
  </si>
  <si>
    <t>hedayaramy@gmail.com</t>
  </si>
  <si>
    <t>201023538528</t>
  </si>
  <si>
    <t>68183659</t>
  </si>
  <si>
    <t>28706112102804</t>
  </si>
  <si>
    <t>https://drive.google.com/open?id=1q2PR9nOc_DCCqXxaZ5halxo7-V_IRCs1</t>
  </si>
  <si>
    <t>https://drive.google.com/open?id=1oiFZo_fFLJSOCdvBqgXEicKBcX3ieBFD</t>
  </si>
  <si>
    <t>Hedaya Allah Rami Abdelhamed</t>
  </si>
  <si>
    <t>100055699563</t>
  </si>
  <si>
    <t>EG650010011800000100055699563</t>
  </si>
  <si>
    <t>F4.3 lecture hall</t>
  </si>
  <si>
    <t xml:space="preserve">Mahmoud magdy el sayed abu muslim </t>
  </si>
  <si>
    <t xml:space="preserve">محمود مجدي السيد ابومسلم </t>
  </si>
  <si>
    <t>Dr.mahmoud.abomosalam@gmail.com</t>
  </si>
  <si>
    <t>201008290891</t>
  </si>
  <si>
    <t xml:space="preserve">Albashaer International School </t>
  </si>
  <si>
    <t xml:space="preserve">Physical Education Teacher </t>
  </si>
  <si>
    <t>040696862</t>
  </si>
  <si>
    <t>200011502</t>
  </si>
  <si>
    <t>29007301700192</t>
  </si>
  <si>
    <t>https://drive.google.com/open?id=1rb-PtK_858QZBC4Q6lftvpO8VbCA7nqk</t>
  </si>
  <si>
    <t>https://drive.google.com/open?id=1qgSEpf7btt38oBlZMFor_rnz7s5X0zTy</t>
  </si>
  <si>
    <t xml:space="preserve">Mahmoud magdy el sayed abu Musalam </t>
  </si>
  <si>
    <t>0540000972357</t>
  </si>
  <si>
    <t>Eg980038005400000540000972357</t>
  </si>
  <si>
    <t>0054</t>
  </si>
  <si>
    <t>Walaa Mohamed Mokhtar Abd Alsamea Ismail</t>
  </si>
  <si>
    <t>ولاء محمد مختار عبدالسميع اسماعيل</t>
  </si>
  <si>
    <t>walaamokhtar.2m@gmail.com</t>
  </si>
  <si>
    <t>201222977785</t>
  </si>
  <si>
    <t>50944085</t>
  </si>
  <si>
    <t>27606261602056</t>
  </si>
  <si>
    <t>https://drive.google.com/open?id=1qTKDjuWjQAxsGpp2-KBYh0-QRBRauIpX</t>
  </si>
  <si>
    <t>https://drive.google.com/open?id=1l_9hiD5huyj-y0TpXwTcx-x73N2k_ckJ</t>
  </si>
  <si>
    <t>F4.4 lecture hall</t>
  </si>
  <si>
    <t>Mennatallah Aly Mohamed Shams El Dine Eiffat</t>
  </si>
  <si>
    <t>منة الله علي محمد شمس الدين عفت</t>
  </si>
  <si>
    <t>menna.shams12@gmail.com</t>
  </si>
  <si>
    <t>201114843353</t>
  </si>
  <si>
    <t>Al-Andalus International School</t>
  </si>
  <si>
    <t>70479889</t>
  </si>
  <si>
    <t>29409300112042</t>
  </si>
  <si>
    <t>https://drive.google.com/open?id=1ah8RWb-XmhlLrYlWGElvQ-nnRVhzVFF1</t>
  </si>
  <si>
    <t>https://drive.google.com/open?id=16GMrOXTNjfcVA2oGLneOPuKbxhIgIM8d</t>
  </si>
  <si>
    <t>Menna Allah Aly Mohamed Shamseldin Effat</t>
  </si>
  <si>
    <t>Triumph</t>
  </si>
  <si>
    <t>1130938338132</t>
  </si>
  <si>
    <t>EG650037007108181130938338132</t>
  </si>
  <si>
    <t>Rania Ahmed Mohamed Ahmed</t>
  </si>
  <si>
    <t>رانيا احمد محمد احمد</t>
  </si>
  <si>
    <t>raniaahmed11498@gmail.com</t>
  </si>
  <si>
    <t>201211002215</t>
  </si>
  <si>
    <t>Sun of Glory International School</t>
  </si>
  <si>
    <t>High School English Teacher</t>
  </si>
  <si>
    <t>29804110104961a*-9-++6</t>
  </si>
  <si>
    <t>https://drive.google.com/open?id=1XRLvBkGAvlexT1qDE_2dw1uKYdzZ69OS</t>
  </si>
  <si>
    <t>https://drive.google.com/open?id=19Pk078IYJ3G4E5s_6Ms3qjDBsgVBDGgT</t>
  </si>
  <si>
    <t>Rania Ahmed Mohamed</t>
  </si>
  <si>
    <t>المعاملات الدولية</t>
  </si>
  <si>
    <t>EG790002014001400378000003123</t>
  </si>
  <si>
    <t>Ebrahim mohamed Ragab elbauomy</t>
  </si>
  <si>
    <t>ابراهيم محمد رجب البيومى</t>
  </si>
  <si>
    <t>basha.hema@gmail.com</t>
  </si>
  <si>
    <t>201140006585</t>
  </si>
  <si>
    <t>mohamed nageb</t>
  </si>
  <si>
    <t>23442908</t>
  </si>
  <si>
    <t>27408290101191</t>
  </si>
  <si>
    <t>https://drive.google.com/open?id=1ww1j8tqek2xRxXMnGRs1rrR9L0-V1xpR</t>
  </si>
  <si>
    <t>https://drive.google.com/open?id=1lq-r9ftgw-mF9GiLEvZ8kE4RDY1bN30h</t>
  </si>
  <si>
    <t>IBRAHEM MOHAMED RAGB ELBYOUMI</t>
  </si>
  <si>
    <t>0035000841022601010</t>
  </si>
  <si>
    <t>EG220003000350008410226010100</t>
  </si>
  <si>
    <t>F4.5 lecture hall</t>
  </si>
  <si>
    <t xml:space="preserve">Rehab ezzat ali mohammed </t>
  </si>
  <si>
    <t xml:space="preserve">رحاب عزت على محمد </t>
  </si>
  <si>
    <t>Rehabezz144@gmail.com</t>
  </si>
  <si>
    <t>201283325254  
201555025254</t>
  </si>
  <si>
    <t xml:space="preserve">Subject teacher </t>
  </si>
  <si>
    <t>19500365</t>
  </si>
  <si>
    <t>28402170200863</t>
  </si>
  <si>
    <t>https://drive.google.com/open?id=1uPGjojBvwDVnqwFJKraDRt1kOcRWQtXt</t>
  </si>
  <si>
    <t>https://drive.google.com/open?id=19CBPbLKei9fanKhKjZf76fnqFgf92CH-</t>
  </si>
  <si>
    <t>Rehab Ezzat Ali mohamed</t>
  </si>
  <si>
    <t>360000742583</t>
  </si>
  <si>
    <t>EG600038003600000360000742583</t>
  </si>
  <si>
    <t>0036</t>
  </si>
  <si>
    <t>Asmaa abdelaal aboukhozim abdelaal</t>
  </si>
  <si>
    <t>اسماء عبدالعال ابوخزيم عبدالعال</t>
  </si>
  <si>
    <t>semo8864@gmail.com</t>
  </si>
  <si>
    <t>201110355075</t>
  </si>
  <si>
    <t>مدرسه الشهيد طيار خضر</t>
  </si>
  <si>
    <t>شئون اداريه</t>
  </si>
  <si>
    <t>79511467</t>
  </si>
  <si>
    <t>29812070100529</t>
  </si>
  <si>
    <t>https://drive.google.com/open?id=1HjXzJOOpA-TuKb4GsESj5sucGAVhIJ-c</t>
  </si>
  <si>
    <t>https://drive.google.com/open?id=1IKngRDEpDvJvsZW0sjWkDTbGpVAMqn0Y</t>
  </si>
  <si>
    <t>الهضبة الوسطى</t>
  </si>
  <si>
    <t>7660383000005789</t>
  </si>
  <si>
    <t>EG290002076607660383000005789</t>
  </si>
  <si>
    <t>0766</t>
  </si>
  <si>
    <t>F4.6 lecture hall</t>
  </si>
  <si>
    <t>Amira Sameh Mahmoud Ahmed Khalel</t>
  </si>
  <si>
    <t>amirazain223@gmail.com</t>
  </si>
  <si>
    <t>201114050632</t>
  </si>
  <si>
    <t>Green Heights International School</t>
  </si>
  <si>
    <t>70174807</t>
  </si>
  <si>
    <t>29402070100967</t>
  </si>
  <si>
    <t>https://drive.google.com/open?id=1pFMGGlSUU6IC8jYXU9Q0D3zFZICpzAkB</t>
  </si>
  <si>
    <t>https://drive.google.com/open?id=1qj3h5mpfuYtUGHBIqtnR-5VG4is4ocZJ</t>
  </si>
  <si>
    <t>6435001221585401014</t>
  </si>
  <si>
    <t>EG670003064350012215854010140</t>
  </si>
  <si>
    <t>0643</t>
  </si>
  <si>
    <t>Ahmed said Ebrahim mohamed salem</t>
  </si>
  <si>
    <t xml:space="preserve">احمد سعيد ابراهيم محمد سالم </t>
  </si>
  <si>
    <t>ahmedsaidsalem782@gmail.com</t>
  </si>
  <si>
    <t>201008613101</t>
  </si>
  <si>
    <t xml:space="preserve">American language school </t>
  </si>
  <si>
    <t>78671259</t>
  </si>
  <si>
    <t>29508031700879</t>
  </si>
  <si>
    <t>https://drive.google.com/open?id=15yJQnCckKkuc9w2oJIqCfV4NCPp9qk_z</t>
  </si>
  <si>
    <t>https://drive.google.com/open?id=1oKtEAPxkCBidssWyg7f9K-4En-3reP-p</t>
  </si>
  <si>
    <t>سيتى مول</t>
  </si>
  <si>
    <t>991500182498500000</t>
  </si>
  <si>
    <t>EG600003099150018249805000110</t>
  </si>
  <si>
    <t>0991</t>
  </si>
  <si>
    <t>C2.3 Busimess</t>
  </si>
  <si>
    <t>Mostafa Nabawy</t>
  </si>
  <si>
    <t>مصطفى سعد عبدالفتاح محمد نبوى</t>
  </si>
  <si>
    <t>moustafa.nabawy@longmanegypt.com</t>
  </si>
  <si>
    <t>201227534791</t>
  </si>
  <si>
    <t>Future University Faculty of Business</t>
  </si>
  <si>
    <t>AHMED AYMAN AHMED KHALIFA</t>
  </si>
  <si>
    <t>احمد ايمن احمد خليفة</t>
  </si>
  <si>
    <t>Egymedo412@gmail.com</t>
  </si>
  <si>
    <t>201029091515</t>
  </si>
  <si>
    <t>https://drive.google.com/open?id=1lMrFEO5KLxAa6_IldOlEvlsY6il6G1GL</t>
  </si>
  <si>
    <t>https://drive.google.com/open?id=1MM1ym_-JHb3PUMgaTrpmqhnJPPbamYHE</t>
  </si>
  <si>
    <t>AHMED AYMAN AHMED</t>
  </si>
  <si>
    <t>Nour Mosaad Hussein Ibrahim</t>
  </si>
  <si>
    <t>nourmousad22@icloud.com</t>
  </si>
  <si>
    <t>201010113388</t>
  </si>
  <si>
    <t>student</t>
  </si>
  <si>
    <t>https://drive.google.com/open?id=1yFp5KnnohrFmoSTskqs5pt__ofP7guN_</t>
  </si>
  <si>
    <t>https://drive.google.com/open?id=130jI6OOzW8B5mHKiV6YmaAt1EqEBc8V5</t>
  </si>
  <si>
    <t>Shehab shrief bassyoni ragab</t>
  </si>
  <si>
    <t>شهاب شريف بسيونى رجب</t>
  </si>
  <si>
    <t>shehababoelmagd06@gmail.com</t>
  </si>
  <si>
    <t>201094312320</t>
  </si>
  <si>
    <t>UK / marker</t>
  </si>
  <si>
    <t>اخصاءى تخاطب وتنمية مهارات / ومصحح امتحانات</t>
  </si>
  <si>
    <t>https://drive.google.com/open?id=1bI2HXtofXu0Dg1Df05sUUCrSchuHhDzI</t>
  </si>
  <si>
    <t>https://drive.google.com/open?id=100xTg13FXbDf5-TwoYv1i1V02x_mn_rs</t>
  </si>
  <si>
    <t>GIZA - Arab Academy for Science, Technology, and Maritime Transport (Smart Village)</t>
  </si>
  <si>
    <t>Zienab Mohamed Mahran</t>
  </si>
  <si>
    <t xml:space="preserve">زينب محمد احمد مهران </t>
  </si>
  <si>
    <t>zeinab.mohamed@sayegh1944.com</t>
  </si>
  <si>
    <t>201280825993</t>
  </si>
  <si>
    <t>124</t>
  </si>
  <si>
    <t>Shaimaa Abd el fattah mansour Abd el fattah  El Talawy</t>
  </si>
  <si>
    <t xml:space="preserve">شيماء عبد الفتاح منصور عبد الفتاح الطلاوي </t>
  </si>
  <si>
    <t>Shimaaeltalwy@hotmail.co.uk</t>
  </si>
  <si>
    <t>201002153815</t>
  </si>
  <si>
    <t xml:space="preserve">Sun of Glory international school </t>
  </si>
  <si>
    <t xml:space="preserve">English Social studies </t>
  </si>
  <si>
    <t>28708150106468</t>
  </si>
  <si>
    <t>https://drive.google.com/open?id=1vwG3du5pfTCaXKrLj0LyZkJTc5mGn98C</t>
  </si>
  <si>
    <t>https://drive.google.com/open?id=1ZE5FcBC1N_F-LiJs9UjaC4vvU89Zxd3C</t>
  </si>
  <si>
    <t xml:space="preserve">الرئيسي </t>
  </si>
  <si>
    <t>0015010332149700014</t>
  </si>
  <si>
    <t>EG180003000150103321497000140</t>
  </si>
  <si>
    <t>C1.3 lecture hall</t>
  </si>
  <si>
    <t xml:space="preserve">Mona El Sayed aly hamed </t>
  </si>
  <si>
    <t xml:space="preserve">منى السيد على حامد ابراهيم </t>
  </si>
  <si>
    <t>mona.el_sayed@hotmail.com</t>
  </si>
  <si>
    <t>201119849844</t>
  </si>
  <si>
    <t xml:space="preserve">AlAndalus international school </t>
  </si>
  <si>
    <t>44609691</t>
  </si>
  <si>
    <t>29104120100687</t>
  </si>
  <si>
    <t>https://drive.google.com/open?id=1kZAg7ZFbAxTN6TzNKcdzOBeRi8DTSYXz</t>
  </si>
  <si>
    <t>https://drive.google.com/open?id=1-SaGCgvB-D59xrItzY1ONQDL_9ZQ0Ciq</t>
  </si>
  <si>
    <t>Mona elsayed aly</t>
  </si>
  <si>
    <t>سفنكس</t>
  </si>
  <si>
    <t>1885100323637100019</t>
  </si>
  <si>
    <t>EG890003018851003236371000190</t>
  </si>
  <si>
    <t>0188</t>
  </si>
  <si>
    <t>Amaal mohamed Abd El Salam mohamed</t>
  </si>
  <si>
    <t xml:space="preserve">آمال محمد عبد السلام محمد </t>
  </si>
  <si>
    <t>Moly36868@gmail.com</t>
  </si>
  <si>
    <t>201118826513</t>
  </si>
  <si>
    <t xml:space="preserve">المصرية الدوليه بالتجمع الخامس </t>
  </si>
  <si>
    <t xml:space="preserve">معلم </t>
  </si>
  <si>
    <t>65595161</t>
  </si>
  <si>
    <t>28702280100889</t>
  </si>
  <si>
    <t>https://drive.google.com/open?id=1C61WpIZ28TIIvquTViytSHWZUWpb3vs5</t>
  </si>
  <si>
    <t>https://drive.google.com/open?id=104mgJ_GBJsVRZ0whfiW_XwEf8ggL7mRi</t>
  </si>
  <si>
    <t xml:space="preserve">سرايات المعادي </t>
  </si>
  <si>
    <t>1585000699097200018</t>
  </si>
  <si>
    <t>EG200003015850006990972000180</t>
  </si>
  <si>
    <t>C1.7 lecture hall</t>
  </si>
  <si>
    <t xml:space="preserve">Imane El- Saïd Ali DABBOUR </t>
  </si>
  <si>
    <t xml:space="preserve">ايمان السعيد علي دبور </t>
  </si>
  <si>
    <t>imaneelsaid.fr@gmail.com</t>
  </si>
  <si>
    <t>201111333884</t>
  </si>
  <si>
    <t>EIS Fifth settlement- New Cairo</t>
  </si>
  <si>
    <t>517 91182</t>
  </si>
  <si>
    <t>27511100105141</t>
  </si>
  <si>
    <t>https://drive.google.com/open?id=1voZuwplBuh_JYYWddIyJKOjyJYIKKKYm</t>
  </si>
  <si>
    <t>https://drive.google.com/open?id=1RVdjcC6nSgP6vqXJFTaF5AGNTLYFYIrC</t>
  </si>
  <si>
    <t>ايمان السعيد على دبور</t>
  </si>
  <si>
    <t>1385010533941700018</t>
  </si>
  <si>
    <t>EG980003013850105339417000180</t>
  </si>
  <si>
    <t>Mohamed Ismail Mahmoud Ibrahim</t>
  </si>
  <si>
    <t>mister_mohamed_2004@hotmail.com</t>
  </si>
  <si>
    <t>201001494971</t>
  </si>
  <si>
    <t>Rajac language school</t>
  </si>
  <si>
    <t>28112028800311</t>
  </si>
  <si>
    <t>https://drive.google.com/open?id=1AMh2ZUN5MTuG2akBjsqxhh3hohrhFqgd</t>
  </si>
  <si>
    <t>https://drive.google.com/open?id=1xHdG2H4HlGaSAEVviTRt7oem0iIWIvvn</t>
  </si>
  <si>
    <t>نادى الشمس</t>
  </si>
  <si>
    <t>2583420001</t>
  </si>
  <si>
    <t>EG610019001200000002583420001</t>
  </si>
  <si>
    <t>Mohamed Hasan ahmed hamoda</t>
  </si>
  <si>
    <t>محمد حسن احمد حموده</t>
  </si>
  <si>
    <t>mohamedhassan300300@gmail.com</t>
  </si>
  <si>
    <t>201118180099</t>
  </si>
  <si>
    <t xml:space="preserve">Egypt British international school </t>
  </si>
  <si>
    <t>20920807</t>
  </si>
  <si>
    <t>26805170101231</t>
  </si>
  <si>
    <t>https://drive.google.com/open?id=1GUxE7mRyPb_Mf3ZjcFrffthhF52rizIU</t>
  </si>
  <si>
    <t>https://drive.google.com/open?id=13u6oWeZ3fxDtetEp67p6iKk5MXrYE3Ok</t>
  </si>
  <si>
    <t>MOHAMED HASSAN AHMED HAMMOUDA</t>
  </si>
  <si>
    <t xml:space="preserve">عبد الرزاق السنهورى مدينة نصر </t>
  </si>
  <si>
    <t>100012910813</t>
  </si>
  <si>
    <t>EG880010011000000100012910813</t>
  </si>
  <si>
    <t>Rahma Reda Morad Abdo</t>
  </si>
  <si>
    <t>رحمة رضا مراد عبده</t>
  </si>
  <si>
    <t>dr.rahma.reda@gmail.com</t>
  </si>
  <si>
    <t>201066332737</t>
  </si>
  <si>
    <t xml:space="preserve">Ips mostafa elnahas  </t>
  </si>
  <si>
    <t>23275037</t>
  </si>
  <si>
    <t>28901311201801</t>
  </si>
  <si>
    <t>https://drive.google.com/open?id=1KJv1EDMPvrB6g1jn7CMo32txO2lyvs8K</t>
  </si>
  <si>
    <t>https://drive.google.com/open?id=1cay9zqCyDroUiJygfFCSR2wOU4upH5mQ</t>
  </si>
  <si>
    <t xml:space="preserve">الخلفاء الراشدين </t>
  </si>
  <si>
    <t>3875001081762901018</t>
  </si>
  <si>
    <t>EG860003038750010817629010180</t>
  </si>
  <si>
    <t>0387</t>
  </si>
  <si>
    <t>Eslam sayed Youssef Mohamed</t>
  </si>
  <si>
    <t>إسلام سيد يوسف محمد</t>
  </si>
  <si>
    <t>sayedeslam62@gmail.com</t>
  </si>
  <si>
    <t>201014289325</t>
  </si>
  <si>
    <t>Teacher at falcon</t>
  </si>
  <si>
    <t>76592074</t>
  </si>
  <si>
    <t>29610141400179</t>
  </si>
  <si>
    <t>https://drive.google.com/open?id=1D2Uxahv3-nLHrejptkcg30FRDeCQvxTX</t>
  </si>
  <si>
    <t>https://drive.google.com/open?id=17n4mGh65O-ygtr6DkdWk9h_iOCcqj1Ox</t>
  </si>
  <si>
    <t>العاشر</t>
  </si>
  <si>
    <t>1073011566119200000</t>
  </si>
  <si>
    <t>EG610003010730115661192000170</t>
  </si>
  <si>
    <t>C1.8 lecture hall</t>
  </si>
  <si>
    <t>Ahmed Abobakr mahmoud abdelmonem</t>
  </si>
  <si>
    <t>احمد ابوبكر محمود عبدالمنعم</t>
  </si>
  <si>
    <t>Ahmedabobakr100@gmail.com</t>
  </si>
  <si>
    <t>201069852772</t>
  </si>
  <si>
    <t>https://drive.google.com/open?id=1JxJiJNwhSlBnAlWkf6MBYHmD74Y6OYmZ</t>
  </si>
  <si>
    <t>https://drive.google.com/open?id=1HuzM6C7hfugSKzzRoOObdrZmRSYYHDTz</t>
  </si>
  <si>
    <t>Maadi cornish</t>
  </si>
  <si>
    <t>EG440025007100000071265508001</t>
  </si>
  <si>
    <t>Ibrahim Gamal Mohamed Elsayed</t>
  </si>
  <si>
    <t xml:space="preserve">ابراهيم جمال محمد السيد </t>
  </si>
  <si>
    <t>Ibrahimgamalmohamed1994@gmail.com</t>
  </si>
  <si>
    <t>201024660411</t>
  </si>
  <si>
    <t xml:space="preserve">PE Head of department </t>
  </si>
  <si>
    <t>74762280</t>
  </si>
  <si>
    <t>29412080100073</t>
  </si>
  <si>
    <t>https://drive.google.com/open?id=1U5yDFtBssnABcMaIaGtjBKG-A0Bq02L8</t>
  </si>
  <si>
    <t>https://drive.google.com/open?id=1rD5XJd_PevuNI3mTalrH0La5OfudXUQT</t>
  </si>
  <si>
    <t>احمد بدوى</t>
  </si>
  <si>
    <t>1240333000037116</t>
  </si>
  <si>
    <t>EG740002012401240333000037116</t>
  </si>
  <si>
    <t>0124</t>
  </si>
  <si>
    <t xml:space="preserve">Duha Khalid Omar emam </t>
  </si>
  <si>
    <t xml:space="preserve">ضحى خالد عمر امام </t>
  </si>
  <si>
    <t>duhaemam2@gmail.com</t>
  </si>
  <si>
    <t>201140441345</t>
  </si>
  <si>
    <t xml:space="preserve">Capital international schools </t>
  </si>
  <si>
    <t>supervisor</t>
  </si>
  <si>
    <t>80432302</t>
  </si>
  <si>
    <t>30110020100049</t>
  </si>
  <si>
    <t>https://drive.google.com/open?id=1exV9Ye32Ft8vhWBJMkRPUFVmln3l4Z94</t>
  </si>
  <si>
    <t>https://drive.google.com/open?id=1NCeVhqHa7PkM-UZPjonsv9aILVEFtPHS</t>
  </si>
  <si>
    <t>DOHA KHALED OMAR EMAM</t>
  </si>
  <si>
    <t xml:space="preserve">بيروت /مصر الجديدة </t>
  </si>
  <si>
    <t>1130191123248</t>
  </si>
  <si>
    <t>EG700037005908181130191123248</t>
  </si>
  <si>
    <t xml:space="preserve">ALAA SAYED HASSAN ELSAYED </t>
  </si>
  <si>
    <t xml:space="preserve">علاء سيد حسن السيد </t>
  </si>
  <si>
    <t>alaaalkhial4@gmail.com</t>
  </si>
  <si>
    <t>201010296196</t>
  </si>
  <si>
    <t>Elroad</t>
  </si>
  <si>
    <t>64861033</t>
  </si>
  <si>
    <t>28711220102393</t>
  </si>
  <si>
    <t>https://drive.google.com/open?id=1GHTduYnGop36oSe1V0chGgMsAxzTe3yq</t>
  </si>
  <si>
    <t>https://drive.google.com/open?id=10aCu9DJK2a7uG5-JqcSj0ugVj6_UUjHB</t>
  </si>
  <si>
    <t>6135000601573500011</t>
  </si>
  <si>
    <t>EG480003061350006015735000110</t>
  </si>
  <si>
    <t>0613</t>
  </si>
  <si>
    <t>C1.9 lecture hall</t>
  </si>
  <si>
    <t>Sahar mohamedin mahmoud waziry</t>
  </si>
  <si>
    <t>سحر محمدين محمود وزيري</t>
  </si>
  <si>
    <t>Dr.saharwaziry73@gmail.com</t>
  </si>
  <si>
    <t>201061479978</t>
  </si>
  <si>
    <t>49126574</t>
  </si>
  <si>
    <t>27304022800541</t>
  </si>
  <si>
    <t>https://drive.google.com/open?id=1vcikevCCZu1zdNO3F-gz-1ttvbfTfn5Z</t>
  </si>
  <si>
    <t>https://drive.google.com/open?id=1bBcbJVCcfNpeeqgBGvlAQKGb3f7PXqQO</t>
  </si>
  <si>
    <t>Sahar mohamdin mahmoud waziry</t>
  </si>
  <si>
    <t>الازهر</t>
  </si>
  <si>
    <t>1903510407470600018</t>
  </si>
  <si>
    <t>EG740003019035104074706000180</t>
  </si>
  <si>
    <t xml:space="preserve">Almas Abdulmaqsood Ahmed Abdulmaqsood </t>
  </si>
  <si>
    <t xml:space="preserve">الماس عبدالمقصود احمد عبدالمقصود </t>
  </si>
  <si>
    <t>Almasabdulmaqsood135@gmail.com</t>
  </si>
  <si>
    <t>201001035407</t>
  </si>
  <si>
    <t xml:space="preserve">IPS el shrouq </t>
  </si>
  <si>
    <t>85347280</t>
  </si>
  <si>
    <t>30304208800527</t>
  </si>
  <si>
    <t>https://drive.google.com/open?id=1UHOIL1I9VcFMXyKjXUBYgQWKDq76UStR</t>
  </si>
  <si>
    <t>https://drive.google.com/open?id=1OX_JovIcfqsnpXgXThGRs6eGqSeuuLPt</t>
  </si>
  <si>
    <t>293012082894800018</t>
  </si>
  <si>
    <t>EG120003002930120828948000180</t>
  </si>
  <si>
    <t>Yomna Osama Ahmed Awad</t>
  </si>
  <si>
    <t>Yomnaosama278@gmail.com</t>
  </si>
  <si>
    <t>201151533575</t>
  </si>
  <si>
    <t>Sun of glory international School</t>
  </si>
  <si>
    <t xml:space="preserve">English Social Studies Teacher </t>
  </si>
  <si>
    <t>61084471</t>
  </si>
  <si>
    <t>29308270103425</t>
  </si>
  <si>
    <t>https://drive.google.com/open?id=133tssyrfXCwaRvF8qwJ_-Kt1Ee1G4nvs</t>
  </si>
  <si>
    <t>https://drive.google.com/open?id=1lYrwQlx8hBXydA04GIXvqc28hg_Unz1f</t>
  </si>
  <si>
    <t xml:space="preserve">Yomna Osama Ahmed </t>
  </si>
  <si>
    <t xml:space="preserve">الثورة - مصر الجديدة </t>
  </si>
  <si>
    <t>1325010583614200019</t>
  </si>
  <si>
    <t>EG850003013250105836142000190</t>
  </si>
  <si>
    <t>0132</t>
  </si>
  <si>
    <t>Eman abdelfatah mahmoud naguib</t>
  </si>
  <si>
    <t>ايمان عبد الفتاح محمود نجيب</t>
  </si>
  <si>
    <t>eman.abdelfatah.naguib1987@gmail.com</t>
  </si>
  <si>
    <t>201002689832</t>
  </si>
  <si>
    <t>16789274</t>
  </si>
  <si>
    <t>https://drive.google.com/open?id=1PnQHLuac00GEhxQIIdtiMLxDX4T55pRb</t>
  </si>
  <si>
    <t>https://drive.google.com/open?id=1wGqPtRm9qoMAnPTRGaQPNPt0hJ_5S8hZ</t>
  </si>
  <si>
    <t>Eman abdelfattah mahmoud</t>
  </si>
  <si>
    <t>Towen center elsalam</t>
  </si>
  <si>
    <t>8140333000015177</t>
  </si>
  <si>
    <t>EG210002081408140333000015177</t>
  </si>
  <si>
    <t>Abeer Adel Elsayed</t>
  </si>
  <si>
    <t>عبير عادل السيد عزام</t>
  </si>
  <si>
    <t>abeer.adel@sayegh1944.com</t>
  </si>
  <si>
    <t>201029094745</t>
  </si>
  <si>
    <t>57</t>
  </si>
  <si>
    <t>Mariam raoof Azmy ataya</t>
  </si>
  <si>
    <t>مريم رؤوف عزمي عطية</t>
  </si>
  <si>
    <t>roomaroofe@gmail.com</t>
  </si>
  <si>
    <t>201200844716</t>
  </si>
  <si>
    <t xml:space="preserve">Capital international School </t>
  </si>
  <si>
    <t>Lab asssistant</t>
  </si>
  <si>
    <t>28010072102348</t>
  </si>
  <si>
    <t>https://drive.google.com/open?id=1EEKMd0dg39OcYkd-LFwYMccBuEI5kq4X</t>
  </si>
  <si>
    <t>https://drive.google.com/open?id=1Pc8sEvDr7kNxAHmUKx24BGeU4grNjqTB</t>
  </si>
  <si>
    <t>MARIAM RAOUF AZMEY ATTYA</t>
  </si>
  <si>
    <t>1130833379074</t>
  </si>
  <si>
    <t>EG480037005908181130833379074</t>
  </si>
  <si>
    <t>C3.2 lecture hall</t>
  </si>
  <si>
    <t xml:space="preserve">Ahmed Samy Mohamed Ibrahim </t>
  </si>
  <si>
    <t>dreamer.mistro7777777@gmail.com</t>
  </si>
  <si>
    <t>201123017864</t>
  </si>
  <si>
    <t>Sama</t>
  </si>
  <si>
    <t>65170861</t>
  </si>
  <si>
    <t>28504308800036</t>
  </si>
  <si>
    <t>https://drive.google.com/open?id=180SebexfAgMq7_QudaYeNWUX2dPi1-fr</t>
  </si>
  <si>
    <t>https://drive.google.com/open?id=17MSuCeRC2LLXnclvoFXCJriNeWngc9cq</t>
  </si>
  <si>
    <t>Ahmed Samy Ibrahim nasr</t>
  </si>
  <si>
    <t>ميفدا فرع التجمع</t>
  </si>
  <si>
    <t>100065136998</t>
  </si>
  <si>
    <t>EG790010011100000100065136998</t>
  </si>
  <si>
    <t xml:space="preserve">Mahmoud Maher abd elfatah elkhouly </t>
  </si>
  <si>
    <t xml:space="preserve">محمود ماهر عبد الفتاح الخولي </t>
  </si>
  <si>
    <t>elkhouly2017@gmail.com</t>
  </si>
  <si>
    <t>201069513101</t>
  </si>
  <si>
    <t>Nis</t>
  </si>
  <si>
    <t>71825719</t>
  </si>
  <si>
    <t>29305201700439</t>
  </si>
  <si>
    <t>https://drive.google.com/open?id=1rDHCnhNOQe8C2ngZBToDm06C-yGnvE-u</t>
  </si>
  <si>
    <t>https://drive.google.com/open?id=1elE6ohnwGu4u0hOLboaInRI0KV0HU0Gl</t>
  </si>
  <si>
    <t xml:space="preserve">Sheraton </t>
  </si>
  <si>
    <t>1019798780501</t>
  </si>
  <si>
    <t>EG520014002600001019798780501</t>
  </si>
  <si>
    <t>C3.3 lecture hall</t>
  </si>
  <si>
    <t>Abdallah Sayed Abdallah ahmed</t>
  </si>
  <si>
    <t>عبدالله سيد عبدالله أحمد</t>
  </si>
  <si>
    <t>Abdallahhammad684@gmail.com</t>
  </si>
  <si>
    <t>201114325051</t>
  </si>
  <si>
    <t>New Degla smart</t>
  </si>
  <si>
    <t>29241059</t>
  </si>
  <si>
    <t>560_164_572</t>
  </si>
  <si>
    <t>28406170100214</t>
  </si>
  <si>
    <t>https://drive.google.com/open?id=1H8soVmSpxgQDZMXFvjLLQOwhjn1jWIoL</t>
  </si>
  <si>
    <t>https://drive.google.com/open?id=1AcXnp2bqvbDXqx1BvnYluNelNINB4pNw</t>
  </si>
  <si>
    <t>فرع شارع السودان</t>
  </si>
  <si>
    <t>EG520003001850014524734010110</t>
  </si>
  <si>
    <t>Aman Raafat Mohamed Naguib</t>
  </si>
  <si>
    <t>amanraafat6662006@gmail.com</t>
  </si>
  <si>
    <t>201070206125</t>
  </si>
  <si>
    <t>El sayada khadija language school</t>
  </si>
  <si>
    <t>German teacher</t>
  </si>
  <si>
    <t>28607160104624</t>
  </si>
  <si>
    <t>https://drive.google.com/open?id=1FYByQ9VyrT9KCoZGGujCtfyrZR50iwSO</t>
  </si>
  <si>
    <t>https://drive.google.com/open?id=12JYG4XpllEmrMQvAmQZc3JD6rEcrb_eq</t>
  </si>
  <si>
    <t>ابو داود الظاهرى</t>
  </si>
  <si>
    <t>EG740003002150016231535000100</t>
  </si>
  <si>
    <t>0021</t>
  </si>
  <si>
    <t>C3.4 Lecture Hall</t>
  </si>
  <si>
    <t>Fatma Rabea Mahmoud Edrees</t>
  </si>
  <si>
    <t>rabiaf3997@gmail.com</t>
  </si>
  <si>
    <t>201128238358</t>
  </si>
  <si>
    <t>Elshams school</t>
  </si>
  <si>
    <t>Social studies teacher</t>
  </si>
  <si>
    <t>29709030101861</t>
  </si>
  <si>
    <t>https://drive.google.com/open?id=1yK84Pi66fmgHvgwxGy4a67FmGdBKpsVN</t>
  </si>
  <si>
    <t>https://drive.google.com/open?id=1VUToOKVmzmLHZ9teeo5JEGyaFJOI9IUN</t>
  </si>
  <si>
    <t>EG780037007408181130680260845</t>
  </si>
  <si>
    <t xml:space="preserve">Dalia sayed Mostafa Mohamed </t>
  </si>
  <si>
    <t xml:space="preserve">داليا سيد مصطفى محمد </t>
  </si>
  <si>
    <t>Koky.dolly87@gmail.com</t>
  </si>
  <si>
    <t>201117708368</t>
  </si>
  <si>
    <t xml:space="preserve">HRT at Egyptian international school </t>
  </si>
  <si>
    <t>28708062102126</t>
  </si>
  <si>
    <t>https://drive.google.com/open?id=1eVQ_sZ7oIJuEjT83gjvQnb9xLk4r994u</t>
  </si>
  <si>
    <t>https://drive.google.com/open?id=1Skdq54oeOEbJ0og96DZTkhjL0t-qTRu_</t>
  </si>
  <si>
    <t xml:space="preserve">Dalia Sayed Mostafa </t>
  </si>
  <si>
    <t xml:space="preserve">الخمسين بزهراء المعادي </t>
  </si>
  <si>
    <t>0203010906095101017</t>
  </si>
  <si>
    <t>EG420003002030109060951010170</t>
  </si>
  <si>
    <t>0020</t>
  </si>
  <si>
    <t xml:space="preserve">Hanaa Abdelaal Abu Khoziem Abdelaal </t>
  </si>
  <si>
    <t>هناء عبد العال ابوخزيم عبد العال</t>
  </si>
  <si>
    <t>hn_abdelaal@yahoo.com</t>
  </si>
  <si>
    <t>201063316488</t>
  </si>
  <si>
    <t xml:space="preserve">El Rewad language School </t>
  </si>
  <si>
    <t xml:space="preserve">Science supervisor </t>
  </si>
  <si>
    <t>54528200</t>
  </si>
  <si>
    <t>27906010109184</t>
  </si>
  <si>
    <t>https://drive.google.com/open?id=1vp2nTmNWp76_gQ_lk04zbNfKVFVMQUK_</t>
  </si>
  <si>
    <t>https://drive.google.com/open?id=1hY8Hzuu0Su3u5ORiPfWh_aB0rl3CTp6D</t>
  </si>
  <si>
    <t>المركز الاوليمبي بالمعادى</t>
  </si>
  <si>
    <t>0335001177586201010</t>
  </si>
  <si>
    <t>EG960003003350011775862010100</t>
  </si>
  <si>
    <t>0033</t>
  </si>
  <si>
    <t>Basem Mohamed Elsaied Abdallah</t>
  </si>
  <si>
    <t xml:space="preserve">باسم محمد السعيد عبدالله سالم </t>
  </si>
  <si>
    <t>basem.84.2000@gmail.com</t>
  </si>
  <si>
    <t>201224501261</t>
  </si>
  <si>
    <t xml:space="preserve">Cairo British school </t>
  </si>
  <si>
    <t xml:space="preserve">P.E teacher </t>
  </si>
  <si>
    <t>41348349</t>
  </si>
  <si>
    <t>28408051401314</t>
  </si>
  <si>
    <t>https://drive.google.com/open?id=1anL2z8ibv1bbM6qN6gBHUFmvDhW_9giR</t>
  </si>
  <si>
    <t>https://drive.google.com/open?id=1rn6ONh40009H73cqnuhBzRCmFfwK3bVc</t>
  </si>
  <si>
    <t xml:space="preserve">Basem Mohamed Elsaied Abdallah </t>
  </si>
  <si>
    <t>1015670760010201</t>
  </si>
  <si>
    <t>EG170057004601015670760010201</t>
  </si>
  <si>
    <t>mohamed mohamed sayed soliman</t>
  </si>
  <si>
    <t>محمد محمد سيد سليمان</t>
  </si>
  <si>
    <t>ms1341144@gmail.com</t>
  </si>
  <si>
    <t>201000731377</t>
  </si>
  <si>
    <t xml:space="preserve">capital </t>
  </si>
  <si>
    <t>discipline officer</t>
  </si>
  <si>
    <t>28202180200654</t>
  </si>
  <si>
    <t>https://drive.google.com/open?id=14tDnflPAL4nJ4OxQFj2ag4Y3b_7SG6M2</t>
  </si>
  <si>
    <t>https://drive.google.com/open?id=1tLacza3nHN_Q5ZWsc-3S7syKmZrKVC76</t>
  </si>
  <si>
    <t>MOHAMED MOHAMED SAYED</t>
  </si>
  <si>
    <t>1130971065045</t>
  </si>
  <si>
    <t>EG480037005908181130971065045</t>
  </si>
  <si>
    <t>Senior External</t>
  </si>
  <si>
    <t xml:space="preserve">Basma Hassan El sayed Mohamed </t>
  </si>
  <si>
    <t xml:space="preserve">بسمة حسن السيد محمد </t>
  </si>
  <si>
    <t>Basmaehab117@gmail.com</t>
  </si>
  <si>
    <t>28606110102744</t>
  </si>
  <si>
    <t>https://drive.google.com/open?id=1qXE3WyW6W_JaN5MNk7VrIZodgTyrwnj7</t>
  </si>
  <si>
    <t>https://drive.google.com/open?id=1TUWyDRqG9Nh-rRyWq6oSkEp1bCxibd7S</t>
  </si>
  <si>
    <t xml:space="preserve">Basma Hassan el sayed Mohamed </t>
  </si>
  <si>
    <t>المعادي الجديدة</t>
  </si>
  <si>
    <t>1690111000011217</t>
  </si>
  <si>
    <t>EG860002016901690111000011217</t>
  </si>
  <si>
    <t>C4.1 lecture hall</t>
  </si>
  <si>
    <t>Mohamed gaber elsayed deeb</t>
  </si>
  <si>
    <t>محمد جابر السيد ديب</t>
  </si>
  <si>
    <t>mohamed95.urban@gmail.com</t>
  </si>
  <si>
    <t>201061619444</t>
  </si>
  <si>
    <t>MathematicTeacher</t>
  </si>
  <si>
    <t>57521421</t>
  </si>
  <si>
    <t>N-a</t>
  </si>
  <si>
    <t>29803170103453</t>
  </si>
  <si>
    <t>https://drive.google.com/open?id=1gWOVIs3_MhXFDJ3EKKZsZ4IdtJtrTROT</t>
  </si>
  <si>
    <t>https://drive.google.com/open?id=1b8hzueXaXLgmsw02v86YWdpAp-kjc68H</t>
  </si>
  <si>
    <t>Salah salem</t>
  </si>
  <si>
    <t>6748390001</t>
  </si>
  <si>
    <t>EG110019003300000006748390001</t>
  </si>
  <si>
    <t>Haidy Ahmed Rasmy Bayomi</t>
  </si>
  <si>
    <t>haidy.rasmy@gmail.com</t>
  </si>
  <si>
    <t>201004937844</t>
  </si>
  <si>
    <t>64833616</t>
  </si>
  <si>
    <t>28906030104328</t>
  </si>
  <si>
    <t>https://drive.google.com/open?id=1i6lAFxc0KRhPsnXCCr5gNcHvXB-6rLb2</t>
  </si>
  <si>
    <t>https://drive.google.com/open?id=1nAM7UHPyBvtZFxGvOR7WrrhwXKhnqdKK</t>
  </si>
  <si>
    <t>هايدي احمد رسمي بيومي</t>
  </si>
  <si>
    <t>1225000675572600016</t>
  </si>
  <si>
    <t>EG370003012250006755726000160</t>
  </si>
  <si>
    <t>C4.2 lecture hall</t>
  </si>
  <si>
    <t>Sherif Mohamed ahmed abu al saadat</t>
  </si>
  <si>
    <t>شريف محمد احمد ابو السعادات</t>
  </si>
  <si>
    <t>saadsherief66@gmail.com</t>
  </si>
  <si>
    <t>201154744331</t>
  </si>
  <si>
    <t xml:space="preserve">المركز القومي للامتحانات والتقويم التربوي </t>
  </si>
  <si>
    <t xml:space="preserve">Senior computer specialist </t>
  </si>
  <si>
    <t>27802230103772</t>
  </si>
  <si>
    <t>https://drive.google.com/open?id=1M2d05pgfPN-bvMGxg55c0_kF00mpBCoS</t>
  </si>
  <si>
    <t>https://drive.google.com/open?id=17qkK1225AJVfsfkJawQzEuK7Qh6ltj-_</t>
  </si>
  <si>
    <t xml:space="preserve">شريف محمد احمد ابو السعادات </t>
  </si>
  <si>
    <t xml:space="preserve">Faisal Islamic Bank Of Egypt </t>
  </si>
  <si>
    <t>Zizinia</t>
  </si>
  <si>
    <t>100015467311</t>
  </si>
  <si>
    <t>EG300059001900000100015467311</t>
  </si>
  <si>
    <t>FIEGEGCXXXX</t>
  </si>
  <si>
    <t>Nancy Zaki Ghali Hanna</t>
  </si>
  <si>
    <t>نانسي زكى غالى حنا</t>
  </si>
  <si>
    <t>nancyzaki49@gmail.com</t>
  </si>
  <si>
    <t>201224949254</t>
  </si>
  <si>
    <t xml:space="preserve">International school of Egypt </t>
  </si>
  <si>
    <t>4850154</t>
  </si>
  <si>
    <t>28609260100441</t>
  </si>
  <si>
    <t>https://drive.google.com/open?id=1sDvzHRkv45cSNSZL-C_PHjscnwuLtHOs</t>
  </si>
  <si>
    <t>https://drive.google.com/open?id=19N_Z7fKjfGOgbzM9QMvqoX7TQeHtuvB9</t>
  </si>
  <si>
    <t xml:space="preserve">نانسي زكى غالى حنا عطيه </t>
  </si>
  <si>
    <t>1535001053854501015</t>
  </si>
  <si>
    <t>EG060003015350010538545010150</t>
  </si>
  <si>
    <t>C4.3 lecture hall</t>
  </si>
  <si>
    <t xml:space="preserve">Amany Bassem Anis Abdelnour </t>
  </si>
  <si>
    <t xml:space="preserve">Amanybasemanes@gmail.com </t>
  </si>
  <si>
    <t>201205289141</t>
  </si>
  <si>
    <t xml:space="preserve">Rajac International Schools </t>
  </si>
  <si>
    <t xml:space="preserve">Philosophy teacher </t>
  </si>
  <si>
    <t>85856619</t>
  </si>
  <si>
    <t>29404190100327</t>
  </si>
  <si>
    <t>https://drive.google.com/open?id=1FN1To1DCXMic6hY8f74u5WJnpw5FJX9L</t>
  </si>
  <si>
    <t>https://drive.google.com/open?id=1Q9CCnYXYtTPm3TvGpWqaTW95LRPRj7sh</t>
  </si>
  <si>
    <t>007972340001</t>
  </si>
  <si>
    <t>EG470019002300000007972340001</t>
  </si>
  <si>
    <t>Nada elsayed Ahmed mazoon</t>
  </si>
  <si>
    <t>ندى السيد احمد مازون</t>
  </si>
  <si>
    <t>nadatarekgamal87@gmail.com</t>
  </si>
  <si>
    <t>201001462532</t>
  </si>
  <si>
    <t>Kenana school</t>
  </si>
  <si>
    <t>معلم لغة عربية</t>
  </si>
  <si>
    <t>64619609</t>
  </si>
  <si>
    <t>29508011410165</t>
  </si>
  <si>
    <t>https://drive.google.com/open?id=1pcu_BG7uoiVYOfDvOek1BWOs_hUtSN8-</t>
  </si>
  <si>
    <t>https://drive.google.com/open?id=1W2RprbWd6Q609spR4UPJkR1qgMQ150I8</t>
  </si>
  <si>
    <t>ندى السيد احمد عبدالحميد مازون</t>
  </si>
  <si>
    <t xml:space="preserve">شبين القناطر </t>
  </si>
  <si>
    <t>2360333000177826</t>
  </si>
  <si>
    <t>EG750002023602360333000177826</t>
  </si>
  <si>
    <t>C4.4 lecture hall</t>
  </si>
  <si>
    <t>Radwa Mohamed Helmy Ali</t>
  </si>
  <si>
    <t>رضوى محمد حلمى على</t>
  </si>
  <si>
    <t>radwa.helmy201518@gmail.com</t>
  </si>
  <si>
    <t>201004491692</t>
  </si>
  <si>
    <t>Al-andalus International School</t>
  </si>
  <si>
    <t>33186575</t>
  </si>
  <si>
    <t>28212072103125</t>
  </si>
  <si>
    <t>https://drive.google.com/open?id=13khfXRCFMCfCZ_PMnVzg7CWFiVzwSdBN</t>
  </si>
  <si>
    <t>https://drive.google.com/open?id=18MT8Ctfh73Uo0O9AypBtF_4jtoc1Azd_</t>
  </si>
  <si>
    <t>Radwa Mohamed</t>
  </si>
  <si>
    <t>Syria</t>
  </si>
  <si>
    <t>4573764657985008</t>
  </si>
  <si>
    <t>EG810003016250103857324000190</t>
  </si>
  <si>
    <t>0162</t>
  </si>
  <si>
    <t>Aya Shafieq Shafieq Hamed</t>
  </si>
  <si>
    <t>aya.shafieq@gmail.com</t>
  </si>
  <si>
    <t>201000142716</t>
  </si>
  <si>
    <t xml:space="preserve">Egyptian International School Fifth Settlement (EIS) </t>
  </si>
  <si>
    <t>29109251603261</t>
  </si>
  <si>
    <t>https://drive.google.com/open?id=14j7bbrEzUEXDBtrd404jtscj7W62KUL0</t>
  </si>
  <si>
    <t>https://drive.google.com/open?id=1fxvPAnqXwPIGYOvHfR4t6o6d0gV3EM1V</t>
  </si>
  <si>
    <t>ايه شفيق شفيق حامد</t>
  </si>
  <si>
    <t>9985001543093400018</t>
  </si>
  <si>
    <t>EG370003099850015430934000180</t>
  </si>
  <si>
    <t xml:space="preserve">Mostafa Mohamed Ahmed Mohamed </t>
  </si>
  <si>
    <t xml:space="preserve">مصطفى محمد احمد محمد </t>
  </si>
  <si>
    <t>msmmor12345@gmail.com</t>
  </si>
  <si>
    <t>201115204750</t>
  </si>
  <si>
    <t xml:space="preserve">Gawher Elsekely School </t>
  </si>
  <si>
    <t xml:space="preserve">Expert teacher of English </t>
  </si>
  <si>
    <t>1220355</t>
  </si>
  <si>
    <t>27711252302595</t>
  </si>
  <si>
    <t>https://drive.google.com/open?id=1iRaj04e9chapIoYwBJNE11fG73ZX0Aon</t>
  </si>
  <si>
    <t>https://drive.google.com/open?id=1w6aipMYKgIJaFmg_8kSg1Ftf6SY_uxHK</t>
  </si>
  <si>
    <t>0665001696776000016</t>
  </si>
  <si>
    <t>EG640003006650016967760000160</t>
  </si>
  <si>
    <t>Faten Shaban Abd  Elmoneam Gad Elmola</t>
  </si>
  <si>
    <t>فاتن شعبان عبدالمنعم جادالمولى</t>
  </si>
  <si>
    <t>esamfaten98@gmail.com</t>
  </si>
  <si>
    <t>201098083065</t>
  </si>
  <si>
    <t>El Ryid school</t>
  </si>
  <si>
    <t xml:space="preserve">Super visor social studies teacher </t>
  </si>
  <si>
    <t>3319317</t>
  </si>
  <si>
    <t>27907010204868</t>
  </si>
  <si>
    <t>https://drive.google.com/open?id=1Sx4GJu9p7s2FGBhlHMXdzUIxyUQ7wyf0</t>
  </si>
  <si>
    <t>https://drive.google.com/open?id=1bS3o8NNA0_tRieIvg79IhnukWuUuhidy</t>
  </si>
  <si>
    <t>FATEN SHABAAN A ALMONEAM</t>
  </si>
  <si>
    <t xml:space="preserve">السواح </t>
  </si>
  <si>
    <t>1830001000008228</t>
  </si>
  <si>
    <t>EG360002018301830001000008228</t>
  </si>
  <si>
    <t>0183</t>
  </si>
  <si>
    <t>Karim Farid Hassan Ebeid</t>
  </si>
  <si>
    <t>كريم فريد حسن عبيد</t>
  </si>
  <si>
    <t>karim906@hotmail.com</t>
  </si>
  <si>
    <t>201229851828</t>
  </si>
  <si>
    <t>IT - Manager</t>
  </si>
  <si>
    <t>43734842</t>
  </si>
  <si>
    <t>28509200106071</t>
  </si>
  <si>
    <t>https://drive.google.com/open?id=1z3MnLBpbJKElLawoVo8EIOJ6ftLOBpBA</t>
  </si>
  <si>
    <t>https://drive.google.com/open?id=10UF7I5OGdNNSR_x__y41K_uVNWBFkNBA</t>
  </si>
  <si>
    <t>Karim Farid Hasan Ebeid</t>
  </si>
  <si>
    <t>1690111000011046</t>
  </si>
  <si>
    <t>EG470002016901690111000011046</t>
  </si>
  <si>
    <t>Rabab Ahmed Saad</t>
  </si>
  <si>
    <t xml:space="preserve">رباب احمد سعد الهوالا </t>
  </si>
  <si>
    <t>rabab.ahmed@sayegh1944.com</t>
  </si>
  <si>
    <t>201146252409</t>
  </si>
  <si>
    <t>Co-teacher</t>
  </si>
  <si>
    <t xml:space="preserve">Mostafa ismail Mohamed ismail </t>
  </si>
  <si>
    <t>مصطفى اسماعيل محمد اسماعيل</t>
  </si>
  <si>
    <t>Mostafaismail1980@gmail.com</t>
  </si>
  <si>
    <t>201111455422</t>
  </si>
  <si>
    <t xml:space="preserve">Future </t>
  </si>
  <si>
    <t>28009090100699</t>
  </si>
  <si>
    <t>https://drive.google.com/open?id=1TVqhOfGdEL-69C6FxdRIIdAq87VUBn2Y</t>
  </si>
  <si>
    <t>https://drive.google.com/open?id=1zoalBub4DuA1znRbeuj9Wl_d8kEZ58FW</t>
  </si>
  <si>
    <t>0965000363126300013</t>
  </si>
  <si>
    <t>EG660003009650003631263000130</t>
  </si>
  <si>
    <t>C5.3 lecture hall</t>
  </si>
  <si>
    <t xml:space="preserve">Ramadan tarek ramadan Ibrahim </t>
  </si>
  <si>
    <t>Rtarek543@gmail.com</t>
  </si>
  <si>
    <t>201027943512</t>
  </si>
  <si>
    <t>84134031</t>
  </si>
  <si>
    <t>29906240100493</t>
  </si>
  <si>
    <t>https://drive.google.com/open?id=1OUFwnaeORKN5rc2KG03E9FU9ZvJJGSR2</t>
  </si>
  <si>
    <t>https://drive.google.com/open?id=1kEJFfU7RGDKuADxT9PSlAOi7CnhUiljs</t>
  </si>
  <si>
    <t xml:space="preserve">Ramadan tarek Ramadan </t>
  </si>
  <si>
    <t>1690111000011250</t>
  </si>
  <si>
    <t>EG680002016901690111000011250</t>
  </si>
  <si>
    <t>abdalla ashraf abdulhamid morsy</t>
  </si>
  <si>
    <t>abdalla3367@gmail.com</t>
  </si>
  <si>
    <t>201009902850</t>
  </si>
  <si>
    <t>rajac school</t>
  </si>
  <si>
    <t>29911091400113</t>
  </si>
  <si>
    <t>https://drive.google.com/open?id=1Pb08M6XH1WF_9P6vaS9JZ48o8bEqOq3i</t>
  </si>
  <si>
    <t>https://drive.google.com/open?id=1yBIZC3L4I44B4QJhuoh_nsEYAh1jwbID</t>
  </si>
  <si>
    <t>ABADALLAH MORSY</t>
  </si>
  <si>
    <t>7369580001</t>
  </si>
  <si>
    <t>EG180019002300000007369580001</t>
  </si>
  <si>
    <t>C5.4 lecture hall</t>
  </si>
  <si>
    <t>Eman ali sarhan goda</t>
  </si>
  <si>
    <t xml:space="preserve">ايمان علي سرحان جوده </t>
  </si>
  <si>
    <t>ea439011@gmail.com</t>
  </si>
  <si>
    <t>201015320210</t>
  </si>
  <si>
    <t>Teacher social studies</t>
  </si>
  <si>
    <t>077803925</t>
  </si>
  <si>
    <t>29709050103861</t>
  </si>
  <si>
    <t>https://drive.google.com/open?id=17tOEtnJTRqTm5aSSSFIoleeckz3u14pO</t>
  </si>
  <si>
    <t>https://drive.google.com/open?id=1TSZm6Jdw8Ni_dodvUxb3CtMVgVpV6_ax</t>
  </si>
  <si>
    <t>إيمان علي سرحان جوده</t>
  </si>
  <si>
    <t>1020680419835</t>
  </si>
  <si>
    <t>EG020037002708181020680419835</t>
  </si>
  <si>
    <t>Peter tawfik kheir tawfik</t>
  </si>
  <si>
    <t>بيتر توفيق خير توفيق</t>
  </si>
  <si>
    <t>peter201285@gmail.com</t>
  </si>
  <si>
    <t>201229140216</t>
  </si>
  <si>
    <t>Saint fatima</t>
  </si>
  <si>
    <t>28508210101992</t>
  </si>
  <si>
    <t>https://drive.google.com/open?id=1p-1Zdzk9z-ky1xJoH-nfHt9I-wplGomA</t>
  </si>
  <si>
    <t>https://drive.google.com/open?id=1CW_uEe64Z2mWF5xzUjvts7woIksRVoq6</t>
  </si>
  <si>
    <t>شرق القاهرة</t>
  </si>
  <si>
    <t>1555000985729501018</t>
  </si>
  <si>
    <t>EG340003015550009857295010180</t>
  </si>
  <si>
    <t>0155</t>
  </si>
  <si>
    <t>Mona Mahmoued Abd Alazim</t>
  </si>
  <si>
    <t>منى محمود عبد العظيم</t>
  </si>
  <si>
    <t>monaazim01@gmail.com</t>
  </si>
  <si>
    <t>201221023866</t>
  </si>
  <si>
    <t xml:space="preserve">Sun of Glory International School </t>
  </si>
  <si>
    <t>Art Hod</t>
  </si>
  <si>
    <t>33213436</t>
  </si>
  <si>
    <t>28012100202429</t>
  </si>
  <si>
    <t>https://drive.google.com/open?id=1vEHCC66MVDWvYQVIohCJiaYIaVh1rXpj</t>
  </si>
  <si>
    <t>https://drive.google.com/open?id=1WVKEIJNAYeEO15XAmny3FK6SRDCpJX1h</t>
  </si>
  <si>
    <t>Mona Mahmoud Abdelazeem</t>
  </si>
  <si>
    <t>4880333000004003</t>
  </si>
  <si>
    <t>EG820002048804880333000004003</t>
  </si>
  <si>
    <t>Nahed Mohamed Elgaber Mortada</t>
  </si>
  <si>
    <t>ناهد محمد الجابر مرتضى</t>
  </si>
  <si>
    <t>twins_nonosh@hotmail.com</t>
  </si>
  <si>
    <t>201068323739</t>
  </si>
  <si>
    <t xml:space="preserve">Translator - Media Specialist </t>
  </si>
  <si>
    <t>17604959</t>
  </si>
  <si>
    <t>28012070102548</t>
  </si>
  <si>
    <t>https://drive.google.com/open?id=1tTg-7FscxJd7WHntziF5Nbn0xGCHz3fw</t>
  </si>
  <si>
    <t>https://drive.google.com/open?id=1MplXFOX0sXZ7VW2qQRzp6vj1R4dxzm6G</t>
  </si>
  <si>
    <t>ناهد محمد الجابر مرتضى صغير</t>
  </si>
  <si>
    <t>6425001657292600016</t>
  </si>
  <si>
    <t>EG780003064250016572926000160</t>
  </si>
  <si>
    <t>0642</t>
  </si>
  <si>
    <t>Noha mostafa Abdel monaim khorshed</t>
  </si>
  <si>
    <t>نهي مصطفي عبد المنعم خورشيد</t>
  </si>
  <si>
    <t>Nohamostafa1010@gmail.com</t>
  </si>
  <si>
    <t>201022698896</t>
  </si>
  <si>
    <t>Leaders national school</t>
  </si>
  <si>
    <t>Teacher of english</t>
  </si>
  <si>
    <t>3 198 7868</t>
  </si>
  <si>
    <t>28610010126264</t>
  </si>
  <si>
    <t>https://drive.google.com/open?id=1RSb6BVtgAKU5Zje78r-wZNYjNPlNuukq</t>
  </si>
  <si>
    <t>https://drive.google.com/open?id=11iEevp2LOLrRZpnWS72Qgou3ZlXnCvoy</t>
  </si>
  <si>
    <t>6425001398252401018</t>
  </si>
  <si>
    <t>EG480003064250013982524010180</t>
  </si>
  <si>
    <t>C5.6 lecture hall</t>
  </si>
  <si>
    <t xml:space="preserve">Karim Magdy farag Mohamed </t>
  </si>
  <si>
    <t>كريم مجدي فرج محمد</t>
  </si>
  <si>
    <t>karimmagddy28@gmail.com</t>
  </si>
  <si>
    <t>201211559841</t>
  </si>
  <si>
    <t xml:space="preserve">Orman Smart language schools in maadi </t>
  </si>
  <si>
    <t xml:space="preserve">A Teacher of English language </t>
  </si>
  <si>
    <t>28407110104934</t>
  </si>
  <si>
    <t>https://drive.google.com/open?id=1uk7HAuJ0ln3Ori4GImoEf8uXlT2ertJH</t>
  </si>
  <si>
    <t>https://drive.google.com/open?id=1kaZ_YmJqFxYZSse6tZsT5_MfxitLF15g</t>
  </si>
  <si>
    <t xml:space="preserve"> Karim Magdy Farag Mohamed</t>
  </si>
  <si>
    <t>059100947372</t>
  </si>
  <si>
    <t>EG030046020400000059100947372</t>
  </si>
  <si>
    <t xml:space="preserve">Fady Nagy Fawzy Riyad </t>
  </si>
  <si>
    <t xml:space="preserve">فادي ناجي فوزي رياض </t>
  </si>
  <si>
    <t>fadynagyfawzy555@gmail.com</t>
  </si>
  <si>
    <t>201030030131</t>
  </si>
  <si>
    <t xml:space="preserve">International college of Benha </t>
  </si>
  <si>
    <t xml:space="preserve">PE teacher </t>
  </si>
  <si>
    <t>66196031</t>
  </si>
  <si>
    <t>29204111400737</t>
  </si>
  <si>
    <t>https://drive.google.com/open?id=1dM-IIkBz_Ci6WNxj6mEPy0EroRbiE1WU</t>
  </si>
  <si>
    <t>https://drive.google.com/open?id=1zkJ5d8eG_IGNwDFGK8z3aFuZyqEu-n6l</t>
  </si>
  <si>
    <t>1020620646235</t>
  </si>
  <si>
    <t>EG380037002708181020620646235</t>
  </si>
  <si>
    <t>C5.7 lecture hall</t>
  </si>
  <si>
    <t>Yassmen mohyelden mostafa kamel</t>
  </si>
  <si>
    <t>ياسمين محي الدين مصطفى كامل</t>
  </si>
  <si>
    <t>yassminmohy86@gmail.com</t>
  </si>
  <si>
    <t>201030106213</t>
  </si>
  <si>
    <t>مدرسة سما مصر</t>
  </si>
  <si>
    <t>مدرسة تخاطب</t>
  </si>
  <si>
    <t>76239206</t>
  </si>
  <si>
    <t>29609260102889</t>
  </si>
  <si>
    <t>https://drive.google.com/open?id=1ySWBRpepnSjapPmtymrxUyEqjFnz6uVb</t>
  </si>
  <si>
    <t>https://drive.google.com/open?id=1rXeBpJFNMUg4eNzxrL5ubZlh6P6izK5A</t>
  </si>
  <si>
    <t>YASSMINE MOHYELDEIN MOSTAFA KAMEL</t>
  </si>
  <si>
    <t>National Bank of Kuwait NBK</t>
  </si>
  <si>
    <t>MOKATTAM</t>
  </si>
  <si>
    <t>1901620000000000</t>
  </si>
  <si>
    <t>EG2800230019019G1615293210310</t>
  </si>
  <si>
    <t>WABAEGCXXXX</t>
  </si>
  <si>
    <t>Shaimaa Gamal AbdelElNaser El Sayed</t>
  </si>
  <si>
    <t>شيماء جمال عبد الناصر السيد</t>
  </si>
  <si>
    <t>shaimaagamal.m@gmail.com</t>
  </si>
  <si>
    <t>201007980548</t>
  </si>
  <si>
    <t xml:space="preserve">Capital International School </t>
  </si>
  <si>
    <t xml:space="preserve">HOD of libraries </t>
  </si>
  <si>
    <t>61002291</t>
  </si>
  <si>
    <t>28411270101645</t>
  </si>
  <si>
    <t>https://drive.google.com/open?id=1dospZdWgbkwKXJXwOCcjhLWZQGgdeKo9</t>
  </si>
  <si>
    <t>https://drive.google.com/open?id=1_ncIS53bHJiJzf_PKtm_B4bAQ8fnrEpp</t>
  </si>
  <si>
    <t xml:space="preserve">Shaimaa Gamal AbdelElNaser </t>
  </si>
  <si>
    <t>1130673237603</t>
  </si>
  <si>
    <t>EG480037005908181130673237603</t>
  </si>
  <si>
    <t>C5.8 lecture hall</t>
  </si>
  <si>
    <t>Samira samy aly youssif</t>
  </si>
  <si>
    <t>سميرة سامى على يوسف</t>
  </si>
  <si>
    <t>Smsmalokap@gmail.com</t>
  </si>
  <si>
    <t>201116453676</t>
  </si>
  <si>
    <t>5338592</t>
  </si>
  <si>
    <t>28601010139669</t>
  </si>
  <si>
    <t>https://drive.google.com/open?id=1SBaD8GO-wHIdXVFaeJNZ-QX44mdtO5jx</t>
  </si>
  <si>
    <t>https://drive.google.com/open?id=1tem6J3Eo7RP9qYNEd6I-LZA5HkQ65nvP</t>
  </si>
  <si>
    <t>الكوم الأخضر</t>
  </si>
  <si>
    <t>6615001794081700000</t>
  </si>
  <si>
    <t>EG710003066150017940817000130</t>
  </si>
  <si>
    <t>0661</t>
  </si>
  <si>
    <t>Rasha Mosaad Mohamed Bayoumy</t>
  </si>
  <si>
    <t>رشا مسعد محمد بيومى</t>
  </si>
  <si>
    <t>rrosha355@gmail.com</t>
  </si>
  <si>
    <t>201129077805</t>
  </si>
  <si>
    <t>Cairo Modern International School</t>
  </si>
  <si>
    <t>Hr</t>
  </si>
  <si>
    <t>19130019</t>
  </si>
  <si>
    <t>28203101200225</t>
  </si>
  <si>
    <t>https://drive.google.com/open?id=122ASPjR6J-A7uqX-0LLWIIfLOZp86y9b</t>
  </si>
  <si>
    <t>https://drive.google.com/open?id=1mSSzgf_oRTx4PQlu4obT8nzAnP8dH2HV</t>
  </si>
  <si>
    <t>Rasha Mousad Mohamed baiomy amer</t>
  </si>
  <si>
    <t>ميفيدا التجمع</t>
  </si>
  <si>
    <t>1154545710010201</t>
  </si>
  <si>
    <t>EG610057092901154545710010201</t>
  </si>
  <si>
    <t>0305</t>
  </si>
  <si>
    <t>C5.9 lecture hall</t>
  </si>
  <si>
    <t xml:space="preserve">Salwa fouad nasr nesseim </t>
  </si>
  <si>
    <t xml:space="preserve">سلوى فؤاد نصر نسيم </t>
  </si>
  <si>
    <t>salwa.fouad@isegypt.org</t>
  </si>
  <si>
    <t>201224155933</t>
  </si>
  <si>
    <t xml:space="preserve">The International School of Egypt </t>
  </si>
  <si>
    <t>55112129</t>
  </si>
  <si>
    <t>27409080102329</t>
  </si>
  <si>
    <t>https://drive.google.com/open?id=113Mfbig_pj7l5MV_o963sOSvU0Avd0O4</t>
  </si>
  <si>
    <t>https://drive.google.com/open?id=1JE9x2pRJgnUK8JQ0ehZh1cJkIOg31_qk</t>
  </si>
  <si>
    <t>1185000332745500010</t>
  </si>
  <si>
    <t>EG380003011850003327455000100</t>
  </si>
  <si>
    <t>Hala Afify Mahmoud Afify</t>
  </si>
  <si>
    <t>هاله عفيفي محمود عفيفي</t>
  </si>
  <si>
    <t>halaafify23@gmail.com</t>
  </si>
  <si>
    <t>201003462638</t>
  </si>
  <si>
    <t>Zoser princess language school</t>
  </si>
  <si>
    <t>68501162</t>
  </si>
  <si>
    <t>29206250103987</t>
  </si>
  <si>
    <t>https://drive.google.com/open?id=1nu-cQOGw7f_wcTl4GBlmUBMzhVz0k2hT</t>
  </si>
  <si>
    <t>https://drive.google.com/open?id=1hr6pg0l3s97kSXBA5RVdHDBffX-zPun2</t>
  </si>
  <si>
    <t>Hala Afify Mahmoude Afify</t>
  </si>
  <si>
    <t>El hegaz</t>
  </si>
  <si>
    <t>EG670003011550002331737000140</t>
  </si>
  <si>
    <t>C5.10 lecture hall</t>
  </si>
  <si>
    <t>Mohamed adel saeed mohamed</t>
  </si>
  <si>
    <t>محمد عادل سعيد محمد</t>
  </si>
  <si>
    <t>eng.m7mdelghezawy@gmail.com</t>
  </si>
  <si>
    <t>201113455162</t>
  </si>
  <si>
    <t>29304240101813</t>
  </si>
  <si>
    <t>https://drive.google.com/open?id=1JuKQ195y3m1firquxKQxunPkSwLLs8Xh</t>
  </si>
  <si>
    <t>https://drive.google.com/open?id=1KIvYwjGgbxVjx4-cKPJyNNa-ucixgf8J</t>
  </si>
  <si>
    <t>محمد عادل سعيد محمد الغزاوى</t>
  </si>
  <si>
    <t>حدايق القبة</t>
  </si>
  <si>
    <t>1085000286076900017</t>
  </si>
  <si>
    <t>EG460003010850002860769000170</t>
  </si>
  <si>
    <t>Sherine Mansour William Beshara</t>
  </si>
  <si>
    <t>شيرين منصور وليم بشارة</t>
  </si>
  <si>
    <t>sherine.william.b@gmail.com</t>
  </si>
  <si>
    <t>201223634233</t>
  </si>
  <si>
    <t xml:space="preserve">Millennium Language Schools </t>
  </si>
  <si>
    <t>49647087</t>
  </si>
  <si>
    <t>27412290101482</t>
  </si>
  <si>
    <t>https://drive.google.com/open?id=1j0XU02lYu7bDDmGX244POFpV32TafwIW</t>
  </si>
  <si>
    <t>https://drive.google.com/open?id=1kzNfQB548iXRP96OB1HQ0Ju0EVa7QpTT</t>
  </si>
  <si>
    <t>Sherine Mansour William Bishara</t>
  </si>
  <si>
    <t xml:space="preserve">New Cairo </t>
  </si>
  <si>
    <t>00201100013583</t>
  </si>
  <si>
    <t>EG930036000100000201100013583</t>
  </si>
  <si>
    <t>C3.6</t>
  </si>
  <si>
    <t>heba mostafa abdelmonaim khorshed</t>
  </si>
  <si>
    <t>هبة مصطفى عبدالمنعم</t>
  </si>
  <si>
    <t>hebam5315@gmail.com</t>
  </si>
  <si>
    <t>201061370655</t>
  </si>
  <si>
    <t>EG840003012550003056298000140</t>
  </si>
  <si>
    <t>C3.7</t>
  </si>
  <si>
    <t>Nermeen Mahmoud Hosny awad El samanoudy</t>
  </si>
  <si>
    <t>نيرمين محمود حسنى عوض السمنودى</t>
  </si>
  <si>
    <t>mahmoudnermeen60@gmail.com</t>
  </si>
  <si>
    <t>201158778553</t>
  </si>
  <si>
    <t>Zahraa Nader city</t>
  </si>
  <si>
    <t>EG540002015901590370000000122</t>
  </si>
  <si>
    <t>Mary Tawfeek</t>
  </si>
  <si>
    <t>مارى توفيق خير توفيق</t>
  </si>
  <si>
    <t>mary.kheir.mt@gmail.com</t>
  </si>
  <si>
    <t>جسر السويس</t>
  </si>
  <si>
    <t>EG770003012750014782465010120</t>
  </si>
  <si>
    <t>C3.8</t>
  </si>
  <si>
    <t>Mostafa Hassan Mostafa</t>
  </si>
  <si>
    <t>مصطفى حسن مصطفى</t>
  </si>
  <si>
    <t>m.hassanetman@gmail.com</t>
  </si>
  <si>
    <t>EG570003012630515059362020230</t>
  </si>
  <si>
    <t>0126</t>
  </si>
  <si>
    <t>A2.2 Engineering</t>
  </si>
  <si>
    <t>Hassan Hamed Mahmoud</t>
  </si>
  <si>
    <t>حسن حامد محمود عمر</t>
  </si>
  <si>
    <t>hassan.hamid@york-press.com</t>
  </si>
  <si>
    <t>201069533744</t>
  </si>
  <si>
    <t>Future University Faculty of Engineering</t>
  </si>
  <si>
    <t>24</t>
  </si>
  <si>
    <t>Asmaa Ayman Ahmed Khalifa</t>
  </si>
  <si>
    <t>asmaaayymann@gmail.com</t>
  </si>
  <si>
    <t>201018335964</t>
  </si>
  <si>
    <t>https://drive.google.com/open?id=1bj4UZ1R09qgQCe6tiZHCxJ8TIspc34VR</t>
  </si>
  <si>
    <t>https://drive.google.com/open?id=1cZPOvjNE5TQM9zOpQcVw3xvys8O38Xww</t>
  </si>
  <si>
    <t>Asmaa Ayman Ahmed</t>
  </si>
  <si>
    <t>EG770010001200000100055084321</t>
  </si>
  <si>
    <t>Mohamed Abdel fattah Eipl</t>
  </si>
  <si>
    <t>محمد عبد الفتاح محمد عبده</t>
  </si>
  <si>
    <t>moustafammm09@gmail.com</t>
  </si>
  <si>
    <t>201001322535</t>
  </si>
  <si>
    <t>Mostafa Mahmoud Otifi</t>
  </si>
  <si>
    <t>مصطفى محمود سيد عطيفي</t>
  </si>
  <si>
    <t>mostafa.otafi@york-press.com</t>
  </si>
  <si>
    <t>201065522013</t>
  </si>
  <si>
    <t>1120146610010101</t>
  </si>
  <si>
    <t>22</t>
  </si>
  <si>
    <t>Reem Gaber elSayed eldeep</t>
  </si>
  <si>
    <t>ريم جابر السيد ديب</t>
  </si>
  <si>
    <t>timesk17@gmail.com</t>
  </si>
  <si>
    <t>201063258532</t>
  </si>
  <si>
    <t>Thebes international school</t>
  </si>
  <si>
    <t>Teacher arabic</t>
  </si>
  <si>
    <t>29503170101503</t>
  </si>
  <si>
    <t>https://drive.google.com/open?id=1mm3AHyQ6RLjowShEK9rqJbTG0-6m6s8h</t>
  </si>
  <si>
    <t>https://drive.google.com/open?id=1f498Q-J6zWM4rR87WWj2p-bK2cC1qaff</t>
  </si>
  <si>
    <t>REEM GABER ElSAYED DEEB</t>
  </si>
  <si>
    <t>1160333000069452</t>
  </si>
  <si>
    <t>EG040002011601160333000069452</t>
  </si>
  <si>
    <t>A2.1  lecture hall</t>
  </si>
  <si>
    <t xml:space="preserve">Neven mohamed mounir mahmoud </t>
  </si>
  <si>
    <t>نيفين محمد منير محمود</t>
  </si>
  <si>
    <t xml:space="preserve">   nevenmohamedmounir@gmail.com </t>
  </si>
  <si>
    <t>201223342981</t>
  </si>
  <si>
    <t xml:space="preserve">EIS-TAGAMO3  International school </t>
  </si>
  <si>
    <t>HRT</t>
  </si>
  <si>
    <t>25975704</t>
  </si>
  <si>
    <t>EIS</t>
  </si>
  <si>
    <t>27601100104143</t>
  </si>
  <si>
    <t>https://drive.google.com/open?id=1eMrHZ2ZoKrL8BHrTAJi0B_oB5PYVhVby</t>
  </si>
  <si>
    <t>https://drive.google.com/open?id=1GVK7H7LHXn-dVthj1In-s6aHhRDnpHEr</t>
  </si>
  <si>
    <t>Neven mohamed mounir</t>
  </si>
  <si>
    <t>احمد فخري</t>
  </si>
  <si>
    <t>8180000118301911103</t>
  </si>
  <si>
    <t>EG810022011880000118301911103</t>
  </si>
  <si>
    <t>dalia abdullah ibrahim abohassan</t>
  </si>
  <si>
    <t>داليا عبدالله ابراهيم ابوحسن</t>
  </si>
  <si>
    <t>daliaabohassan9@gmail.com</t>
  </si>
  <si>
    <t>201129900863</t>
  </si>
  <si>
    <t>British council</t>
  </si>
  <si>
    <t>invigilator</t>
  </si>
  <si>
    <t>27006271600569</t>
  </si>
  <si>
    <t>https://drive.google.com/open?id=16gGQOy--MzBKK4TWbgGa2ppcnZdXPum-</t>
  </si>
  <si>
    <t>https://drive.google.com/open?id=1PLEUYsq-5naj6zM_b1b6txvOF9FBd522</t>
  </si>
  <si>
    <t>el demerdash</t>
  </si>
  <si>
    <t>1335000022479400000</t>
  </si>
  <si>
    <t>EG510003013350000224794000100</t>
  </si>
  <si>
    <t>Hany Adel Fouad Kodssy</t>
  </si>
  <si>
    <t>هاني عادل فؤاد قدسي</t>
  </si>
  <si>
    <t>hanykodssy@hotmail.com</t>
  </si>
  <si>
    <t>201224970443</t>
  </si>
  <si>
    <t>Gems British International School Madinaty</t>
  </si>
  <si>
    <t>31237578</t>
  </si>
  <si>
    <t>28306251600314</t>
  </si>
  <si>
    <t>https://drive.google.com/open?id=1Oqamnr_i4zqZ2vNAiLsGYqxiyuSE6WSF</t>
  </si>
  <si>
    <t>https://drive.google.com/open?id=18IOuh5mygVs9SqUeGjVTW5esxDaXxDyc</t>
  </si>
  <si>
    <t>Hany Adel Fouad</t>
  </si>
  <si>
    <t>الشروق Aaib</t>
  </si>
  <si>
    <t>1004378660010201</t>
  </si>
  <si>
    <t>EG050057013301004378660010201</t>
  </si>
  <si>
    <t>Mariam Abd Elmassih Youssef</t>
  </si>
  <si>
    <t>مريم عبد المسيح يوسف بباوي</t>
  </si>
  <si>
    <t>mariambebawy91@gmail.com</t>
  </si>
  <si>
    <t>201220507678</t>
  </si>
  <si>
    <t>Integrated Thebes American college in Cairo</t>
  </si>
  <si>
    <t>67281834</t>
  </si>
  <si>
    <t>29109010109842</t>
  </si>
  <si>
    <t>https://drive.google.com/open?id=1H6aElAzIKH3ZkQqOA8XW_-D2cm2TY-yd</t>
  </si>
  <si>
    <t>https://drive.google.com/open?id=1sq2d0lIpWIESrV9n8fQXhCLCxjNdpbdd</t>
  </si>
  <si>
    <t>Mariam Abd El Messih Youssef Bebawy</t>
  </si>
  <si>
    <t>EG770003065430512785324000160</t>
  </si>
  <si>
    <t>0654</t>
  </si>
  <si>
    <t>abeer mohamed hafez osman</t>
  </si>
  <si>
    <t xml:space="preserve">عبير محمد حافظ عثمان </t>
  </si>
  <si>
    <t>abeeramr00012@gmail.com</t>
  </si>
  <si>
    <t>201000939574</t>
  </si>
  <si>
    <t>Computer science teacher</t>
  </si>
  <si>
    <t>‎374*333*947</t>
  </si>
  <si>
    <t>28002270102385</t>
  </si>
  <si>
    <t>https://drive.google.com/open?id=1MVcGm-U-OVY9LfLHK3rS0rOQLkyVNK42</t>
  </si>
  <si>
    <t>https://drive.google.com/open?id=1kd4cd5u9_VVtkCnCFoXQasrI3Azbx3Lw</t>
  </si>
  <si>
    <t>ABEER MOHAMED HAFEZ OSMAN</t>
  </si>
  <si>
    <t>100037210018</t>
  </si>
  <si>
    <t>EG650010011000000100037210018</t>
  </si>
  <si>
    <t>Zeinap sayd apd elmged</t>
  </si>
  <si>
    <t>زينب سيد عبد المجيد</t>
  </si>
  <si>
    <t>zeinapsayd@gmail.com</t>
  </si>
  <si>
    <t>201002993727</t>
  </si>
  <si>
    <t>63686019</t>
  </si>
  <si>
    <t>noun</t>
  </si>
  <si>
    <t>29203112701041</t>
  </si>
  <si>
    <t>https://drive.google.com/open?id=1bAl59parnOogTluT9t80MVdAtdw9gcKx</t>
  </si>
  <si>
    <t>https://drive.google.com/open?id=1n2pZg8WDP-4DvJAir9rviaA4fB3v0zKL</t>
  </si>
  <si>
    <t>ZiNAB SAYED</t>
  </si>
  <si>
    <t>المعادي ش9</t>
  </si>
  <si>
    <t>0615001803272100018</t>
  </si>
  <si>
    <t>EG980003006150018032721000180</t>
  </si>
  <si>
    <t>A3.1  lecture hall</t>
  </si>
  <si>
    <t>Shimaa yehia abdelghani ghazali</t>
  </si>
  <si>
    <t xml:space="preserve">شيماء يحيى عبدالغني غزالي </t>
  </si>
  <si>
    <t>shimaaghazally@gmail.com</t>
  </si>
  <si>
    <t>201020563777</t>
  </si>
  <si>
    <t xml:space="preserve">Sama college </t>
  </si>
  <si>
    <t>69595297</t>
  </si>
  <si>
    <t>29102210100128</t>
  </si>
  <si>
    <t>https://drive.google.com/open?id=183bawoH4CjhcQRCdXTvkplcrwSJFyRXB</t>
  </si>
  <si>
    <t>https://drive.google.com/open?id=18Ng0ME5m6kPhUhSu4S2rNo61qZIxDamP</t>
  </si>
  <si>
    <t>EG790003011450018327671000110</t>
  </si>
  <si>
    <t>Nada Khalaf Abdelazem Mohamed</t>
  </si>
  <si>
    <t>ندا خلف عبد العظيم محمد</t>
  </si>
  <si>
    <t>nadakhalf22@gmail.com</t>
  </si>
  <si>
    <t>201017570735</t>
  </si>
  <si>
    <t>Al Mokhtar language school</t>
  </si>
  <si>
    <t>30202032200342</t>
  </si>
  <si>
    <t>https://drive.google.com/open?id=1eLp45DtwaBeui08bKXLfBEm0D8dqbh4M</t>
  </si>
  <si>
    <t>https://drive.google.com/open?id=1_SqK3IHq0Et6of2-jGuhRTz84ga36hSj</t>
  </si>
  <si>
    <t>NADA KHALAF ABDELAZEM</t>
  </si>
  <si>
    <t>Hadayek Helwan</t>
  </si>
  <si>
    <t>4223227464840752</t>
  </si>
  <si>
    <t>EG350002074607460333000049666</t>
  </si>
  <si>
    <t>0746</t>
  </si>
  <si>
    <t xml:space="preserve">Mona abd elaal Abu Khoziem </t>
  </si>
  <si>
    <t>monaabelaal@gmail.com</t>
  </si>
  <si>
    <t>201156991313</t>
  </si>
  <si>
    <t>الرواد المستقبل</t>
  </si>
  <si>
    <t>67060613</t>
  </si>
  <si>
    <t>27801200104921</t>
  </si>
  <si>
    <t>https://drive.google.com/open?id=1H6nfXjGQLvP3zwdbtAT4ekNKv6PZ0Lzo</t>
  </si>
  <si>
    <t>https://drive.google.com/open?id=1Y3-PxnkqaH1deYKSY7WZCETxL0Skz94s</t>
  </si>
  <si>
    <t>1515000592789000010</t>
  </si>
  <si>
    <t>EG900003015150005927890000100</t>
  </si>
  <si>
    <t>Marwa Mohamed Nour Eldin Mahmoud mabrouk</t>
  </si>
  <si>
    <t>مروه محمد نور الدين محمود مبروك</t>
  </si>
  <si>
    <t>Mokanoor787@gmail.com</t>
  </si>
  <si>
    <t>201020520965</t>
  </si>
  <si>
    <t>HOD Arabic Social Studies</t>
  </si>
  <si>
    <t>28509150101684</t>
  </si>
  <si>
    <t>https://drive.google.com/open?id=15mB1BnpbLsnEsdzUfovkUI1REyx4ld8i</t>
  </si>
  <si>
    <t>https://drive.google.com/open?id=1kCcOZnqydrpbF-0Kzs0uoAtbf5EmmU8H</t>
  </si>
  <si>
    <t>Marwa Mohamed Nour Eldin Mahmoud</t>
  </si>
  <si>
    <t>Donia Tarek Abdelhamed Ahmed</t>
  </si>
  <si>
    <t>دنيا طارق عبد الحميد احمد</t>
  </si>
  <si>
    <t>doniatarek102@gmail.com</t>
  </si>
  <si>
    <t>201111153365</t>
  </si>
  <si>
    <t>Sun of Glory international school</t>
  </si>
  <si>
    <t>77857999</t>
  </si>
  <si>
    <t>29409250103021</t>
  </si>
  <si>
    <t>https://drive.google.com/open?id=158HyMa1oWRjmRSiN6iFY0Ah3fQf4qbx1</t>
  </si>
  <si>
    <t>https://drive.google.com/open?id=1gNk-9rCR_pA1ZSWreUXps_OFE6jv49B-</t>
  </si>
  <si>
    <t>Donia Tarek Abdelhamid</t>
  </si>
  <si>
    <t>1690111000011126</t>
  </si>
  <si>
    <t>EG210002016901690111000011126</t>
  </si>
  <si>
    <t>A3.2  lecture hall</t>
  </si>
  <si>
    <t>Sherif AlaaEldin Ali</t>
  </si>
  <si>
    <t>شريف علاء الدين علي</t>
  </si>
  <si>
    <t>sherifalaa212@gmail.com</t>
  </si>
  <si>
    <t>201100331226</t>
  </si>
  <si>
    <t>PE</t>
  </si>
  <si>
    <t>29606060100378</t>
  </si>
  <si>
    <t>https://drive.google.com/open?id=1HQ3-RTaDi4gsDTv7CrtwNzno3lVKIInf</t>
  </si>
  <si>
    <t>https://drive.google.com/open?id=17GMuvtWJSXpS5j07GwfJhSrW6ipmpNp_</t>
  </si>
  <si>
    <t>Sherif AlaaEldin</t>
  </si>
  <si>
    <t>التجمع</t>
  </si>
  <si>
    <t>057-069817-001</t>
  </si>
  <si>
    <t>EG730025005700000057069817001</t>
  </si>
  <si>
    <t>0039</t>
  </si>
  <si>
    <t xml:space="preserve">Magdy khaled ABDELATIF abdallah </t>
  </si>
  <si>
    <t xml:space="preserve">مجدي خالد عبد اللطيف عبد الله </t>
  </si>
  <si>
    <t>Magdykhalid661@gmail.com</t>
  </si>
  <si>
    <t>201019294020</t>
  </si>
  <si>
    <t>29509261701234</t>
  </si>
  <si>
    <t>https://drive.google.com/open?id=1AODINBUmBPlXv7OR9vpxOm5I4lM_cEfk</t>
  </si>
  <si>
    <t>https://drive.google.com/open?id=1CJ_9SFCwsJ0Ie3p6fRnJEvQUGmbvvp8s</t>
  </si>
  <si>
    <t xml:space="preserve">MAGDY KHALED ABDELATIF KANDIL ABDULLAH </t>
  </si>
  <si>
    <t xml:space="preserve">SHEBEEN EL KOM </t>
  </si>
  <si>
    <t>007457430001</t>
  </si>
  <si>
    <t>EG640019005200000007457430001</t>
  </si>
  <si>
    <t>0052</t>
  </si>
  <si>
    <t>Hoda Mohamed Elgaber mortada</t>
  </si>
  <si>
    <t>هدى محمد الجابر مرتضى</t>
  </si>
  <si>
    <t>Hodaelgabermortada@yahoo.com</t>
  </si>
  <si>
    <t>201096739300</t>
  </si>
  <si>
    <t>National center for examination &amp; educational evaluation</t>
  </si>
  <si>
    <t xml:space="preserve">Researcher </t>
  </si>
  <si>
    <t>12934593</t>
  </si>
  <si>
    <t>27007070102702</t>
  </si>
  <si>
    <t>https://drive.google.com/open?id=1a0lybXpt2t9lOfycuoam9sX4OUkHIGjC</t>
  </si>
  <si>
    <t>https://drive.google.com/open?id=1ABc34F_0vheYPDy-VPXHKQFN57MRiwmD</t>
  </si>
  <si>
    <t>0735001788334300012</t>
  </si>
  <si>
    <t>EG730003007350017883343000120</t>
  </si>
  <si>
    <t>Samuel Safwat Labib Tousa</t>
  </si>
  <si>
    <t>صموئيل صفوت لبيب طوسه</t>
  </si>
  <si>
    <t>samuel.4s.labib@gmail.com</t>
  </si>
  <si>
    <t>201272588314</t>
  </si>
  <si>
    <t>Sant Mary School</t>
  </si>
  <si>
    <t>Art teacher</t>
  </si>
  <si>
    <t>62893777</t>
  </si>
  <si>
    <t>28511270102051</t>
  </si>
  <si>
    <t>https://drive.google.com/open?id=1fYm1Pc4sTC5vVJJucraepRS3L2P6Uz4H</t>
  </si>
  <si>
    <t>https://drive.google.com/open?id=1tlegJaq5bl-6v3Q-90y7Yw0b2AkSJjI-</t>
  </si>
  <si>
    <t>Samuel Safwat Labib</t>
  </si>
  <si>
    <t>El Sawah</t>
  </si>
  <si>
    <t>1235010560266900000</t>
  </si>
  <si>
    <t>EG530003012350105602669000170</t>
  </si>
  <si>
    <t>0123</t>
  </si>
  <si>
    <t>A3.4  lecture hall</t>
  </si>
  <si>
    <t>Mostafa Ahmed Elsayed saber</t>
  </si>
  <si>
    <t>مصطفي احمد السيد صابر</t>
  </si>
  <si>
    <t xml:space="preserve">A.mostafa18@yahoo.com </t>
  </si>
  <si>
    <t>201142708910</t>
  </si>
  <si>
    <t>Makka school</t>
  </si>
  <si>
    <t>29203310102358</t>
  </si>
  <si>
    <t>https://drive.google.com/open?id=1Q7JSKwjfHo5xSUlXu_DSFOU71hGYPi5S</t>
  </si>
  <si>
    <t>https://drive.google.com/open?id=1sz155NN8fHytg9TgQc3Tp9pStaSd0PYF</t>
  </si>
  <si>
    <t xml:space="preserve">Madinet Nasr </t>
  </si>
  <si>
    <t>100039283128</t>
  </si>
  <si>
    <t>EG980010010900000100039283128</t>
  </si>
  <si>
    <t>Asmaa Mostafa Hassan Abdallah</t>
  </si>
  <si>
    <t xml:space="preserve">اسماء مصطفي حسن عبد الله </t>
  </si>
  <si>
    <t>asmaamostafaelkallamony@gmail.com</t>
  </si>
  <si>
    <t>201062611824</t>
  </si>
  <si>
    <t>Elbashaer intrenational school</t>
  </si>
  <si>
    <t>37961006</t>
  </si>
  <si>
    <t>28211300102081</t>
  </si>
  <si>
    <t>https://drive.google.com/open?id=1NTSozXLyNexrx5dmeNwp0K7c4tc1gkNa</t>
  </si>
  <si>
    <t>https://drive.google.com/open?id=1OCSlHMaI8CPECS8H_LF_JSMukF0K4ZPd</t>
  </si>
  <si>
    <t xml:space="preserve">أسماء مصطفي حسن عبد الله </t>
  </si>
  <si>
    <t>دار السلام</t>
  </si>
  <si>
    <t>1520333000023957</t>
  </si>
  <si>
    <t>EG490002015201520333000023957</t>
  </si>
  <si>
    <t>A3.7  lecture hall</t>
  </si>
  <si>
    <t>Aya mohamed Abd Moneim soliman</t>
  </si>
  <si>
    <t>ayahemozain@gmail.com</t>
  </si>
  <si>
    <t>201095472720</t>
  </si>
  <si>
    <t xml:space="preserve">Capital International school </t>
  </si>
  <si>
    <t xml:space="preserve">Library Assistant </t>
  </si>
  <si>
    <t>66769190</t>
  </si>
  <si>
    <t>29011132800686</t>
  </si>
  <si>
    <t>https://drive.google.com/open?id=1_-jwi8F5UhvmAAfGL8NtcA7dl7_zHI-k</t>
  </si>
  <si>
    <t>https://drive.google.com/open?id=1LZNt3EzyBhtj97QhqjyPLaDkLhJCybUL</t>
  </si>
  <si>
    <t xml:space="preserve">Aya mohamed Abd Moneim soliman </t>
  </si>
  <si>
    <t>نادي المعادي</t>
  </si>
  <si>
    <t>1945000730000800014</t>
  </si>
  <si>
    <t>EG630003019450007300008000140</t>
  </si>
  <si>
    <t xml:space="preserve">Mustafa Abdul Halim Ibrahim Abdul Halim </t>
  </si>
  <si>
    <t>elafifi.mustafa@gmail.com</t>
  </si>
  <si>
    <t>201096094099 
 201285225634</t>
  </si>
  <si>
    <t xml:space="preserve">Mustafa Kamel Secondary School for Boys </t>
  </si>
  <si>
    <t xml:space="preserve">Senior Teacher of English </t>
  </si>
  <si>
    <t>38741030</t>
  </si>
  <si>
    <t>27111130103772</t>
  </si>
  <si>
    <t>https://drive.google.com/open?id=1eCrRCgVRX6UfrNNwV6dwYUgxM9l8lLGt</t>
  </si>
  <si>
    <t>https://drive.google.com/open?id=1Z34vCSTh64mNihxi0bgMDciMiw58Qgpi</t>
  </si>
  <si>
    <t>الحى العاشر</t>
  </si>
  <si>
    <t>405001822908600000</t>
  </si>
  <si>
    <t>EG400003004050018229086000150</t>
  </si>
  <si>
    <t>A3.8  lecture hall</t>
  </si>
  <si>
    <t>Mervat ragab ahmed khalil</t>
  </si>
  <si>
    <t xml:space="preserve">مرفت رجب احمد خليل </t>
  </si>
  <si>
    <t>mervatragab338@gmail.com</t>
  </si>
  <si>
    <t>201033301998</t>
  </si>
  <si>
    <t>Manager students affair</t>
  </si>
  <si>
    <t>14082764</t>
  </si>
  <si>
    <t>27204300101204</t>
  </si>
  <si>
    <t>https://drive.google.com/open?id=1nfn99feUWYA47OAp9KcJQ1T7YeQM4a_y</t>
  </si>
  <si>
    <t>https://drive.google.com/open?id=1pmtNQrl2kbpV-iUh9txAbFMsU_6xZArg</t>
  </si>
  <si>
    <t xml:space="preserve">المقطم </t>
  </si>
  <si>
    <t>1065010025267000010</t>
  </si>
  <si>
    <t>EG280003010650100252670000100</t>
  </si>
  <si>
    <t>Zynab Ihab Ahmed Shabayk</t>
  </si>
  <si>
    <t>زينب ايهاب احمد شبايك</t>
  </si>
  <si>
    <t>zynebehab@gmail.com</t>
  </si>
  <si>
    <t>201009943059</t>
  </si>
  <si>
    <t xml:space="preserve">Elbashaer International School </t>
  </si>
  <si>
    <t>80458666</t>
  </si>
  <si>
    <t>29809280104445</t>
  </si>
  <si>
    <t>https://drive.google.com/open?id=13Xr3tZLBxYpGxVZI7jBAIjTGa7DaE93g</t>
  </si>
  <si>
    <t>https://drive.google.com/open?id=1D76to9WS9G3yonnJk4tZPSk6_pe4bJJ0</t>
  </si>
  <si>
    <t>ZENAB EHAB AHMED MOHAMED SHABAYEK</t>
  </si>
  <si>
    <t>المعادى</t>
  </si>
  <si>
    <t>0540001324461</t>
  </si>
  <si>
    <t>EG660038005400000540001324461</t>
  </si>
  <si>
    <t>Donia Wageh Galal</t>
  </si>
  <si>
    <t>دنيا و جيه جلال محمد</t>
  </si>
  <si>
    <t>donia.wageh@sayegh1944.com</t>
  </si>
  <si>
    <t>201110484048</t>
  </si>
  <si>
    <t>54</t>
  </si>
  <si>
    <t xml:space="preserve">Shimaa Omar Ali Ibrahim </t>
  </si>
  <si>
    <t xml:space="preserve">شيماء عمر علي ابراهيم </t>
  </si>
  <si>
    <t>oshaimaa387@gmail.com</t>
  </si>
  <si>
    <t>201153151414</t>
  </si>
  <si>
    <t>The egyptian language school</t>
  </si>
  <si>
    <t>29507160400222</t>
  </si>
  <si>
    <t>https://drive.google.com/open?id=1ezM6bkJXZzOqCHELzDMH38lpzUez5ADm</t>
  </si>
  <si>
    <t>https://drive.google.com/open?id=1jtdNuIuPv8YSaQZirEDdZjNHgZeMBARV</t>
  </si>
  <si>
    <t>Arab bank</t>
  </si>
  <si>
    <t>6 october</t>
  </si>
  <si>
    <t>5007806665419</t>
  </si>
  <si>
    <t>EG910044500700005007806665419</t>
  </si>
  <si>
    <t>5007</t>
  </si>
  <si>
    <t>A4.1  lecture hall</t>
  </si>
  <si>
    <t xml:space="preserve">Samah khalaf abdelazem Mohamed </t>
  </si>
  <si>
    <t>سماح خلف عبدالعظيم محمد</t>
  </si>
  <si>
    <t>samahkhalaff@gmail.com</t>
  </si>
  <si>
    <t>201021695906</t>
  </si>
  <si>
    <t>29610262201025</t>
  </si>
  <si>
    <t>https://drive.google.com/open?id=121eV0g3R89QCUjApGCuaZuonhPdPDbTG</t>
  </si>
  <si>
    <t>https://drive.google.com/open?id=1oPR-0t4IcYmyvx6v9nwILL6icBWOOQsp</t>
  </si>
  <si>
    <t>SAMAH KHALAF ABDELAZEM</t>
  </si>
  <si>
    <t>4223227467663151</t>
  </si>
  <si>
    <t>EG140002074607460333000048492</t>
  </si>
  <si>
    <t>Basma Moustafa Abdel Aziz</t>
  </si>
  <si>
    <t>بسمه مصطفي عبد العزيز</t>
  </si>
  <si>
    <t>basma.moustafa.bm@gmail.com</t>
  </si>
  <si>
    <t>201228821112</t>
  </si>
  <si>
    <t xml:space="preserve">English teacher own Heliopolis American </t>
  </si>
  <si>
    <t>28704170100321</t>
  </si>
  <si>
    <t>https://drive.google.com/open?id=1kVjx8_wrYqx6qos2_nsk5yCOOBspzFqd</t>
  </si>
  <si>
    <t>https://drive.google.com/open?id=16pauAXbOY6T8yPVPsX8Ks6Gx71mLsJuf</t>
  </si>
  <si>
    <t>بسمه مصطفي عبد العزيز السيد</t>
  </si>
  <si>
    <t>1385000401919600014</t>
  </si>
  <si>
    <t>EG180003013850004019196000140</t>
  </si>
  <si>
    <t>Salma muhammed mostafa attia</t>
  </si>
  <si>
    <t xml:space="preserve">سلمى محمد مصطفى عطية </t>
  </si>
  <si>
    <t>Salmamuhammed549@gmail.com</t>
  </si>
  <si>
    <t>201023705077</t>
  </si>
  <si>
    <t>Nefertari International school</t>
  </si>
  <si>
    <t>080485279</t>
  </si>
  <si>
    <t>29907092100221</t>
  </si>
  <si>
    <t>https://drive.google.com/open?id=1vwmiH1JulAp9pkoT7bltRLk8xT0oifhv</t>
  </si>
  <si>
    <t>https://drive.google.com/open?id=1hrwydLFOZLIebeJMucrXW68MoUZ_WxnN</t>
  </si>
  <si>
    <t xml:space="preserve">Salma mohammed mostafa </t>
  </si>
  <si>
    <t xml:space="preserve">Cairo university </t>
  </si>
  <si>
    <t>1960383000003848</t>
  </si>
  <si>
    <t>EG530002019601960383000003848</t>
  </si>
  <si>
    <t>0196</t>
  </si>
  <si>
    <t xml:space="preserve">Noha Atef Abdelmoneim Ahmed </t>
  </si>
  <si>
    <t xml:space="preserve">نهي عاطف عبد المنعم احمد </t>
  </si>
  <si>
    <t>nohaatefabdelmoneim@gmail.com</t>
  </si>
  <si>
    <t>201065185385</t>
  </si>
  <si>
    <t>77668105</t>
  </si>
  <si>
    <t>29707010109103</t>
  </si>
  <si>
    <t>https://drive.google.com/open?id=1SdlCbdrnNzD8dqeIr5EBAEJVkyGvcYB8</t>
  </si>
  <si>
    <t>https://drive.google.com/open?id=12pPIbAsvxgK3ccdcT5iDGU-FBKF5Xr2g</t>
  </si>
  <si>
    <t xml:space="preserve">السبعين التجمع الخامس </t>
  </si>
  <si>
    <t>0855001506814201018</t>
  </si>
  <si>
    <t>EG150003008550015068142010180</t>
  </si>
  <si>
    <t>0085</t>
  </si>
  <si>
    <t>Hoor Mansour Mohamed Abd-El_Ghany</t>
  </si>
  <si>
    <t>حور منصور محمد عبدالغني</t>
  </si>
  <si>
    <t>hoormansour24@gmail.com</t>
  </si>
  <si>
    <t>201069465225</t>
  </si>
  <si>
    <t>Roots School</t>
  </si>
  <si>
    <t>English Language teacher</t>
  </si>
  <si>
    <t>28908248800744</t>
  </si>
  <si>
    <t>https://drive.google.com/open?id=1c9Nhl31VIdNPsy6Kyboe1K4ttwb9upYX</t>
  </si>
  <si>
    <t>https://drive.google.com/open?id=1TAAqSi1_zSJgPVIfYAeV-LpXonP4VryH</t>
  </si>
  <si>
    <t>0463051498114601015</t>
  </si>
  <si>
    <t>EG070003004630514981146010150</t>
  </si>
  <si>
    <t>A4.4  lecture hall</t>
  </si>
  <si>
    <t>Norhan Hassan Saleh Abdel-Ghafour</t>
  </si>
  <si>
    <t>نورهان حسن صالح عبد الغفور</t>
  </si>
  <si>
    <t>norsaleh2000@yahoo.com</t>
  </si>
  <si>
    <t>201201406899</t>
  </si>
  <si>
    <t>Al-Andalus international school</t>
  </si>
  <si>
    <t>259-698-180</t>
  </si>
  <si>
    <t>27910210100146</t>
  </si>
  <si>
    <t>https://drive.google.com/open?id=1EKxNX5TjPc_8l9UBoFb3E3LuBPr3bpXn</t>
  </si>
  <si>
    <t>https://drive.google.com/open?id=1navL69W553c1_17LdAptCPcNc54LMndj</t>
  </si>
  <si>
    <t>محمد فريد</t>
  </si>
  <si>
    <t>1010330000012670</t>
  </si>
  <si>
    <t>EG020002010101010330000012670</t>
  </si>
  <si>
    <t>mina nader saad Wahba</t>
  </si>
  <si>
    <t>مينا نادر سعد وهبه</t>
  </si>
  <si>
    <t>minanader35@yahoo.com</t>
  </si>
  <si>
    <t>201281870514</t>
  </si>
  <si>
    <t xml:space="preserve">ليفربول </t>
  </si>
  <si>
    <t xml:space="preserve">مدرس دين </t>
  </si>
  <si>
    <t>63370257</t>
  </si>
  <si>
    <t>28609091403315</t>
  </si>
  <si>
    <t>https://drive.google.com/open?id=1DtWuXPxDefFCJdvFJXLylx4qulxw9yJi</t>
  </si>
  <si>
    <t>https://drive.google.com/open?id=1Ag_c1qK5gj4Zlfm1E7wIgCxdsSEnuAcb</t>
  </si>
  <si>
    <t>مينا نادر سعد وهبه رزق</t>
  </si>
  <si>
    <t>التوفيقية</t>
  </si>
  <si>
    <t>1195000917872501018</t>
  </si>
  <si>
    <t>EG470003011950009178725010180</t>
  </si>
  <si>
    <t>A4.7  lecture hall</t>
  </si>
  <si>
    <t xml:space="preserve">Mohamed Fawzy Abdelmonaim Hassan </t>
  </si>
  <si>
    <t xml:space="preserve">محمد فوزى عبدالمنعم حسن </t>
  </si>
  <si>
    <t>Mohamedfawzi23@yahoo.com</t>
  </si>
  <si>
    <t>201001875701</t>
  </si>
  <si>
    <t xml:space="preserve">Head of MOE </t>
  </si>
  <si>
    <t>19569267</t>
  </si>
  <si>
    <t>28701300102933</t>
  </si>
  <si>
    <t>https://drive.google.com/open?id=1rZKgdurqnMxsd3ph46C1eucjDtIJ2Kpq</t>
  </si>
  <si>
    <t>https://drive.google.com/open?id=1ihK240Q8mLIuh7R24XJaSzYpN9AvAHOQ</t>
  </si>
  <si>
    <t xml:space="preserve">Mohamed Fawzy Abdelmonaim </t>
  </si>
  <si>
    <t xml:space="preserve">Maadi street </t>
  </si>
  <si>
    <t>0615000445629600011</t>
  </si>
  <si>
    <t>EG690003006150004456296000110</t>
  </si>
  <si>
    <t>Mahmoud mohamed elsayed shebl ali barakat</t>
  </si>
  <si>
    <t>محمود محمد السيد شبل علي بركات</t>
  </si>
  <si>
    <t>mahmoud.shebly62@gmail.com</t>
  </si>
  <si>
    <t>201023410943</t>
  </si>
  <si>
    <t>079003594</t>
  </si>
  <si>
    <t>29508091400319</t>
  </si>
  <si>
    <t>https://drive.google.com/open?id=1WBJfcRCltuHaUamx3zqPA5Y3lsNnhFK_</t>
  </si>
  <si>
    <t>https://drive.google.com/open?id=1tX3Ek5rROaOTA7-UGkaB1eOniIE7CHLf</t>
  </si>
  <si>
    <t>MAHMOUD MOHAMED ELSAYED SHEBL ALI BARAKAT</t>
  </si>
  <si>
    <t>1130067772419</t>
  </si>
  <si>
    <t>EG820037010708181130067772419</t>
  </si>
  <si>
    <t>A4.8  lecture hall</t>
  </si>
  <si>
    <t>Mostafa Mohamed abd el-hay Mohamed</t>
  </si>
  <si>
    <t>مصطفي محمد عبد الحي محمد</t>
  </si>
  <si>
    <t>mostafamohamed23122000@gmail.com</t>
  </si>
  <si>
    <t>201029918262</t>
  </si>
  <si>
    <t>Valley academy</t>
  </si>
  <si>
    <t>Teaching Assistant</t>
  </si>
  <si>
    <t>https://drive.google.com/open?id=12mVdzE79ibHt3erHcH6WoCAdoLZB_ugm</t>
  </si>
  <si>
    <t>https://drive.google.com/open?id=1yo0x_sg3mPJjj5M16gyXJZkWdBGukCSu</t>
  </si>
  <si>
    <t>مصطفي محمد عبد الحي محمد سالم</t>
  </si>
  <si>
    <t>EG480010020000000100065605206</t>
  </si>
  <si>
    <t>Hend Ahmed Mohamed Hassan</t>
  </si>
  <si>
    <t>هند احمد محمد حسن</t>
  </si>
  <si>
    <t>hendahmed731@gmail.com</t>
  </si>
  <si>
    <t>201204855666</t>
  </si>
  <si>
    <t>ICT teacher</t>
  </si>
  <si>
    <t>24407107</t>
  </si>
  <si>
    <t>22348</t>
  </si>
  <si>
    <t>https://drive.google.com/open?id=1TqHM9nrPXhN7Sp9vL1lx24Qb8Jw4vX8T</t>
  </si>
  <si>
    <t>https://drive.google.com/open?id=1mJpUyaJTDRCfm1yEnY3uu1vn9-aDQpMW</t>
  </si>
  <si>
    <t>Hend ahmed</t>
  </si>
  <si>
    <t>EG980003019750017831888000150</t>
  </si>
  <si>
    <t xml:space="preserve">Remon Sabry Zakry Beshay </t>
  </si>
  <si>
    <t>ريمون صبرى زكرى بشاى</t>
  </si>
  <si>
    <t>remonsabry2007@gmail.com</t>
  </si>
  <si>
    <t>201278964378</t>
  </si>
  <si>
    <t>Saint Arsany Language School</t>
  </si>
  <si>
    <t xml:space="preserve">Administrative Director </t>
  </si>
  <si>
    <t>28212040103735</t>
  </si>
  <si>
    <t>https://drive.google.com/open?id=1HGyS332McumaZCPjjc8lmPKOTzLI7J0e</t>
  </si>
  <si>
    <t>https://drive.google.com/open?id=1FzXL7tkQIeAX5ipN_4O2pEKVfLvROc6C</t>
  </si>
  <si>
    <t>ريمون صبري زكرى بشاى</t>
  </si>
  <si>
    <t>الرئيسي</t>
  </si>
  <si>
    <t>0015001004743302025</t>
  </si>
  <si>
    <t>EG960003000150010047433020250</t>
  </si>
  <si>
    <t>A5.1a  lecture hall</t>
  </si>
  <si>
    <t>Mhamed Rateb Mahmoud Abu Rakha</t>
  </si>
  <si>
    <t>محمد راتب محمود ابورخا</t>
  </si>
  <si>
    <t>mohameedrateb92@gmail.com</t>
  </si>
  <si>
    <t>201003993210</t>
  </si>
  <si>
    <t>Asmaa bint Abi bakr</t>
  </si>
  <si>
    <t>Exprtt teacheh</t>
  </si>
  <si>
    <t>44983800</t>
  </si>
  <si>
    <t>26612071801377</t>
  </si>
  <si>
    <t>https://drive.google.com/open?id=18B5istGZp7aYl5hidz0w0S6wZPGeZD4R</t>
  </si>
  <si>
    <t>https://drive.google.com/open?id=12Z5ttuCLS9gI8K7wX6MoEE_zVqtz-t8m</t>
  </si>
  <si>
    <t>Mohamed Rateb Mahmoud Abu Rakha</t>
  </si>
  <si>
    <t>Youssef abbas</t>
  </si>
  <si>
    <t>01954090366610</t>
  </si>
  <si>
    <t>EG240004122500001954090366610</t>
  </si>
  <si>
    <t>1225</t>
  </si>
  <si>
    <t>Salwa Said El Sayed Moselhy El Azab</t>
  </si>
  <si>
    <t>سلوى سعيد السيد مصيلحي العزب</t>
  </si>
  <si>
    <t>salwasaid1988@gmail.com</t>
  </si>
  <si>
    <t>201146909629</t>
  </si>
  <si>
    <t>Integrated Thebes American College In Cairo</t>
  </si>
  <si>
    <t>28810241401305</t>
  </si>
  <si>
    <t>https://drive.google.com/open?id=14UIvNTrxmwfPxEqVbR6dKew4VvjUGk_I</t>
  </si>
  <si>
    <t>https://drive.google.com/open?id=1fWmy9i6smtlPO-eXMrHpSEVknb0XXY9K</t>
  </si>
  <si>
    <t>Salwa Said ElSayed Moselhy</t>
  </si>
  <si>
    <t>هيليوبوليس</t>
  </si>
  <si>
    <t>059100943228</t>
  </si>
  <si>
    <t>EG500046020400000059100943228</t>
  </si>
  <si>
    <t>Mahmoud Saad El Deen Ali Ameen</t>
  </si>
  <si>
    <t>mahmoud.saadeldeen1@gmail.com</t>
  </si>
  <si>
    <t>201142080002</t>
  </si>
  <si>
    <t>Nile Egyptian International Schools</t>
  </si>
  <si>
    <t>ICT</t>
  </si>
  <si>
    <t>72450715</t>
  </si>
  <si>
    <t>29209010114158</t>
  </si>
  <si>
    <t>https://drive.google.com/open?id=1aGu7BZ8yG8rQX4681zsyJv4DwYA8EcXi</t>
  </si>
  <si>
    <t>https://drive.google.com/open?id=14K2pC3K8_BtKmobVMBQUADi7mcBtj7mv</t>
  </si>
  <si>
    <t>محمود سعدالدين علي امين</t>
  </si>
  <si>
    <t>1425000711634500014</t>
  </si>
  <si>
    <t>EG310003014250007116345000140</t>
  </si>
  <si>
    <t>Mahmoud Mohamed Ali Elsayed Emara</t>
  </si>
  <si>
    <t>محمود محمد علي السيد عمارة</t>
  </si>
  <si>
    <t>hod4vip@yahoo.com</t>
  </si>
  <si>
    <t>201069748405</t>
  </si>
  <si>
    <t>68574614</t>
  </si>
  <si>
    <t>374-333-947</t>
  </si>
  <si>
    <t>29011050104797</t>
  </si>
  <si>
    <t>https://drive.google.com/open?id=1kRgk3qfqOztI1Gq_juus7jQrgyoP4XHG</t>
  </si>
  <si>
    <t>https://drive.google.com/open?id=1ziEjlZGmN3bMZom0FjfRfRguC8t2ns4k</t>
  </si>
  <si>
    <t>0016430075100</t>
  </si>
  <si>
    <t>EG840020001600000016430075100</t>
  </si>
  <si>
    <t>A5.1b  lecture hall</t>
  </si>
  <si>
    <t>Nada sayed mostafa hussien</t>
  </si>
  <si>
    <t xml:space="preserve">ندا سيد مصطفى حسين </t>
  </si>
  <si>
    <t>eng.nada.sayed@gmail.com</t>
  </si>
  <si>
    <t>201003992205</t>
  </si>
  <si>
    <t>68040587</t>
  </si>
  <si>
    <t>29007310101188</t>
  </si>
  <si>
    <t>https://drive.google.com/open?id=1sNnMf9rs8JpCoCemVI0F_VjYNKa9MAIg</t>
  </si>
  <si>
    <t>https://drive.google.com/open?id=1H5F9W0MGg78b28tuxsEQ_zLRrvuxbl0e</t>
  </si>
  <si>
    <t>Nada sayed mostafa</t>
  </si>
  <si>
    <t>اغا خان</t>
  </si>
  <si>
    <t>1565000506980600010</t>
  </si>
  <si>
    <t>EG370003015650005069806000100</t>
  </si>
  <si>
    <t xml:space="preserve">Zainab Hussein naseif Alssady </t>
  </si>
  <si>
    <t xml:space="preserve">زينب حسين نصيف السعدي </t>
  </si>
  <si>
    <t>zienbhussen916@gmail.com</t>
  </si>
  <si>
    <t>201067896000</t>
  </si>
  <si>
    <t>مدرسة الحريه النموذجيه</t>
  </si>
  <si>
    <t xml:space="preserve">Teacher Arabic </t>
  </si>
  <si>
    <t>61091056</t>
  </si>
  <si>
    <t>26712318800047</t>
  </si>
  <si>
    <t>https://drive.google.com/open?id=1szLdCXl31W33VGUpoj92TYCwQiKtOlgl</t>
  </si>
  <si>
    <t>https://drive.google.com/open?id=1IW4U2FggPykpgJOWUpMI0hNq54ZPBPME</t>
  </si>
  <si>
    <t xml:space="preserve">زينب حسين نصيف </t>
  </si>
  <si>
    <t>التجمع الثالث</t>
  </si>
  <si>
    <t>1950330000014731</t>
  </si>
  <si>
    <t>EG580002019501950330000014731</t>
  </si>
  <si>
    <t>0195</t>
  </si>
  <si>
    <t>Mostafa kamel abdo mostafa</t>
  </si>
  <si>
    <t>مصطفي كامل عبده مصطفي</t>
  </si>
  <si>
    <t>kamel.mustafa1978@gmail.com</t>
  </si>
  <si>
    <t>201223638491</t>
  </si>
  <si>
    <t>Egypt British international school</t>
  </si>
  <si>
    <t>Arabic tetcher</t>
  </si>
  <si>
    <t>15689039</t>
  </si>
  <si>
    <t>27810231601035</t>
  </si>
  <si>
    <t>https://drive.google.com/open?id=1x5vL3vtjAztdiPFXZwzVhQ4YTf9pM3dI</t>
  </si>
  <si>
    <t>https://drive.google.com/open?id=1aCVA-JjKtVwaPjcxuVwM_UA01Ke63GpO</t>
  </si>
  <si>
    <t>MOSTAFA KAMEL ABDOU MOSTAFA</t>
  </si>
  <si>
    <t>شارع عباس العقاد مدينة نصر</t>
  </si>
  <si>
    <t>100024141327</t>
  </si>
  <si>
    <t>EG940010001400000100024141327</t>
  </si>
  <si>
    <t>Emad ahmed Farrag</t>
  </si>
  <si>
    <t xml:space="preserve">Future University </t>
  </si>
  <si>
    <t>50</t>
  </si>
  <si>
    <t>Hesham ahmed Farrag</t>
  </si>
  <si>
    <t>21</t>
  </si>
  <si>
    <t>Ebrahim Ahmed ebrahim</t>
  </si>
  <si>
    <t>51</t>
  </si>
  <si>
    <t>Nasser Ahmed Ebrahim</t>
  </si>
  <si>
    <t>ناصراحمد ابراهيم علي</t>
  </si>
  <si>
    <t>52</t>
  </si>
  <si>
    <t>Ahmed zaher Abodeef</t>
  </si>
  <si>
    <t>احمد زاهر ابو ضيف عباس</t>
  </si>
  <si>
    <t>الاكاديمية العربية ابو رواش كم 28 طريق القاهرة اسكندرية الصحراوى- داخل القرية الذكية مبنى 2401ب</t>
  </si>
  <si>
    <t>Arab Academy Smart Village Building A</t>
  </si>
  <si>
    <t>https://goo.gl/maps/HFjBbSsexe3KHZdq6</t>
  </si>
  <si>
    <t>Kotb Abdallah Abbas</t>
  </si>
  <si>
    <t>قطب عبد الله عباس محمد</t>
  </si>
  <si>
    <t>kotb.abbas@longmanegypt.com</t>
  </si>
  <si>
    <t>Hisham abdelrahman</t>
  </si>
  <si>
    <t>هشام محمد سيد محمد عبدالرحمن</t>
  </si>
  <si>
    <t>hesham.abdelrahman@longmanegypt.com</t>
  </si>
  <si>
    <t>Eslam Fares Abdelfatah</t>
  </si>
  <si>
    <t>islam.fares@york-press.com</t>
  </si>
  <si>
    <t>Arab Academy Smart Village Building B</t>
  </si>
  <si>
    <t>1120160110010101</t>
  </si>
  <si>
    <t>Mostafa Fahmy Mahmoud Abbas</t>
  </si>
  <si>
    <t>مصطفى فهمي محمود عباس</t>
  </si>
  <si>
    <t>mostafafahmy145@gmail.com</t>
  </si>
  <si>
    <t>Aya Saad Moustafa</t>
  </si>
  <si>
    <t>ايه سعد مصطفى</t>
  </si>
  <si>
    <t xml:space="preserve">saya09326@gmail.com </t>
  </si>
  <si>
    <t>Ahmed Youssef Asad</t>
  </si>
  <si>
    <t>احمد يوسف اسعد</t>
  </si>
  <si>
    <t>ahmed0115114999@gmail.com</t>
  </si>
  <si>
    <t>Amr El-Sangary</t>
  </si>
  <si>
    <t>عمرو محمود السيد على السنجرى</t>
  </si>
  <si>
    <t>amr.elsangary@gmail.com</t>
  </si>
  <si>
    <t>Ayman Moawad</t>
  </si>
  <si>
    <t>ايمن معوض</t>
  </si>
  <si>
    <t>aymnsalm992@gmail.com</t>
  </si>
  <si>
    <t>Abeer shawky Sayed ahmed</t>
  </si>
  <si>
    <t>عبير شوقى سيد احمد</t>
  </si>
  <si>
    <t>loveberoberoshawky@gmail.com</t>
  </si>
  <si>
    <t>201147815530</t>
  </si>
  <si>
    <t>Public relation msnqger</t>
  </si>
  <si>
    <t>27511060100248</t>
  </si>
  <si>
    <t>https://drive.google.com/open?id=1_U-waEmA26Q2DP_0bWYGuJ_9VX1zPNAo</t>
  </si>
  <si>
    <t>https://drive.google.com/open?id=1HMZVYEWslz3HGW3sq3XOFpMJV_T0I-hi</t>
  </si>
  <si>
    <t>السيده زينب</t>
  </si>
  <si>
    <t>EG780003015450012778555010180</t>
  </si>
  <si>
    <t>Ahmed Mohamed mostafa baiuomy</t>
  </si>
  <si>
    <t>احمد محمد مصطفي بيومي</t>
  </si>
  <si>
    <t>Ahmedmohamedmostafa599@gmail.com</t>
  </si>
  <si>
    <t>201011617772</t>
  </si>
  <si>
    <t>29502232101118</t>
  </si>
  <si>
    <t>https://drive.google.com/open?id=1tAsuUI85i3jkdtjhU9ocjpIL4gVmljZK</t>
  </si>
  <si>
    <t>https://drive.google.com/open?id=1sN2xoH3t4R19ER5yWBdXPgcE7hoVCQ0B</t>
  </si>
  <si>
    <t>GIZA -  Arab Academy for Science, Technology, and Maritime Transport (Smart Village)</t>
  </si>
  <si>
    <t>137</t>
  </si>
  <si>
    <t>Amal Abdul Badran Gad</t>
  </si>
  <si>
    <t xml:space="preserve">امال عبده بدارن حال زايد </t>
  </si>
  <si>
    <t>Amal.badran900@gmail.com</t>
  </si>
  <si>
    <t>201094920250</t>
  </si>
  <si>
    <t xml:space="preserve">Partner care specialist </t>
  </si>
  <si>
    <t>29811228800845</t>
  </si>
  <si>
    <t>https://drive.google.com/open?id=1GDXL9dRQzcRS_MYt9MhgL6w7g2B4lNw7</t>
  </si>
  <si>
    <t>https://drive.google.com/open?id=13CFgR2IP7-RnQa-Rw9_egr3VTMfocPBc</t>
  </si>
  <si>
    <t xml:space="preserve">Amaal Abdo </t>
  </si>
  <si>
    <t>Smart Village, 6th of October City, Egypt</t>
  </si>
  <si>
    <t>100051612676</t>
  </si>
  <si>
    <t>EG190010011900000100051612676</t>
  </si>
  <si>
    <t>Hadeer Nader abdelhamid elsayed</t>
  </si>
  <si>
    <t xml:space="preserve">هدير نادر عبد الحميد السيد </t>
  </si>
  <si>
    <t>didanader3@gmail.com</t>
  </si>
  <si>
    <t>201007071929</t>
  </si>
  <si>
    <t>Smart vision school</t>
  </si>
  <si>
    <t>28507040201508</t>
  </si>
  <si>
    <t>https://drive.google.com/open?id=1WCv0sbPNRuCqP5g5vMx9IrEmiYmZLU_K</t>
  </si>
  <si>
    <t>https://drive.google.com/open?id=132sTKPV1QLl1DY2T7h1kvmXBzJlStMMP</t>
  </si>
  <si>
    <t>HADEER NADER ABDELHAMID</t>
  </si>
  <si>
    <t xml:space="preserve">El sheikh zayed </t>
  </si>
  <si>
    <t>8340000134458598101</t>
  </si>
  <si>
    <t>EG530022013440000134458598101</t>
  </si>
  <si>
    <t>A106</t>
  </si>
  <si>
    <t xml:space="preserve">Rehab Mostafa Mohammed Mostafa </t>
  </si>
  <si>
    <t xml:space="preserve">رحاب مصطفى محمد مصطفى </t>
  </si>
  <si>
    <t>rooromhmd25@gmail.com</t>
  </si>
  <si>
    <t xml:space="preserve">Gawd hosny official language school </t>
  </si>
  <si>
    <t>Senior Teacher (A)</t>
  </si>
  <si>
    <t>None Super</t>
  </si>
  <si>
    <t>2.7906E+13</t>
  </si>
  <si>
    <t>https://drive.google.com/open?id=13THIDDm1RJIOLNZutZ4Tau6WdN5NGmVG</t>
  </si>
  <si>
    <t>https://drive.google.com/open?id=14yRwgM38sgdgiktdI1oJddereiUhIxz6</t>
  </si>
  <si>
    <t xml:space="preserve">Imbaba Gardens branch </t>
  </si>
  <si>
    <t>7530333000000112</t>
  </si>
  <si>
    <t>EG460002075307530333000000112</t>
  </si>
  <si>
    <t>Rania Ahmed Mahmoud Ibrahem</t>
  </si>
  <si>
    <t>ranoonaboelazm@gmail.com</t>
  </si>
  <si>
    <t>201097520058</t>
  </si>
  <si>
    <t>Smart vision international schools</t>
  </si>
  <si>
    <t>28001170100346</t>
  </si>
  <si>
    <t>https://drive.google.com/open?id=10H3KOwrQebS_kffZJKecWpZj-nGbpAHY</t>
  </si>
  <si>
    <t>https://drive.google.com/open?id=1-2b2n5LxuJ2MKfNVS35QRpXzdVoWypCW</t>
  </si>
  <si>
    <t>RANIA AHMED MAHMOUD</t>
  </si>
  <si>
    <t>غرب سوميد</t>
  </si>
  <si>
    <t>EG620002050905090111000002553</t>
  </si>
  <si>
    <t>Samah tarek ahmed</t>
  </si>
  <si>
    <t>سماح طارق احمد عبده</t>
  </si>
  <si>
    <t>Samah_t102@outlook.com</t>
  </si>
  <si>
    <t>201062111110</t>
  </si>
  <si>
    <t>Fanarah</t>
  </si>
  <si>
    <t>28702100101025</t>
  </si>
  <si>
    <t>https://drive.google.com/open?id=1ePRCqhVXlZ5IMq6gnvCeS_Pf2RdnfqtV</t>
  </si>
  <si>
    <t>https://drive.google.com/open?id=1RW0cFMmES8CCkglzEsfvtY67nxoKlAl7</t>
  </si>
  <si>
    <t>EG390046020300000059100929496</t>
  </si>
  <si>
    <t>A108</t>
  </si>
  <si>
    <t>Mohamed bahgat mostafa mohamed</t>
  </si>
  <si>
    <t xml:space="preserve">محمد بهجت مصطفى محمد </t>
  </si>
  <si>
    <t>mr.mohamed.bahgat@gmail.com</t>
  </si>
  <si>
    <t>201061729730</t>
  </si>
  <si>
    <t xml:space="preserve">Saint fatima language school </t>
  </si>
  <si>
    <t>Computer supervisor &amp;IT</t>
  </si>
  <si>
    <t>28501080101311</t>
  </si>
  <si>
    <t>https://drive.google.com/open?id=1DQ447grDLSDSwmIMMknw0A03ZVg8oXoh</t>
  </si>
  <si>
    <t>https://drive.google.com/open?id=1O5Y47pyK0oFoTdm4xRbO47npHCxt8Jke</t>
  </si>
  <si>
    <t>محمد بهجت مصطفى</t>
  </si>
  <si>
    <t>الدواوين ميدان لاظوغلي</t>
  </si>
  <si>
    <t>1150332000003419</t>
  </si>
  <si>
    <t>EG560002011501150332000003419</t>
  </si>
  <si>
    <t>Hamsa hussien abdo abelrahman</t>
  </si>
  <si>
    <t xml:space="preserve">همسه حسين عبده عبد الرحمن </t>
  </si>
  <si>
    <t>hamssa.hussien@smartvisionschools.com</t>
  </si>
  <si>
    <t>201066403814</t>
  </si>
  <si>
    <t>Samrt visoin</t>
  </si>
  <si>
    <t>Scoial worker</t>
  </si>
  <si>
    <t>29504192101767</t>
  </si>
  <si>
    <t>https://drive.google.com/open?id=1gPJ9-B-3XRKjrgr6EWVUVd9RYWhVAABk</t>
  </si>
  <si>
    <t>https://drive.google.com/open?id=1XG0vCuzHNC-57wjeXhpfItF-Mx2ca6Ys</t>
  </si>
  <si>
    <t>Hamsa hussein  abdo</t>
  </si>
  <si>
    <t>Qnb bebsata 00027</t>
  </si>
  <si>
    <t>Eg570037002708181020767347335</t>
  </si>
  <si>
    <t>Rania elsayed hassan dwees</t>
  </si>
  <si>
    <t>رانيا السيد حسن دويس</t>
  </si>
  <si>
    <t>rona123ahmed@gmail.com</t>
  </si>
  <si>
    <t>201005308274</t>
  </si>
  <si>
    <t xml:space="preserve">Future pioneer language school </t>
  </si>
  <si>
    <t>27605260200781</t>
  </si>
  <si>
    <t>https://drive.google.com/open?id=1O2Wpziq_aOv7zSi6VOqdE2T224TE0WWM</t>
  </si>
  <si>
    <t>https://drive.google.com/open?id=1oOjHp3Biel4iso10K-0SpxpS0TmNTZ8o</t>
  </si>
  <si>
    <t xml:space="preserve">رانيا السيد حسن </t>
  </si>
  <si>
    <t>سيزوستريس</t>
  </si>
  <si>
    <t>4090320000035710</t>
  </si>
  <si>
    <t>EG540002040904090320000035714</t>
  </si>
  <si>
    <t>0409</t>
  </si>
  <si>
    <t>Hanan El Sayed Abd El Salam El sherief Nada</t>
  </si>
  <si>
    <t>حنان السيد عبد السلام الشريف ندا</t>
  </si>
  <si>
    <t>hnofficial83@gmail.com</t>
  </si>
  <si>
    <t>201005224589</t>
  </si>
  <si>
    <t>New Vision International School</t>
  </si>
  <si>
    <t xml:space="preserve">DP English teacher </t>
  </si>
  <si>
    <t>452509084#</t>
  </si>
  <si>
    <t>28306250103007</t>
  </si>
  <si>
    <t>https://drive.google.com/open?id=159-sLQ53Qq1rW0UmIW0QvrdPisR7F2yM</t>
  </si>
  <si>
    <t>https://drive.google.com/open?id=1VgS_-aiVSRAUL5eosfTE3WtBMlboHTL5</t>
  </si>
  <si>
    <t>حنان السيد عبد السلام الشريف محمد ندا</t>
  </si>
  <si>
    <t>1965000703973000013</t>
  </si>
  <si>
    <t>EG190003019650007039730000130</t>
  </si>
  <si>
    <t xml:space="preserve">Walaa Mohamed Ahmed Ali </t>
  </si>
  <si>
    <t>ولاء محمد احمد علي</t>
  </si>
  <si>
    <t>miswalaakg@gmail.com‏</t>
  </si>
  <si>
    <t>201101141604</t>
  </si>
  <si>
    <t>الحي التاني الرسمية المتميزة لغات</t>
  </si>
  <si>
    <t>معلم اول رياض اطفال</t>
  </si>
  <si>
    <t>27701040100687</t>
  </si>
  <si>
    <t>https://drive.google.com/open?id=1od5ClExEFRjD24xH0GqpzJoqnjtLxq6i</t>
  </si>
  <si>
    <t>https://drive.google.com/open?id=16wp1ZLo92bl_MJTyw71Lkctse8Bs73Eo</t>
  </si>
  <si>
    <t>طريق المحور المركزي</t>
  </si>
  <si>
    <t>EG840038001700000170000760973</t>
  </si>
  <si>
    <t xml:space="preserve">Hanan Sayed Abdelgawad Ahmed </t>
  </si>
  <si>
    <t xml:space="preserve">حنان سيد عبد الجواد احمد </t>
  </si>
  <si>
    <t>hanansayed545@outlook.com</t>
  </si>
  <si>
    <t>201005287508</t>
  </si>
  <si>
    <t xml:space="preserve">Nature International school / </t>
  </si>
  <si>
    <t xml:space="preserve">School Principal </t>
  </si>
  <si>
    <t>27410052200968</t>
  </si>
  <si>
    <t>https://drive.google.com/open?id=1DIJ5voQ5F2hZoczFW8v45SDHJa0bcEyo</t>
  </si>
  <si>
    <t>https://drive.google.com/open?id=1csVWQA35NH0tVd-h8CX_tGVodtYAPwF2</t>
  </si>
  <si>
    <t>HANAN SAYED ABDELGAWAD</t>
  </si>
  <si>
    <t xml:space="preserve">Haram </t>
  </si>
  <si>
    <t>4988131663076130</t>
  </si>
  <si>
    <t>EG910002016601660332000037528</t>
  </si>
  <si>
    <t>Rania Hassan Abdel Azim Abdel Salam</t>
  </si>
  <si>
    <t>رانيا حسن عبد العظيم عبد السلام</t>
  </si>
  <si>
    <t>raniahassanzamzam@gmail.com</t>
  </si>
  <si>
    <t>201062225797</t>
  </si>
  <si>
    <t xml:space="preserve">Knowledge Valley International School </t>
  </si>
  <si>
    <t xml:space="preserve">Student Affairs </t>
  </si>
  <si>
    <t>29103222101967</t>
  </si>
  <si>
    <t>https://drive.google.com/open?id=1Bt8wx__9JF0c-oPmlS-jDj-Cj7psTipE</t>
  </si>
  <si>
    <t>https://drive.google.com/open?id=1ixMj9PNfm50tlyBB4vVdNaopnTllGP3m</t>
  </si>
  <si>
    <t xml:space="preserve">Rania Hassan Abdel Azim Abdel Salam </t>
  </si>
  <si>
    <t>العريش</t>
  </si>
  <si>
    <t>100033005959</t>
  </si>
  <si>
    <t>EG270010010200000100033005959</t>
  </si>
  <si>
    <t>0102</t>
  </si>
  <si>
    <t>Dalia moustafa abdelrahman hamouda</t>
  </si>
  <si>
    <t>داليا مصطفي عبدالرحمن حموده</t>
  </si>
  <si>
    <t>dalia.hamouda7@gmail.com</t>
  </si>
  <si>
    <t>201142231000</t>
  </si>
  <si>
    <t>Queen international school</t>
  </si>
  <si>
    <t>I was a Legal representatives and executive manager</t>
  </si>
  <si>
    <t>27002142100848</t>
  </si>
  <si>
    <t>https://drive.google.com/open?id=15-2jh_BHeiy6cIIyQFyH-BBuRHvR0NBf</t>
  </si>
  <si>
    <t>https://drive.google.com/open?id=1-arCuBmBM4Vxq9miUHiINULT3rXXnSkS</t>
  </si>
  <si>
    <t>EG220003019750011759803010150</t>
  </si>
  <si>
    <t xml:space="preserve">Amira mohamed attia Ibrahim </t>
  </si>
  <si>
    <t>am5757032@gmail.com</t>
  </si>
  <si>
    <t>201147149579</t>
  </si>
  <si>
    <t xml:space="preserve">El Alsson school </t>
  </si>
  <si>
    <t xml:space="preserve">Hr personal </t>
  </si>
  <si>
    <t>29409302100165</t>
  </si>
  <si>
    <t>https://drive.google.com/open?id=1jHfI2mnksFqLfHM8cbRb4ddIyaCSQKbZ</t>
  </si>
  <si>
    <t>https://drive.google.com/open?id=1nVKFQEiVsqr7K22VLmSH-W0xUzNF0cZf</t>
  </si>
  <si>
    <t xml:space="preserve">كورنيش النيل -المعادي </t>
  </si>
  <si>
    <t>001563741001</t>
  </si>
  <si>
    <t>EG060025000100000001563741001</t>
  </si>
  <si>
    <t>Eman Gamal Mahmoud Soliman</t>
  </si>
  <si>
    <t>ايمان جمال محمود سليمان</t>
  </si>
  <si>
    <t>mana.gmal29@gmail.com</t>
  </si>
  <si>
    <t>201033969047</t>
  </si>
  <si>
    <t>Al Sana</t>
  </si>
  <si>
    <t>28009102100827</t>
  </si>
  <si>
    <t>https://drive.google.com/open?id=1lVaFZyotfJbgLHKV2afyAZ40XTgsP9J4</t>
  </si>
  <si>
    <t>https://drive.google.com/open?id=18TAINEY2nJnO-BJ0E4vEFYhqD-yadfgk</t>
  </si>
  <si>
    <t>Eman Gamal Mahmoud</t>
  </si>
  <si>
    <t>Hadaeqk El Ahram</t>
  </si>
  <si>
    <t>EG770002079807980324000001258</t>
  </si>
  <si>
    <t xml:space="preserve">Fatma Ali Abbas Mohammed </t>
  </si>
  <si>
    <t>فاطمه علي عباس محمد</t>
  </si>
  <si>
    <t xml:space="preserve">fatmaaliabbas77@gmail.com </t>
  </si>
  <si>
    <t>201152527202</t>
  </si>
  <si>
    <t xml:space="preserve">IBS October one </t>
  </si>
  <si>
    <t>27706240101787</t>
  </si>
  <si>
    <t>https://drive.google.com/open?id=136XZqwka1giOUowcNebFTZ-UKHn2bBMC</t>
  </si>
  <si>
    <t>https://drive.google.com/open?id=1KXBIqJeKt0dB1-Nd9UfzaE5Aqtao1xSX</t>
  </si>
  <si>
    <t>100015578003</t>
  </si>
  <si>
    <t>EG950059002100000100015578003</t>
  </si>
  <si>
    <t>A123</t>
  </si>
  <si>
    <t>Elham Abdel Azim Abdel Lateef Ahmed</t>
  </si>
  <si>
    <t>الهام عبد العظيم عبد اللطيف احمد</t>
  </si>
  <si>
    <t>elham1@hotmail.com</t>
  </si>
  <si>
    <t>201005004603</t>
  </si>
  <si>
    <t>Elwy Schools</t>
  </si>
  <si>
    <t xml:space="preserve">Executive Secretary </t>
  </si>
  <si>
    <t>26503100300044</t>
  </si>
  <si>
    <t>https://drive.google.com/open?id=15VkkFs-c9Vh4dl_l96Omjkxf3TblGVFY</t>
  </si>
  <si>
    <t>https://drive.google.com/open?id=1WDDEXXfahmea65h2ZC24rz-USvwbT5BK</t>
  </si>
  <si>
    <t>Elham Abdel Azim Abdel Lateef</t>
  </si>
  <si>
    <t>0501228755560060</t>
  </si>
  <si>
    <t>EG200023000500501228755560060</t>
  </si>
  <si>
    <t>Amira Mohamed abdulmajeed</t>
  </si>
  <si>
    <t>amira.mohamed11188@gmail.com</t>
  </si>
  <si>
    <t>01117023270</t>
  </si>
  <si>
    <t>Smart vision</t>
  </si>
  <si>
    <t>28811012101868</t>
  </si>
  <si>
    <t>https://drive.google.com/open?id=1k7K9vYfUSAOzqo6JEdGrIkkM5-fQy2SO</t>
  </si>
  <si>
    <t>https://drive.google.com/open?id=1dzwJ8HQw5WTNjo6gfL5TDPM_eCqfw6f5</t>
  </si>
  <si>
    <t>AMIRA MOHAMED ABD ELMAGEED</t>
  </si>
  <si>
    <t>Maha sabry awed</t>
  </si>
  <si>
    <t>مها صبري عوض</t>
  </si>
  <si>
    <t>mokamaha96@gmail.com</t>
  </si>
  <si>
    <t>201050059290</t>
  </si>
  <si>
    <t>Smart way language school</t>
  </si>
  <si>
    <t>Administration</t>
  </si>
  <si>
    <t>https://drive.google.com/open?id=1oKVT5fg-n9jOMC2VmbCpb1sPwzTy5fjF</t>
  </si>
  <si>
    <t>https://drive.google.com/open?id=17ClmBmc5LL2FRJNaaqY8PGyexZPjFvE2</t>
  </si>
  <si>
    <t>ستار مول</t>
  </si>
  <si>
    <t>EG940003003750015880321000160</t>
  </si>
  <si>
    <t>Mahmoud Abdel Aziz Shalby</t>
  </si>
  <si>
    <t>محمود احمد عبدالعزيز شلبى</t>
  </si>
  <si>
    <t>MAH.SHALABY2022@GMAIL.COM</t>
  </si>
  <si>
    <t>201152838950</t>
  </si>
  <si>
    <t>76</t>
  </si>
  <si>
    <t>Mahmoud Ashry Abbas Abdelal</t>
  </si>
  <si>
    <t>محمود عشري عباس عبدالعال</t>
  </si>
  <si>
    <t>mahmoudashry1997@gmail.com</t>
  </si>
  <si>
    <t>201013590103</t>
  </si>
  <si>
    <t>Uk Marker</t>
  </si>
  <si>
    <t xml:space="preserve">Uk Marker </t>
  </si>
  <si>
    <t>29707012310515</t>
  </si>
  <si>
    <t>https://drive.google.com/open?id=1m9VfjnLw0kCboqZmhDMlyy4AbYzERhqj</t>
  </si>
  <si>
    <t>https://drive.google.com/open?id=1laKm4AzNsy3KgPuN1k4B3GVUX7IptNol</t>
  </si>
  <si>
    <t>MAHMOUD ASHRY ABBAS ABDELAL FARAG</t>
  </si>
  <si>
    <t>1020521084935</t>
  </si>
  <si>
    <t>EG550037002708181020521084935</t>
  </si>
  <si>
    <t>Nancy Youssef Mohamed Morgan</t>
  </si>
  <si>
    <t>نانسى يوسف محمد مرجان</t>
  </si>
  <si>
    <t>Nancymorgan7575@gmail.com</t>
  </si>
  <si>
    <t>201066931193</t>
  </si>
  <si>
    <t>Safia Zaghlol School</t>
  </si>
  <si>
    <t>Senior teacher at computer science and technology</t>
  </si>
  <si>
    <t>27510010101981</t>
  </si>
  <si>
    <t>https://drive.google.com/open?id=1StQTExiVvjazi3uZg2NwA1gDQc5k7u2L</t>
  </si>
  <si>
    <t>https://drive.google.com/open?id=1LmG4nH08ghJmKL6Uw4DB15tQFAzNw_j5</t>
  </si>
  <si>
    <t>الإسماعيلية - طريق البلاجات</t>
  </si>
  <si>
    <t>260000010726</t>
  </si>
  <si>
    <t>EG540038002600000260000010726</t>
  </si>
  <si>
    <t>Tarek abod abdalaal otham</t>
  </si>
  <si>
    <t xml:space="preserve">طارق عبود عبدالعال عثمان </t>
  </si>
  <si>
    <t>tarekabod2510@gmail.com</t>
  </si>
  <si>
    <t>201220025741</t>
  </si>
  <si>
    <t xml:space="preserve">اخصائي تقويم امتحانات </t>
  </si>
  <si>
    <t>26510250101534</t>
  </si>
  <si>
    <t>https://drive.google.com/open?id=1ZOaPlaS-aO16f3bqAmQyWw7a4Hbj3qez</t>
  </si>
  <si>
    <t>https://drive.google.com/open?id=1vck1xEHvXdNn3RRDW6lNUoGYsuMmqhkA</t>
  </si>
  <si>
    <t>1065010033650100014</t>
  </si>
  <si>
    <t>EG290003010650100336501000140</t>
  </si>
  <si>
    <t>A302</t>
  </si>
  <si>
    <t>Amany wagdy abdelfattah hassan</t>
  </si>
  <si>
    <t>اماني وجدي عبد الفتاح حسن</t>
  </si>
  <si>
    <t>amany.wagdy@smartvisionschool.com</t>
  </si>
  <si>
    <t>201098060804</t>
  </si>
  <si>
    <t>Smart Vision School</t>
  </si>
  <si>
    <t>National School</t>
  </si>
  <si>
    <t xml:space="preserve">Administrative Coordinator </t>
  </si>
  <si>
    <t>2820701140552</t>
  </si>
  <si>
    <t>https://drive.google.com/open?id=1FPL3hsl8i3Yrel048LB2IvFicb49hR24</t>
  </si>
  <si>
    <t>https://drive.google.com/open?id=1LU4FkJd8iAwlXDaRfrOt_V-LuAJ31U5g</t>
  </si>
  <si>
    <t>Amany Wagdy abdelfattah</t>
  </si>
  <si>
    <t>1485000377692600019</t>
  </si>
  <si>
    <t>EG910003014850003776926000190</t>
  </si>
  <si>
    <t>Ahmed Elrefaee Elabed Elmessery</t>
  </si>
  <si>
    <t>احمد الرفاعى العبد المسيرى</t>
  </si>
  <si>
    <t>elrefaee3@gmail.com</t>
  </si>
  <si>
    <t>201067970457</t>
  </si>
  <si>
    <t>International public schools</t>
  </si>
  <si>
    <t>28709011618418</t>
  </si>
  <si>
    <t>https://drive.google.com/open?id=1xRwkbHQy1CURvdWd8YCyE3djwOnpzvWv</t>
  </si>
  <si>
    <t>https://drive.google.com/open?id=1HCpGTYW9DgyN_L_KLOWACToqb38AqxAB</t>
  </si>
  <si>
    <t>6 اكتوبر</t>
  </si>
  <si>
    <t>EG600003018250014961841010140</t>
  </si>
  <si>
    <t>Sarah Saad Mohamed Farag</t>
  </si>
  <si>
    <t xml:space="preserve">سارة سعد محمد فرج </t>
  </si>
  <si>
    <t>sarahsaadfarag@gmail.com</t>
  </si>
  <si>
    <t>201062199348</t>
  </si>
  <si>
    <t>29501182101409</t>
  </si>
  <si>
    <t>https://drive.google.com/open?id=1cpa7K-9Lw4i8tpgKWraoZsbZlWyiziv7</t>
  </si>
  <si>
    <t>https://drive.google.com/open?id=1Oe7BDqZUhUIl19J65neUktlGJ4LQsSKE</t>
  </si>
  <si>
    <t>1615000229057201011</t>
  </si>
  <si>
    <t>EG050003016150002290572010110</t>
  </si>
  <si>
    <t>A303</t>
  </si>
  <si>
    <t>Esraa Magdy Husain Muhamed</t>
  </si>
  <si>
    <t xml:space="preserve">اسراء مجدي حسين </t>
  </si>
  <si>
    <t>eessraa29@gmail.com</t>
  </si>
  <si>
    <t>201013497636</t>
  </si>
  <si>
    <t>29404290100146</t>
  </si>
  <si>
    <t>https://drive.google.com/open?id=1nAN7zBogdJkpDjrOHLaScfGEqNoMNAFa</t>
  </si>
  <si>
    <t>https://drive.google.com/open?id=1WHJV9KQAFeNYD6338-63dfjsCgfE6M6m</t>
  </si>
  <si>
    <t>Esraa Magdy Hussein Mohamed Fazza</t>
  </si>
  <si>
    <t xml:space="preserve">غرب سوميد </t>
  </si>
  <si>
    <t>11304835261-60</t>
  </si>
  <si>
    <t>EG080037019308181130483526160</t>
  </si>
  <si>
    <t>Bahaa El-Dein Bayoumi Mohamed Emam Shaat</t>
  </si>
  <si>
    <t>bahaashaat1990@gmail.com</t>
  </si>
  <si>
    <t>201551290610</t>
  </si>
  <si>
    <t>29004171401253</t>
  </si>
  <si>
    <t>Tamer Mahmoud Ahmed Shokry</t>
  </si>
  <si>
    <t>تامر محمود احمد شكرى</t>
  </si>
  <si>
    <t>t.shokry@yahoo.com</t>
  </si>
  <si>
    <t>201006395596</t>
  </si>
  <si>
    <t>New Discovery</t>
  </si>
  <si>
    <t>28006012105839</t>
  </si>
  <si>
    <t>https://drive.google.com/open?id=1XPitQrdZlBZOKG0DZNH73PbBWcpHr95S</t>
  </si>
  <si>
    <t>https://drive.google.com/open?id=1nNjTw1_8vJZLWT5hXycUAfrOcTk-6rsi</t>
  </si>
  <si>
    <t>EG780003009950010751044010110</t>
  </si>
  <si>
    <t>A304</t>
  </si>
  <si>
    <t>Asmaa Mahmoud fawzi hassan</t>
  </si>
  <si>
    <t xml:space="preserve">اسماء محمود فوزي حسن </t>
  </si>
  <si>
    <t>asmaaelhabshi@gmail.com</t>
  </si>
  <si>
    <t>201001925312</t>
  </si>
  <si>
    <t>Manarat elmaadi language school</t>
  </si>
  <si>
    <t>34371884</t>
  </si>
  <si>
    <t>28910000000000</t>
  </si>
  <si>
    <t>https://drive.google.com/open?id=12QayGWWZd6bJC6IU4DIbIWWp8w-verVO</t>
  </si>
  <si>
    <t>https://drive.google.com/open?id=1qkoXIXoaMbPjjvDhCkKVk7BeoCSFoIqx</t>
  </si>
  <si>
    <t xml:space="preserve">Asmaa Mahmoud fawzi hassan </t>
  </si>
  <si>
    <t>0335001049862100017</t>
  </si>
  <si>
    <t>EG640003003350010498621000170</t>
  </si>
  <si>
    <t>Mohsen Mohamed Hussein Khalaf</t>
  </si>
  <si>
    <t>محسن محمد حسين خلف</t>
  </si>
  <si>
    <t>mohsenkhalaf81@gmail.com</t>
  </si>
  <si>
    <t>201000505563</t>
  </si>
  <si>
    <t>مدرسة الشهيد احمد معتمد مدين</t>
  </si>
  <si>
    <t>none (official schools do not have tax number)</t>
  </si>
  <si>
    <t>28105052100439</t>
  </si>
  <si>
    <t>https://drive.google.com/open?id=1IEmxWM-FsEXwXnabW8zmEQT7nvs2VAyR</t>
  </si>
  <si>
    <t>https://drive.google.com/open?id=1r3bQM_TNyKgZvTZwvdP1nt1tmBO4RJaH</t>
  </si>
  <si>
    <t>0903011005090201019</t>
  </si>
  <si>
    <t>EG420003009030110050902010190</t>
  </si>
  <si>
    <t>A305</t>
  </si>
  <si>
    <t>Ahmed sayed Abdel ElGany salama</t>
  </si>
  <si>
    <t>احمد سيد عبد الغني سلامه</t>
  </si>
  <si>
    <t>harpahmed1@gmail.com</t>
  </si>
  <si>
    <t>201064383605</t>
  </si>
  <si>
    <t>Unity International School</t>
  </si>
  <si>
    <t>International School</t>
  </si>
  <si>
    <t>29709171401699</t>
  </si>
  <si>
    <t>https://drive.google.com/open?id=1rIXF6GCA0yrAVAWSsjA_Iuo4sdc65Dpq</t>
  </si>
  <si>
    <t>https://drive.google.com/open?id=1CSfIe1GSTbgmFD7aEUJvG34NICueFqE2</t>
  </si>
  <si>
    <t>احمد سيد عبد الغنى سلامه حرب</t>
  </si>
  <si>
    <t>الهرم</t>
  </si>
  <si>
    <t>100066899947</t>
  </si>
  <si>
    <t>EG240010010200000100066899947</t>
  </si>
  <si>
    <t>Nehal mohamed abdelfatah youssef</t>
  </si>
  <si>
    <t>نهال محمد عبدالفتاح يوسف</t>
  </si>
  <si>
    <t>nehalmohamedabdelftah@gmail.com</t>
  </si>
  <si>
    <t>201153309265</t>
  </si>
  <si>
    <t xml:space="preserve">Sun Gate </t>
  </si>
  <si>
    <t>Co teacher</t>
  </si>
  <si>
    <t>30002240100964</t>
  </si>
  <si>
    <t>https://drive.google.com/open?id=1R1Ym3ture7fkn3QvGyd7Akr5wzWz_V3G</t>
  </si>
  <si>
    <t>https://drive.google.com/open?id=1r-13YOrk1xaOU7UEyHtdzCYEUUdfDhPY</t>
  </si>
  <si>
    <t>Star mall</t>
  </si>
  <si>
    <t>0373011794727300017</t>
  </si>
  <si>
    <t>EG750003003730117947273000170</t>
  </si>
  <si>
    <t>Maha Gamal Hassan anis</t>
  </si>
  <si>
    <t>مها جمال حسن انيس</t>
  </si>
  <si>
    <t>mohe471990gamal@gmail.com</t>
  </si>
  <si>
    <t>201000706406</t>
  </si>
  <si>
    <t>ELSEWEDY International for Applied Technology and Software</t>
  </si>
  <si>
    <t>Employment officer and social studies teacher</t>
  </si>
  <si>
    <t>29007042100904</t>
  </si>
  <si>
    <t>https://drive.google.com/open?id=1ygR3Xp5Rr4v25tJFls37d54BE2qJ4uVj</t>
  </si>
  <si>
    <t>https://drive.google.com/open?id=1WuME4GudikBH1inLmMJ4it0uzg6wlJTc</t>
  </si>
  <si>
    <t>MAHA GAMAL HASAN</t>
  </si>
  <si>
    <t>A306</t>
  </si>
  <si>
    <t>Ramy Medhat Mohamed Soliman</t>
  </si>
  <si>
    <t>رامى مدحت محمد سليمان</t>
  </si>
  <si>
    <t>ramymedhat77@yahoo.com</t>
  </si>
  <si>
    <t>201006828805</t>
  </si>
  <si>
    <t>El Sana</t>
  </si>
  <si>
    <t>28303252103871</t>
  </si>
  <si>
    <t>https://drive.google.com/open?id=1F9NIpKIoi-MFWJpHQ7VRbmYYbw8PVnRJ</t>
  </si>
  <si>
    <t>https://drive.google.com/open?id=1Tz4woerpztA3rdvhznpUID_DwbOtBzI9</t>
  </si>
  <si>
    <t>Ramy Medhat Mohamed</t>
  </si>
  <si>
    <t xml:space="preserve">Beverly hills  </t>
  </si>
  <si>
    <t>100055124927</t>
  </si>
  <si>
    <t>EG970010014900000100055124927</t>
  </si>
  <si>
    <t>0149</t>
  </si>
  <si>
    <t>NEAMA MOHAMMED GEDAMY HASSAN</t>
  </si>
  <si>
    <t>نعمه محمد جدامي حسن</t>
  </si>
  <si>
    <t>neamagidamy3@gmail.com</t>
  </si>
  <si>
    <t>201270847005</t>
  </si>
  <si>
    <t>IPS INTERNATIONAL SCHOOL OCTOBER 3</t>
  </si>
  <si>
    <t>27703300101707</t>
  </si>
  <si>
    <t>https://drive.google.com/open?id=1_O60FOmOHKa9Mw3Ze9OuFcL5ixrboe5J</t>
  </si>
  <si>
    <t>https://drive.google.com/open?id=1GTP8YkyzUTY9n-bt3hfkOQVxqzfVZ9WE</t>
  </si>
  <si>
    <t>1235010321132200010</t>
  </si>
  <si>
    <t>EG120003012350103211322000100</t>
  </si>
  <si>
    <t>Seham Mohamed Abd Elghfar Mohamed</t>
  </si>
  <si>
    <t>سهام محمد عبد الغفار محمد</t>
  </si>
  <si>
    <t>soha0569@gmail.com</t>
  </si>
  <si>
    <t>201060203636</t>
  </si>
  <si>
    <t>Royal international school</t>
  </si>
  <si>
    <t>068037128</t>
  </si>
  <si>
    <t>29001012131921</t>
  </si>
  <si>
    <t>https://drive.google.com/open?id=1TNhGed2BLgLVucXIeqUqIq4i9Ucj0YmR</t>
  </si>
  <si>
    <t>https://drive.google.com/open?id=1U_Vf0U6gHQ-oK5A6LkPdW4Bk_LPamtyV</t>
  </si>
  <si>
    <t>Seham Mohamed Abd Elghafar Mohamed</t>
  </si>
  <si>
    <t xml:space="preserve">فرع عدى </t>
  </si>
  <si>
    <t>1705010229912700015</t>
  </si>
  <si>
    <t>EG660003017050102299127000150</t>
  </si>
  <si>
    <t>A307</t>
  </si>
  <si>
    <t>ABDELHALEM MEATMED SOLIMAN MOSTFA</t>
  </si>
  <si>
    <t>عبدالحليم معتمد سليمان مصطفي</t>
  </si>
  <si>
    <t>abdomotamed5@gmail.com</t>
  </si>
  <si>
    <t>201286147727</t>
  </si>
  <si>
    <t>ابو بكر الصديق الثانويه المشتركة</t>
  </si>
  <si>
    <t>عزبة الزراعه بجوار التربية النوعية -بنها - قليوبيه</t>
  </si>
  <si>
    <t>27901231400795</t>
  </si>
  <si>
    <t>https://drive.google.com/open?id=1la3HmP_gymFF-Kiol3VrtF9vdZUJNO7T</t>
  </si>
  <si>
    <t>https://drive.google.com/open?id=18lgtwoDx0KQ0sGv-iKcx_3w4LCbxH6xf</t>
  </si>
  <si>
    <t>banha</t>
  </si>
  <si>
    <t>11088180778065</t>
  </si>
  <si>
    <t>EG090036000100011088180778065</t>
  </si>
  <si>
    <t xml:space="preserve">Hagar hamdy shawky mohamed </t>
  </si>
  <si>
    <t xml:space="preserve">هاجر حمدي شوقي محمد </t>
  </si>
  <si>
    <t>lolosgiroo@gmail.com</t>
  </si>
  <si>
    <t>201090437668</t>
  </si>
  <si>
    <t xml:space="preserve">Smart vision school </t>
  </si>
  <si>
    <t>28808272102786</t>
  </si>
  <si>
    <t>https://drive.google.com/open?id=1hoeX30my8_i_0EjRquADkz-uIrcgnc4v</t>
  </si>
  <si>
    <t>https://drive.google.com/open?id=18efIONxVUnbWdB3DnKpQdsjHcFXZl56l</t>
  </si>
  <si>
    <t xml:space="preserve">HAGAR HAMDY SHAWKY </t>
  </si>
  <si>
    <t>Banks Court</t>
  </si>
  <si>
    <t>1130404063360</t>
  </si>
  <si>
    <t>EG410037019308181130404063360</t>
  </si>
  <si>
    <t xml:space="preserve">Doaa Sayed Moustafa Mohamed </t>
  </si>
  <si>
    <t>دعاء سيد مصطفي محمد</t>
  </si>
  <si>
    <t>doaahazem2012@gmail.com</t>
  </si>
  <si>
    <t>201114158299</t>
  </si>
  <si>
    <t xml:space="preserve">Six October language school </t>
  </si>
  <si>
    <t>28708062102142</t>
  </si>
  <si>
    <t>https://drive.google.com/open?id=1kBevm9HDHtIZbNL09qhjw4Jj9WcsB4Yg</t>
  </si>
  <si>
    <t>https://drive.google.com/open?id=1cshOQoakAA1MxYIQLt7-hFaDd5N6-HJt</t>
  </si>
  <si>
    <t>EG950003003750012234991010180</t>
  </si>
  <si>
    <t>A308</t>
  </si>
  <si>
    <t xml:space="preserve">waleed samir elraey </t>
  </si>
  <si>
    <t xml:space="preserve">وليد سمير الراعي عطية </t>
  </si>
  <si>
    <t>waleedelraai1@gmail.com</t>
  </si>
  <si>
    <t>201014171111</t>
  </si>
  <si>
    <t>skylight</t>
  </si>
  <si>
    <t xml:space="preserve">teacher </t>
  </si>
  <si>
    <t>28309121401653</t>
  </si>
  <si>
    <t>https://drive.google.com/open?id=10g_s35beSFRiE3aV2AgRbPxqAx1vvHWO</t>
  </si>
  <si>
    <t>https://drive.google.com/open?id=1KS2GYFOz_612XYgZnj78s5RWg7HKlk0c</t>
  </si>
  <si>
    <t>waleed samir elraey</t>
  </si>
  <si>
    <t>Shoubra Elkhiema</t>
  </si>
  <si>
    <t>5430245000002583</t>
  </si>
  <si>
    <t>EG520002054305430245000002583</t>
  </si>
  <si>
    <t>0543</t>
  </si>
  <si>
    <t>FATMA SALAH SABA SAYED AHMED</t>
  </si>
  <si>
    <t>Hanyfatma344@gmail.com</t>
  </si>
  <si>
    <t>201101342211</t>
  </si>
  <si>
    <t>ICB</t>
  </si>
  <si>
    <t>286-616-947</t>
  </si>
  <si>
    <t>29405101400645</t>
  </si>
  <si>
    <t>https://drive.google.com/open?id=1k8d0y32aDKapCSFK379ZBes12F-WTVy5</t>
  </si>
  <si>
    <t>https://drive.google.com/open?id=1Bz0HKJiOILtLRFASyFI00mTLA27eYYi7</t>
  </si>
  <si>
    <t>FATMA SALAH SABAA SAYED AHMED</t>
  </si>
  <si>
    <t>1100333000016150</t>
  </si>
  <si>
    <t>EG190002011001100333000016150</t>
  </si>
  <si>
    <t xml:space="preserve"> Soad Saleh Abdel Hamed Othman</t>
  </si>
  <si>
    <t>سعاد صالح عبدالحميد عثمان</t>
  </si>
  <si>
    <t>sssasoso88@gmail.com‏</t>
  </si>
  <si>
    <t>201144260435</t>
  </si>
  <si>
    <t xml:space="preserve">Al-Quds Al-Sharif Private School </t>
  </si>
  <si>
    <t xml:space="preserve">Director of the Kindergarten Department </t>
  </si>
  <si>
    <t>28807150103645</t>
  </si>
  <si>
    <t>https://drive.google.com/open?id=16iV7tM0kGiLqTSn8GH3QAIRsS2zR4GAq</t>
  </si>
  <si>
    <t>https://drive.google.com/open?id=1HcR-8jjY16VICErKDMpDULsyM3ooH0eG</t>
  </si>
  <si>
    <t>Soad Saleh Abdel Hamed Othman</t>
  </si>
  <si>
    <t>1755001157747701018</t>
  </si>
  <si>
    <t>EG050003017550011577477010180</t>
  </si>
  <si>
    <t>A309</t>
  </si>
  <si>
    <t>Ahmed magdy Ahmed Fathallah Emara</t>
  </si>
  <si>
    <t xml:space="preserve">احمد مجدي احمد فتح الله عماره </t>
  </si>
  <si>
    <t>aemara690@gmail.com</t>
  </si>
  <si>
    <t>201010020210</t>
  </si>
  <si>
    <t xml:space="preserve">Smart vision international school </t>
  </si>
  <si>
    <t>369-520-483</t>
  </si>
  <si>
    <t>29203012101438</t>
  </si>
  <si>
    <t>https://drive.google.com/open?id=1km-u9vmeN1yB9qqg4LLU8a3Wvzbr9Gjs</t>
  </si>
  <si>
    <t>https://drive.google.com/open?id=1GtFL21tyxxTAjsZzsSk9OKW5G8rVqdf9</t>
  </si>
  <si>
    <t xml:space="preserve">Ahmed magdy Ahmed Emara </t>
  </si>
  <si>
    <t>المريوطية</t>
  </si>
  <si>
    <t>5130330000003248</t>
  </si>
  <si>
    <t>EG560002051305130330000003248</t>
  </si>
  <si>
    <t>0513</t>
  </si>
  <si>
    <t>Mahmoud Ahmed Abdou Abdel rahim</t>
  </si>
  <si>
    <t>mahmoud_alaswany2010@yahoo.com</t>
  </si>
  <si>
    <t>201002765486</t>
  </si>
  <si>
    <t xml:space="preserve">New Cairo Academy </t>
  </si>
  <si>
    <t>Library Manager</t>
  </si>
  <si>
    <t>28108010112673</t>
  </si>
  <si>
    <t>https://drive.google.com/open?id=1haT0ZPti-Jpy_EiekfBDkRsHY87K5EMe</t>
  </si>
  <si>
    <t>https://drive.google.com/open?id=1h2vXVKfRTyNUPkta0AtSq0-hTSRHaFUs</t>
  </si>
  <si>
    <t>محمود احمد عبده عبدالرحيم</t>
  </si>
  <si>
    <t>0225001488120701015</t>
  </si>
  <si>
    <t>EG120003002250014881207010150</t>
  </si>
  <si>
    <t>A313</t>
  </si>
  <si>
    <t>Mona AbdulHady Ali Saleh</t>
  </si>
  <si>
    <t>منى عبدالهادي علي صالح</t>
  </si>
  <si>
    <t>Monaaabdelhady3@yahoo.com</t>
  </si>
  <si>
    <t>201122966585</t>
  </si>
  <si>
    <t xml:space="preserve">Emerald International School </t>
  </si>
  <si>
    <t>29201022102561</t>
  </si>
  <si>
    <t>https://drive.google.com/open?id=1lq-kO_Kh1bi4ixpuPeUGwhEPQCC4cWNk</t>
  </si>
  <si>
    <t>https://drive.google.com/open?id=1VAbNic5MFAM0zvyhdTRj78ovzt-_RvfF</t>
  </si>
  <si>
    <t>Mona Abdelhady Ali</t>
  </si>
  <si>
    <t>SAIB</t>
  </si>
  <si>
    <t xml:space="preserve">Mall of Arabia </t>
  </si>
  <si>
    <t>2520148625610240</t>
  </si>
  <si>
    <t>EG310035002502520148625610240</t>
  </si>
  <si>
    <t>SBNKEGCXXXX</t>
  </si>
  <si>
    <t>0025</t>
  </si>
  <si>
    <t>Wael mohamed abdlmeged abdlwahab</t>
  </si>
  <si>
    <t>وائل محمد عبد المجيد عبدالوهاب</t>
  </si>
  <si>
    <t>wmmohamed4@gmail.com</t>
  </si>
  <si>
    <t>201153456104</t>
  </si>
  <si>
    <t>Ramses American School</t>
  </si>
  <si>
    <t>26610122102395</t>
  </si>
  <si>
    <t>https://drive.google.com/open?id=1pWSBYm_VAsG0JChTaCPjdQSC0Vt5c5mH</t>
  </si>
  <si>
    <t>https://drive.google.com/open?id=1fGs-ZBe5qNsWrSx500TfwkxTVNWa410a</t>
  </si>
  <si>
    <t>Wael Mohamed Abdlmeged Abdelwahab</t>
  </si>
  <si>
    <t>Mall of Egypt branch</t>
  </si>
  <si>
    <t>1185322510010201</t>
  </si>
  <si>
    <t>EG060057029101185322510010201</t>
  </si>
  <si>
    <t>A314</t>
  </si>
  <si>
    <t>Rania Hasan Mohamed Hassan</t>
  </si>
  <si>
    <t>رانيا حسن محمد حسن الجنزورى</t>
  </si>
  <si>
    <t>raniaelganzory3@gmail.com</t>
  </si>
  <si>
    <t>201112156004</t>
  </si>
  <si>
    <t>IPS</t>
  </si>
  <si>
    <t>IT specialist</t>
  </si>
  <si>
    <t>28407072104542</t>
  </si>
  <si>
    <t>https://drive.google.com/open?id=1ftT5ldfVR9BgqXiK2sE0vsOsSw16Qm4E</t>
  </si>
  <si>
    <t>https://drive.google.com/open?id=1JB0qxFxL0On0_VnCxyDMH19CkxOtK3yC</t>
  </si>
  <si>
    <t>Rania Hassan Mohamed Hassan</t>
  </si>
  <si>
    <t>Mall of Egypt</t>
  </si>
  <si>
    <t>1178247260010200</t>
  </si>
  <si>
    <t>EG140057029101178247260010201</t>
  </si>
  <si>
    <t>0291</t>
  </si>
  <si>
    <t xml:space="preserve">Reem Ramadan Bakry Mohamed </t>
  </si>
  <si>
    <t>ريم رمضان بكري محمد</t>
  </si>
  <si>
    <t>Reemelgammal9@gmail.com</t>
  </si>
  <si>
    <t>201060152024</t>
  </si>
  <si>
    <t xml:space="preserve">Smart Vision School </t>
  </si>
  <si>
    <t>29311090100127</t>
  </si>
  <si>
    <t>https://drive.google.com/open?id=1P1MH1V5OvrlNpgfCVtGlMBmR4p5wTcHL</t>
  </si>
  <si>
    <t>https://drive.google.com/open?id=1hOAgVt9hhZnNz-Gv9puuQNhgmBFYVwur</t>
  </si>
  <si>
    <t xml:space="preserve">Mall of Egypt </t>
  </si>
  <si>
    <t>0385000984499501016</t>
  </si>
  <si>
    <t>A315</t>
  </si>
  <si>
    <t>Rawan Anwar Mohamed Mostafa</t>
  </si>
  <si>
    <t xml:space="preserve">روان انور محمد مصطفي </t>
  </si>
  <si>
    <t>rawananwar92@gmail.com</t>
  </si>
  <si>
    <t>201123969615</t>
  </si>
  <si>
    <t>Cairo British College</t>
  </si>
  <si>
    <t xml:space="preserve">Science Head Of Department </t>
  </si>
  <si>
    <t>30010012103409</t>
  </si>
  <si>
    <t>https://drive.google.com/open?id=1S7p6025ggcYrq9LpoFSw76as3d5sL7az</t>
  </si>
  <si>
    <t>https://drive.google.com/open?id=1wxsgQlv7Vk6mrGiPpZAhUBGJt3qrwJ09</t>
  </si>
  <si>
    <t xml:space="preserve">Rawan Anwar Mohamed Mostafa </t>
  </si>
  <si>
    <t>2720148227510240</t>
  </si>
  <si>
    <t>EG840035002702720148227510240</t>
  </si>
  <si>
    <t>Manal Abd El-Mohsen Abd El-Fattah Eldaly</t>
  </si>
  <si>
    <t>منال عبد المحسن عبد الفتاح الدالى</t>
  </si>
  <si>
    <t>manaleldaly89@gmail.com</t>
  </si>
  <si>
    <t>201009603773</t>
  </si>
  <si>
    <t xml:space="preserve">Activity Coordinator </t>
  </si>
  <si>
    <t>28911172102725</t>
  </si>
  <si>
    <t>https://drive.google.com/open?id=1nGeWz1v0dbtOmYyS3JYRWWHdjzDa4Gp8</t>
  </si>
  <si>
    <t>https://drive.google.com/open?id=1GHsPY107E6bD6k6g3Tm1hfm1ZHgYHc7h</t>
  </si>
  <si>
    <t>منال عبد المحسن عبد الفتاح عبد الغفار الدالى</t>
  </si>
  <si>
    <t xml:space="preserve">البدرشين </t>
  </si>
  <si>
    <t>1665000468696200018</t>
  </si>
  <si>
    <t>EG590003016650004686962000180</t>
  </si>
  <si>
    <t>A318</t>
  </si>
  <si>
    <t>Hosam saber yousif Gaber</t>
  </si>
  <si>
    <t>حسام صابر يوسف جابر</t>
  </si>
  <si>
    <t>samertugrullyl@gmail.com</t>
  </si>
  <si>
    <t>201120306312</t>
  </si>
  <si>
    <t>30411302102338</t>
  </si>
  <si>
    <t>Shrouk salah mahmoud sayed</t>
  </si>
  <si>
    <t>شروق صلاح محمود سيد</t>
  </si>
  <si>
    <t>shrouksalah049@gmail.com</t>
  </si>
  <si>
    <t>201033157250</t>
  </si>
  <si>
    <t>Sungate</t>
  </si>
  <si>
    <t>30203211400741</t>
  </si>
  <si>
    <t>https://drive.google.com/open?id=1AI70DvtEOu1HWXN3irDY5ikcKDzGzhSN</t>
  </si>
  <si>
    <t>https://drive.google.com/open?id=1whhI3TcM1xlWFv1QNlBlDensfZRTwBqI</t>
  </si>
  <si>
    <t>6855001797971300013</t>
  </si>
  <si>
    <t>EG380003068550017979713000130</t>
  </si>
  <si>
    <t>Heba Hilal El-Sayed</t>
  </si>
  <si>
    <t>هبه هلال السيد عادل</t>
  </si>
  <si>
    <t>heba.helal@york-press.com</t>
  </si>
  <si>
    <t>201068801458</t>
  </si>
  <si>
    <t>16</t>
  </si>
  <si>
    <t>Rania Khaled Husain AbdElaziz</t>
  </si>
  <si>
    <t xml:space="preserve">رانيا خالد حسين عبد العزيز </t>
  </si>
  <si>
    <t>raniakhaledhusain@gmail.com</t>
  </si>
  <si>
    <t>201118002750</t>
  </si>
  <si>
    <t xml:space="preserve">UK Marking </t>
  </si>
  <si>
    <t>077158486</t>
  </si>
  <si>
    <t>29611122100128</t>
  </si>
  <si>
    <t>https://drive.google.com/open?id=1eMgSJb19W34nR33zdXjtwim0A3LxTr3d</t>
  </si>
  <si>
    <t>https://drive.google.com/open?id=1UtENrk7JC21tuBEngrf7Hqd9U3M9S7ZJ</t>
  </si>
  <si>
    <t xml:space="preserve">RANIA KHAALED HUSAIN </t>
  </si>
  <si>
    <t>الدقي</t>
  </si>
  <si>
    <t>01118002750</t>
  </si>
  <si>
    <t>Amera Sami Ghonim Ali</t>
  </si>
  <si>
    <t>أميرة سامى غنيم على</t>
  </si>
  <si>
    <t>miro.sami.198484@gmail.com</t>
  </si>
  <si>
    <t>201153353954</t>
  </si>
  <si>
    <t>Ips3</t>
  </si>
  <si>
    <t>28401298800462</t>
  </si>
  <si>
    <t>https://drive.google.com/open?id=1B5evJQx2G3SD9igOFxG-OWBVynD9X8zt</t>
  </si>
  <si>
    <t>https://drive.google.com/open?id=1DQihX2FSDACPZgnXlMcY1Mi-wCehPFBy</t>
  </si>
  <si>
    <t>مجمع صالات حسن مصطفى</t>
  </si>
  <si>
    <t>8600001000000790</t>
  </si>
  <si>
    <t>EG240002086008600001000000790</t>
  </si>
  <si>
    <t>Shahin Sameh Shahin</t>
  </si>
  <si>
    <t>شاهين سامح شاهين</t>
  </si>
  <si>
    <t>shaheen.sameh99@gmail.com</t>
  </si>
  <si>
    <t>201151243225</t>
  </si>
  <si>
    <t>INTERNAL CASH</t>
  </si>
  <si>
    <t xml:space="preserve">Dina Hassan Sayed Mohammed </t>
  </si>
  <si>
    <t>دينا حسن سيد محمد</t>
  </si>
  <si>
    <t>dinahassanmail1@gmail.com</t>
  </si>
  <si>
    <t>201121115301</t>
  </si>
  <si>
    <t xml:space="preserve">Quest International School </t>
  </si>
  <si>
    <t>27606220103681</t>
  </si>
  <si>
    <t>https://drive.google.com/open?id=1IgfaWny1xJwtydsuts-wu95QIWyOVJRr</t>
  </si>
  <si>
    <t>https://drive.google.com/open?id=1gxG1WwqwLf6R98eb31AWMObJwnkr5EOg</t>
  </si>
  <si>
    <t>Dina Hassan Sayed</t>
  </si>
  <si>
    <t>100039134928</t>
  </si>
  <si>
    <t>EG500010001900000100039134928</t>
  </si>
  <si>
    <t>A402</t>
  </si>
  <si>
    <t>Mahmoud Ali Ali Elgendy</t>
  </si>
  <si>
    <t>محمود على على الجندي</t>
  </si>
  <si>
    <t>Mahmoudelgndy2@gmail.com</t>
  </si>
  <si>
    <t>201153863637</t>
  </si>
  <si>
    <t>28705011404072</t>
  </si>
  <si>
    <t>Ali Elsaid Ali Afify</t>
  </si>
  <si>
    <t>على السعيد على عفيفي</t>
  </si>
  <si>
    <t>Aly.afify218@gmail.com</t>
  </si>
  <si>
    <t>201008939025</t>
  </si>
  <si>
    <t xml:space="preserve">Beverly hils international school </t>
  </si>
  <si>
    <t>016813882</t>
  </si>
  <si>
    <t>28305121701392</t>
  </si>
  <si>
    <t>https://drive.google.com/open?id=1XODZk3SIYGOnWTxAqQUGmIeNr9a9lhf-</t>
  </si>
  <si>
    <t>https://drive.google.com/open?id=1kr-LB9dbOyodwKV2EZAXmjnGAuXwfZR9</t>
  </si>
  <si>
    <t>EG560003006430107130579010190</t>
  </si>
  <si>
    <t>Sara Sayed Khalil khalil</t>
  </si>
  <si>
    <t>سارة سيد خليل خليل</t>
  </si>
  <si>
    <t>Saydsara599@gmail.com</t>
  </si>
  <si>
    <t>201007825706</t>
  </si>
  <si>
    <t>H.R</t>
  </si>
  <si>
    <t>369/520483</t>
  </si>
  <si>
    <t>28311260105508</t>
  </si>
  <si>
    <t>https://drive.google.com/open?id=1CrpzR7vOpKHKcoQD44ZZk6d8N8AlPdUb</t>
  </si>
  <si>
    <t>https://drive.google.com/open?id=1Nzbmh26PTnVDvwnHZxV-ChfZ-rjpMGKD</t>
  </si>
  <si>
    <t>EG600037019308181130754091786</t>
  </si>
  <si>
    <t>A404</t>
  </si>
  <si>
    <t>Sayed Ahmed Marzouk Abo zaid</t>
  </si>
  <si>
    <t>sayedmarzouk26@gmail.com</t>
  </si>
  <si>
    <t>201221783392</t>
  </si>
  <si>
    <t>كبير باحثين بالمركز القومى للامتحانات والتقويم التربوى</t>
  </si>
  <si>
    <t>26904262100175</t>
  </si>
  <si>
    <t>https://drive.google.com/open?id=1A_DEyc2jKpqWaqZzmG3lYpYl19Ob3IR6</t>
  </si>
  <si>
    <t>https://drive.google.com/open?id=1NRI_F07O2iTO8nx7nWr6nVJJJpXEVcys</t>
  </si>
  <si>
    <t>سيدأحمد مرزوق أبوزيد</t>
  </si>
  <si>
    <t>0125000539780801010</t>
  </si>
  <si>
    <t>EG790003001250005397808010100</t>
  </si>
  <si>
    <t xml:space="preserve">Mohamed Badr Abdo Mahmoud </t>
  </si>
  <si>
    <t xml:space="preserve">محمد بدر عبده محمود </t>
  </si>
  <si>
    <t>mohamedbadrabdou0@gmail.com</t>
  </si>
  <si>
    <t>201001320068</t>
  </si>
  <si>
    <t xml:space="preserve">MAP International School </t>
  </si>
  <si>
    <t xml:space="preserve">ICT Teacher </t>
  </si>
  <si>
    <t>2 7501004</t>
  </si>
  <si>
    <t>28503012102035</t>
  </si>
  <si>
    <t>https://drive.google.com/open?id=1-WTA9sWaZQiURuEsIrraouHQHYWEOAMK</t>
  </si>
  <si>
    <t>https://drive.google.com/open?id=1V12La-UyzByoNkrkWKa36rB8469drsRj</t>
  </si>
  <si>
    <t>A405</t>
  </si>
  <si>
    <t>Esther Mosaad Andraws Tanas</t>
  </si>
  <si>
    <t xml:space="preserve">إستير مسعد أندراوس طناس </t>
  </si>
  <si>
    <t>esther.mosaad1985@gmail.com</t>
  </si>
  <si>
    <t>201273773374</t>
  </si>
  <si>
    <t>St.Arsany Language School</t>
  </si>
  <si>
    <t>Computer Lab Supervisor</t>
  </si>
  <si>
    <t>285010121587</t>
  </si>
  <si>
    <t>https://drive.google.com/open?id=1Sp3Z4RS24ZJqfjI4KqlzlpQ8ElwUuYo0</t>
  </si>
  <si>
    <t>https://drive.google.com/open?id=1nU6Ov_w9HvAD_GiqW80EbW5beEKzM8aJ</t>
  </si>
  <si>
    <t xml:space="preserve">ال الرئيسى بشارع شريف </t>
  </si>
  <si>
    <t>0015001004638301018</t>
  </si>
  <si>
    <t>EG210003000150010046383010180</t>
  </si>
  <si>
    <t>A406</t>
  </si>
  <si>
    <t>Shymaa Galal Mohamed Farag</t>
  </si>
  <si>
    <t>شيماء جلال محمد فرج</t>
  </si>
  <si>
    <t>Shymaag1@hotmail.com</t>
  </si>
  <si>
    <t>201144240268</t>
  </si>
  <si>
    <t>Nile Garden Language school</t>
  </si>
  <si>
    <t>29806302100342</t>
  </si>
  <si>
    <t>https://drive.google.com/open?id=17MP-vjlsjHVi-c2GpwoujjfvlB8ih4vf</t>
  </si>
  <si>
    <t>https://drive.google.com/open?id=1gKwdypRuBRcKqFcl8i8gQjtugxFu3ZtB</t>
  </si>
  <si>
    <t>شيماء جلال محمد فرج مصطفى</t>
  </si>
  <si>
    <t>المساحة كود 463</t>
  </si>
  <si>
    <t>4630383000004280</t>
  </si>
  <si>
    <t>EG780002046304630383000004282</t>
  </si>
  <si>
    <t>0463</t>
  </si>
  <si>
    <t xml:space="preserve">Nermine Hussein Mohamed El Husseiny </t>
  </si>
  <si>
    <t>نرمين حسين محمد الحسيني</t>
  </si>
  <si>
    <t>nermineelhusseiny166@gmail.com</t>
  </si>
  <si>
    <t>201098269944</t>
  </si>
  <si>
    <t>المدرسه الرسميه الدوليه 3</t>
  </si>
  <si>
    <t>French Teacher</t>
  </si>
  <si>
    <t>28312270102643</t>
  </si>
  <si>
    <t>https://drive.google.com/open?id=1RYCtpZDDKH5LEOFnRUQMue33LqUquf0M</t>
  </si>
  <si>
    <t>https://drive.google.com/open?id=1At1sbYJlC-c9hDRFBRYYGnSDDEPVdWk3</t>
  </si>
  <si>
    <t>nermin hessin mohamed elhosiny</t>
  </si>
  <si>
    <t>الحي المتميز</t>
  </si>
  <si>
    <t>1173144260010201</t>
  </si>
  <si>
    <t>EG460057029801173144260010201</t>
  </si>
  <si>
    <t>0298</t>
  </si>
  <si>
    <t>Roshan Mohamed Mohamed elawadly</t>
  </si>
  <si>
    <t>روشانً محمد محمد العوادلي</t>
  </si>
  <si>
    <t>Roshanmoody210@gmail.com</t>
  </si>
  <si>
    <t>201006605332</t>
  </si>
  <si>
    <t xml:space="preserve">Blue sky </t>
  </si>
  <si>
    <t>29807132103526</t>
  </si>
  <si>
    <t>https://drive.google.com/open?id=1QqGCFEIpk0Vl_ikSmeaKyr-mvIVxioBf</t>
  </si>
  <si>
    <t>https://drive.google.com/open?id=1yByo5nKRRUORr-O4kgKAYGZHSj0spY9-</t>
  </si>
  <si>
    <t>00953090026320</t>
  </si>
  <si>
    <t>EG560004109500000953090026320</t>
  </si>
  <si>
    <t>A407</t>
  </si>
  <si>
    <t xml:space="preserve">Mariam Sherif sayed salem </t>
  </si>
  <si>
    <t xml:space="preserve">مريم شريف سيد سالم </t>
  </si>
  <si>
    <t xml:space="preserve">mariamsherif1981999@gmail.com </t>
  </si>
  <si>
    <t>201120909713</t>
  </si>
  <si>
    <t xml:space="preserve">Stars intrenational school </t>
  </si>
  <si>
    <t>29908192100128</t>
  </si>
  <si>
    <t>https://drive.google.com/open?id=1AaEtdA0eqSg5hPk6qeeNOOe2YejX78Vj</t>
  </si>
  <si>
    <t>https://drive.google.com/open?id=1G5jmvg81mMdbl-qIVH81N2EwvCNFPdqN</t>
  </si>
  <si>
    <t xml:space="preserve">MARIAM SHERIF SAYED SALEM </t>
  </si>
  <si>
    <t xml:space="preserve">عبد المنعم رياض </t>
  </si>
  <si>
    <t>100065203717</t>
  </si>
  <si>
    <t>EG200010019300000100065203717</t>
  </si>
  <si>
    <t>Hoor Ahmed Moheb Mohamed</t>
  </si>
  <si>
    <t>حور احمد محب محمد</t>
  </si>
  <si>
    <t>horahmed98@gmail.com</t>
  </si>
  <si>
    <t>201008144497</t>
  </si>
  <si>
    <t>sun of Glory</t>
  </si>
  <si>
    <t>29803082100606</t>
  </si>
  <si>
    <t>https://drive.google.com/open?id=1uaRIfyrJ2JLBdJb02uAXWkMApgys1WSp</t>
  </si>
  <si>
    <t>https://drive.google.com/open?id=103TcJofILNPNUYAdOaYfxOzNWSBcv_m_</t>
  </si>
  <si>
    <t>HOOR AHMED MOHEB</t>
  </si>
  <si>
    <t>025173675001</t>
  </si>
  <si>
    <t>EG230025002500000025173675001</t>
  </si>
  <si>
    <t>A409</t>
  </si>
  <si>
    <t xml:space="preserve">Mayada Hassan Eid Ali </t>
  </si>
  <si>
    <t xml:space="preserve">مياده حسن عيد علي </t>
  </si>
  <si>
    <t>mayadah436@gmail.com</t>
  </si>
  <si>
    <t>201090456877</t>
  </si>
  <si>
    <t xml:space="preserve">smart vision </t>
  </si>
  <si>
    <t>30005161401869</t>
  </si>
  <si>
    <t>https://drive.google.com/open?id=11YNj026BKGVN7V6CjIdJRCPdIiwhh6NM</t>
  </si>
  <si>
    <t>https://drive.google.com/open?id=1hqEJX_bLkzFYpXv0IdOv3kyYMUnAiKAM</t>
  </si>
  <si>
    <t xml:space="preserve">مياده حسن عيد علي جزر </t>
  </si>
  <si>
    <t xml:space="preserve">قليوب </t>
  </si>
  <si>
    <t>04013170004344</t>
  </si>
  <si>
    <t>EG120004402000004013170004344</t>
  </si>
  <si>
    <t>Nora Rashad Mohammed Awois</t>
  </si>
  <si>
    <t>نورا رشاد محمد عويس</t>
  </si>
  <si>
    <t xml:space="preserve">norarashad2019@gmail.com </t>
  </si>
  <si>
    <t>201102953230</t>
  </si>
  <si>
    <t>The Fifth Distinguished Official school</t>
  </si>
  <si>
    <t>Senior social studies teacher</t>
  </si>
  <si>
    <t>28108230102768</t>
  </si>
  <si>
    <t>https://drive.google.com/open?id=1GaMsEmy2wGDKbJJD9rjZkZxhQtp3euU6</t>
  </si>
  <si>
    <t>https://drive.google.com/open?id=1AOu4B4SocacZkvjl5QAbEXkFUBQMNa6a</t>
  </si>
  <si>
    <t>نورا رشار محمد عويس</t>
  </si>
  <si>
    <t>1823010205738900016</t>
  </si>
  <si>
    <t>EG680003018230102057389000160</t>
  </si>
  <si>
    <t>A411</t>
  </si>
  <si>
    <t>SARA MOHAMED SALAMA</t>
  </si>
  <si>
    <t xml:space="preserve">ساره محمد سلامه </t>
  </si>
  <si>
    <t>sarasalma1917@gmail.com</t>
  </si>
  <si>
    <t>201065977995</t>
  </si>
  <si>
    <t xml:space="preserve">Futures tech schools </t>
  </si>
  <si>
    <t xml:space="preserve">Public relations </t>
  </si>
  <si>
    <t>Nona</t>
  </si>
  <si>
    <t>28606190103227</t>
  </si>
  <si>
    <t>https://drive.google.com/open?id=19JCgzn3p4eR2X_rHLyYc4NiNVXeXT1GY</t>
  </si>
  <si>
    <t>https://drive.google.com/open?id=1IWgndfmhL3fUUhz6jPnIwgBT5DpZ-ozG</t>
  </si>
  <si>
    <t xml:space="preserve">ساره محمد سلامه اسماعيل </t>
  </si>
  <si>
    <t xml:space="preserve">نادى ٦ اكتوبر الحي السابع </t>
  </si>
  <si>
    <t>5740333000019407</t>
  </si>
  <si>
    <t>EG400002057405740333000019407</t>
  </si>
  <si>
    <t xml:space="preserve">Noha nageh soliman sidarous </t>
  </si>
  <si>
    <t xml:space="preserve">نهى ناجح سليمان سيدروس </t>
  </si>
  <si>
    <t>Nagehnoha864@gmail.com</t>
  </si>
  <si>
    <t>201278662806</t>
  </si>
  <si>
    <t xml:space="preserve">براعم مصر </t>
  </si>
  <si>
    <t>Techer ict</t>
  </si>
  <si>
    <t>281060602100301</t>
  </si>
  <si>
    <t>https://drive.google.com/open?id=1g_V1WylHgpuQu9QF8lwTZQARr4WFQx3z</t>
  </si>
  <si>
    <t>https://drive.google.com/open?id=1qpNHHb3zZ2Y2p-XL3TSy_GKo0WWfemjx</t>
  </si>
  <si>
    <t>Noha nageh soliman sidero</t>
  </si>
  <si>
    <t>Om el masreen</t>
  </si>
  <si>
    <t>5078031481640325</t>
  </si>
  <si>
    <t>A413</t>
  </si>
  <si>
    <t>Mohamed Sayed Helmy Ibrahim</t>
  </si>
  <si>
    <t>محمد سيد حلمى ابراهيم</t>
  </si>
  <si>
    <t>helmymohamed287@gmail.com</t>
  </si>
  <si>
    <t>201096661074</t>
  </si>
  <si>
    <t>Westview International Language</t>
  </si>
  <si>
    <t>29509302101239</t>
  </si>
  <si>
    <t>https://drive.google.com/open?id=1ya7DGroXEMkFHfibP25lutZ7iJS6_CTy</t>
  </si>
  <si>
    <t>https://drive.google.com/open?id=1QtlnuXFVzSPq6RqHl3FJdTbnY0ZaZ978</t>
  </si>
  <si>
    <t>MOHAMED SAYED HELMY IBRAHIM</t>
  </si>
  <si>
    <t>1130486836723</t>
  </si>
  <si>
    <t>EG350037018408181130486836723</t>
  </si>
  <si>
    <t xml:space="preserve">Fathia Mohamed raafat Mohamed Amin waly </t>
  </si>
  <si>
    <t xml:space="preserve">فتحيه محمد رافت محمد امين والى </t>
  </si>
  <si>
    <t xml:space="preserve">Fathiawaly068@gmail.com </t>
  </si>
  <si>
    <t>201000716436</t>
  </si>
  <si>
    <t>Ips october  2</t>
  </si>
  <si>
    <t>27907272102608</t>
  </si>
  <si>
    <t>https://drive.google.com/open?id=10RS7R8q_eGn1ECIJgF4_OllZnWjJXYT5</t>
  </si>
  <si>
    <t>https://drive.google.com/open?id=1KpblBnccbP0Mq3lnDhgsDDVZvUEI4C8H</t>
  </si>
  <si>
    <t>A417</t>
  </si>
  <si>
    <t>Amal Hosny Mahmoud barakat</t>
  </si>
  <si>
    <t>امال حسني محمود بركات</t>
  </si>
  <si>
    <t xml:space="preserve">memohosny77@gmail.com </t>
  </si>
  <si>
    <t>201003548053</t>
  </si>
  <si>
    <t xml:space="preserve">International public school october3 </t>
  </si>
  <si>
    <t>27703221401126</t>
  </si>
  <si>
    <t>https://drive.google.com/open?id=1yA7jcRd-G9z0v0aB0oKCuWvDt-FftY2t</t>
  </si>
  <si>
    <t>https://drive.google.com/open?id=1uQDKLbw_IP8RZ9BitklQI4VrimpWAn0k</t>
  </si>
  <si>
    <t xml:space="preserve">آمال حسنى محمود بركات </t>
  </si>
  <si>
    <t>الحصرى</t>
  </si>
  <si>
    <t>1825000276509200017</t>
  </si>
  <si>
    <t>EG770003018250002765092000170</t>
  </si>
  <si>
    <t>Eman Mohamed elnewery ebrahim</t>
  </si>
  <si>
    <t xml:space="preserve">ايمان محمد النويرى ابراهيم </t>
  </si>
  <si>
    <t>memy97471@gmail.com</t>
  </si>
  <si>
    <t>201129997881</t>
  </si>
  <si>
    <t>Ips1</t>
  </si>
  <si>
    <t>Computer teatcher</t>
  </si>
  <si>
    <t>27306270102488</t>
  </si>
  <si>
    <t>https://drive.google.com/open?id=1FPvsG1cvId6iNBUmCycK9XayXCKmo1Tc</t>
  </si>
  <si>
    <t>https://drive.google.com/open?id=1HKE8HJt5wgjfa_IZNhPKAi2F4q5cpNSL</t>
  </si>
  <si>
    <t>A418</t>
  </si>
  <si>
    <t>Walaa Ahmed Abdelqader shoheib</t>
  </si>
  <si>
    <t>ولاء احمد عبد القادر شهيب</t>
  </si>
  <si>
    <t xml:space="preserve">Walaashohip86@gmail.com </t>
  </si>
  <si>
    <t>201001767171</t>
  </si>
  <si>
    <t>5252046</t>
  </si>
  <si>
    <t>28602221603406</t>
  </si>
  <si>
    <t>https://drive.google.com/open?id=1TogrjhGWnEeotiWM82l3Tn9ukdL2MgQl</t>
  </si>
  <si>
    <t>https://drive.google.com/open?id=1It1O82-jMIsUxJBwQ5GqR8aVxafMHJaL</t>
  </si>
  <si>
    <t xml:space="preserve">مول البنوك /غرب سوميد </t>
  </si>
  <si>
    <t>1130754066275</t>
  </si>
  <si>
    <t>EG600037019308181130754066275</t>
  </si>
  <si>
    <t>Hany Khaled AbdElbadea Mohamed</t>
  </si>
  <si>
    <t>هانى خالد عبدالبديع محمد</t>
  </si>
  <si>
    <t>hanykhaled920@gmail.com</t>
  </si>
  <si>
    <t>201156985159</t>
  </si>
  <si>
    <t>29406200106453</t>
  </si>
  <si>
    <t>https://drive.google.com/open?id=1LS6aQ0gZm-NLU93RD33tCYHtJBZTemD9</t>
  </si>
  <si>
    <t>https://drive.google.com/open?id=1KatqtJ90t32a8ItmVI-j7aS9WXNOGSWZ</t>
  </si>
  <si>
    <t>HANY KHALED ABDELBADEEA MOHAMED</t>
  </si>
  <si>
    <t>EG300037010708181130067774519</t>
  </si>
  <si>
    <t>A419</t>
  </si>
  <si>
    <t>Mohamed Mostafa Mohamed Ahmed</t>
  </si>
  <si>
    <t xml:space="preserve">محمد مصطفى محمد احمد </t>
  </si>
  <si>
    <t>m.dome.acc@gmail.com</t>
  </si>
  <si>
    <t>201151149024</t>
  </si>
  <si>
    <t xml:space="preserve">Dome international school </t>
  </si>
  <si>
    <t>28903150106112</t>
  </si>
  <si>
    <t>https://drive.google.com/open?id=1oqYKT_wBAMSOfokaH0WhFoTMsPg9_dFK</t>
  </si>
  <si>
    <t>https://drive.google.com/open?id=1FASbxZVBL4gcQEceNmYoH3C3UoiM-Uzu</t>
  </si>
  <si>
    <t>Chill out bark</t>
  </si>
  <si>
    <t>1130739449710</t>
  </si>
  <si>
    <t>EG390037020108181130739449710</t>
  </si>
  <si>
    <t>Ahmed Gamil Gamal Esawy</t>
  </si>
  <si>
    <t>احمد جميل جمال عيسوي</t>
  </si>
  <si>
    <t>ahmedgamil766@gmail.com</t>
  </si>
  <si>
    <t>201559929028</t>
  </si>
  <si>
    <t>مدرسة الفضيله</t>
  </si>
  <si>
    <t>29905252104935</t>
  </si>
  <si>
    <t>https://drive.google.com/open?id=1iqh-8AWhCwQB6qG7Fk4QAQLCYnyk0Mxr</t>
  </si>
  <si>
    <t>https://drive.google.com/open?id=1ZSUKIF8aijs1dZu6M__aBTTlCnbNF69g</t>
  </si>
  <si>
    <t>اوسيم جيزة</t>
  </si>
  <si>
    <t>1470320000060848</t>
  </si>
  <si>
    <t>EG650002014701470320000060848</t>
  </si>
  <si>
    <t>A420</t>
  </si>
  <si>
    <t>Alshaimaa Shrief Mohammed Nassar</t>
  </si>
  <si>
    <t>الشيماء شريف محمد نصار</t>
  </si>
  <si>
    <t>alshaimaa.nassar8@gmail.com</t>
  </si>
  <si>
    <t>201005837239</t>
  </si>
  <si>
    <t>International Public Schools</t>
  </si>
  <si>
    <t>28007181600501</t>
  </si>
  <si>
    <t>https://drive.google.com/open?id=1VKFf_LxZmMmyrkELia7mDqpYLgpCr1uT</t>
  </si>
  <si>
    <t>https://drive.google.com/open?id=1ozNyE0MmX1DBNk_AKu23aj_uaqcEroKF</t>
  </si>
  <si>
    <t>ELSHIMAA SHERIF MOHAMED</t>
  </si>
  <si>
    <t>نادي 6 اكتوبر</t>
  </si>
  <si>
    <t>5740333000036643</t>
  </si>
  <si>
    <t>EG740002057405740333000036643</t>
  </si>
  <si>
    <t>0574</t>
  </si>
  <si>
    <t>Sara Maged Moris Besada</t>
  </si>
  <si>
    <t xml:space="preserve">سارة ماجد موريس بسادة </t>
  </si>
  <si>
    <t>saramaged1272002@gmail.com</t>
  </si>
  <si>
    <t>201220151120</t>
  </si>
  <si>
    <t>El Jazeera language school</t>
  </si>
  <si>
    <t>30207122100403</t>
  </si>
  <si>
    <t>https://drive.google.com/open?id=1dXy9LGCxhYtraX2I0wmvbc8t16wIAYVk</t>
  </si>
  <si>
    <t>https://drive.google.com/open?id=1TvXvPC6fKT0bxehPoy40S1cPz4QHEBRj</t>
  </si>
  <si>
    <t>100064917786</t>
  </si>
  <si>
    <t>EG930010014500000100064917786</t>
  </si>
  <si>
    <t>A421</t>
  </si>
  <si>
    <t>Atef Nawar Mohamed Mabrouk</t>
  </si>
  <si>
    <t>عاطف انور محمد مبروك</t>
  </si>
  <si>
    <t>atefnawar812@gmail.com</t>
  </si>
  <si>
    <t>201004718299</t>
  </si>
  <si>
    <t>066783112</t>
  </si>
  <si>
    <t>28808272100856</t>
  </si>
  <si>
    <t>Shimaa reda Mohammed attia</t>
  </si>
  <si>
    <t xml:space="preserve">شيماء رضا محمد عطيه </t>
  </si>
  <si>
    <t>shimaaelkordy84@gmail.com</t>
  </si>
  <si>
    <t>01032454466</t>
  </si>
  <si>
    <t xml:space="preserve">Kindergarten teacher </t>
  </si>
  <si>
    <t>2.8408E+13</t>
  </si>
  <si>
    <t>https://drive.google.com/open?id=1uWeiv7IajFGpINUgl7mcxuV8Xct5SFlU</t>
  </si>
  <si>
    <t>https://drive.google.com/open?id=1EJ6a9x_XcVtKlrQXISfaP_t43MUUOG6w</t>
  </si>
  <si>
    <t>6935001712011700012</t>
  </si>
  <si>
    <t>EG270003069350017120117000120</t>
  </si>
  <si>
    <t>Abdo Hassan Abdo</t>
  </si>
  <si>
    <t>عبده حسن عبده</t>
  </si>
  <si>
    <t>abdo.hassan@york-press.com</t>
  </si>
  <si>
    <t>201068805202</t>
  </si>
  <si>
    <t>1120156410010101</t>
  </si>
  <si>
    <t>7</t>
  </si>
  <si>
    <t>Nada Muhammad talaat muhammad</t>
  </si>
  <si>
    <t>ندى محمد طلعت محمد</t>
  </si>
  <si>
    <t>nairamohamed2309@gmail.com</t>
  </si>
  <si>
    <t>201115952138</t>
  </si>
  <si>
    <t xml:space="preserve">Uk team leader </t>
  </si>
  <si>
    <t>29809091401447</t>
  </si>
  <si>
    <t>https://drive.google.com/open?id=1cWp96Uwdrj8rsZMR_B7staqZ5HYGwJNw</t>
  </si>
  <si>
    <t>https://drive.google.com/open?id=1RsJ7dFNEn5WjcK43R434fPoZHQWgz5BM</t>
  </si>
  <si>
    <t xml:space="preserve">Nada Muhammad talaat Muhammad </t>
  </si>
  <si>
    <t>El qanater el khairya</t>
  </si>
  <si>
    <t>5078034941812690</t>
  </si>
  <si>
    <t>Yasmin Mohamed Abozaid Esawee</t>
  </si>
  <si>
    <t>ياسمين محمد أبوزيد عيسوي</t>
  </si>
  <si>
    <t>yasminabozaid18@gmail.com</t>
  </si>
  <si>
    <t>201090368551</t>
  </si>
  <si>
    <t>Continental palace</t>
  </si>
  <si>
    <t>29011268800043</t>
  </si>
  <si>
    <t>https://drive.google.com/open?id=1QGOJxLJcZakTxgSfKWnSpw1n423XIsHJ</t>
  </si>
  <si>
    <t>https://drive.google.com/open?id=1IncvYGEhRFdyxxhEJlhobn1MktJ60mvZ</t>
  </si>
  <si>
    <t>6003090019271</t>
  </si>
  <si>
    <t>EG260004120000006003090019271</t>
  </si>
  <si>
    <t>1200</t>
  </si>
  <si>
    <t>Dalia Serag eldin Ali Sadek Ali</t>
  </si>
  <si>
    <t xml:space="preserve">داليا سراج الدين علي صادق علي </t>
  </si>
  <si>
    <t>dsersg2@gmail.com</t>
  </si>
  <si>
    <t>201003364613</t>
  </si>
  <si>
    <t xml:space="preserve">Skylight language school </t>
  </si>
  <si>
    <t xml:space="preserve">English coordinator </t>
  </si>
  <si>
    <t>28503248800167</t>
  </si>
  <si>
    <t>https://drive.google.com/open?id=1fgRIgm1xSVcYapUJeEvTGgWUJ_3RfewJ</t>
  </si>
  <si>
    <t>https://drive.google.com/open?id=1QzKkHKE1Jxj8EhYGO1pO7qWax06JhDN5</t>
  </si>
  <si>
    <t>داليا سراج الدين على صادق</t>
  </si>
  <si>
    <t>1845001244083701016</t>
  </si>
  <si>
    <t>EG480003018450012440837010160</t>
  </si>
  <si>
    <t>Marwa Magdy Saber Elsayed</t>
  </si>
  <si>
    <t>مروة مجدي صابر السيد</t>
  </si>
  <si>
    <t>Princessmaro15@gmail.com</t>
  </si>
  <si>
    <t>201221119883</t>
  </si>
  <si>
    <t>International public school October 3</t>
  </si>
  <si>
    <t xml:space="preserve">Art teacher and supervisor </t>
  </si>
  <si>
    <t>28312220103908</t>
  </si>
  <si>
    <t>https://drive.google.com/open?id=1YgTaJ8fMdqpUmequE2_0FTLHmJeYbuuU</t>
  </si>
  <si>
    <t>https://drive.google.com/open?id=1QYo-cEyIaIw1SVnn3l9wP69iuOOMhgaG</t>
  </si>
  <si>
    <t>مروه مجدي صابر السيد</t>
  </si>
  <si>
    <t>الحصري</t>
  </si>
  <si>
    <t>06083050005621</t>
  </si>
  <si>
    <t>EG330004138000006083050005621</t>
  </si>
  <si>
    <t>1380</t>
  </si>
  <si>
    <t>Abdelrahman osama mohamed zaki</t>
  </si>
  <si>
    <t xml:space="preserve">عبدالرحمن اسامه محمد ذكي </t>
  </si>
  <si>
    <t>Abdoosamafoly@gmail.com</t>
  </si>
  <si>
    <t>201126809588</t>
  </si>
  <si>
    <t>30101272103114</t>
  </si>
  <si>
    <t>https://drive.google.com/open?id=1-2zstfDFfAopdIxsfesGOj0h7ppGDbsI</t>
  </si>
  <si>
    <t>https://drive.google.com/open?id=1aSE9sN3ygSqjvvAPvomeBY69Rs1lPyH8</t>
  </si>
  <si>
    <t>A502</t>
  </si>
  <si>
    <t>Asmaa Sobhy El Sayed Mohamed</t>
  </si>
  <si>
    <t>اسماء صبحي السيد محمد</t>
  </si>
  <si>
    <t>sophyasmaa9@gmail.com</t>
  </si>
  <si>
    <t>201284022615</t>
  </si>
  <si>
    <t>29209191401587</t>
  </si>
  <si>
    <t>Sara Al-Hassan Abd El-Aziz Mahmoud</t>
  </si>
  <si>
    <t>ساره الحسن عبدالعزيز محمود</t>
  </si>
  <si>
    <t>sara.alhassan93@gmail.com</t>
  </si>
  <si>
    <t>201101019843</t>
  </si>
  <si>
    <t>Dar Al Maaref Language School</t>
  </si>
  <si>
    <t>30005220102048</t>
  </si>
  <si>
    <t>https://drive.google.com/open?id=1GgZaFcTe89MzoPWn9n64inH1NTbln3-8</t>
  </si>
  <si>
    <t>https://drive.google.com/open?id=1dLVf6iJljoWWlE70BSrY5phyM9fREwxp</t>
  </si>
  <si>
    <t>0585000326893701016</t>
  </si>
  <si>
    <t>EG720003005850003268937010160</t>
  </si>
  <si>
    <t>0058</t>
  </si>
  <si>
    <t>HananMetwallySeifElNasrAboSaada</t>
  </si>
  <si>
    <t>حنان متولى سيف النصر ابو سعده</t>
  </si>
  <si>
    <t>hananmetwally45@gmail.com</t>
  </si>
  <si>
    <t>201007848498</t>
  </si>
  <si>
    <t>Hafr El Baten language school</t>
  </si>
  <si>
    <t>26908110103824</t>
  </si>
  <si>
    <t>https://drive.google.com/open?id=1DlQ9akhNn-a_8qmZoqzd0lbqkb8vaVwq</t>
  </si>
  <si>
    <t>https://drive.google.com/open?id=1KOaQotmhNq8plZG4jakPDT5ZCKaIA8s6</t>
  </si>
  <si>
    <t>A504</t>
  </si>
  <si>
    <t xml:space="preserve">Walaa Hanafy Mohamed Hanafy </t>
  </si>
  <si>
    <t xml:space="preserve">ولاء حنفى محمد حنفى </t>
  </si>
  <si>
    <t>walaahanafyips@gmail.com</t>
  </si>
  <si>
    <t>201113318111</t>
  </si>
  <si>
    <t xml:space="preserve">IPS October 1 </t>
  </si>
  <si>
    <t>27707182102367</t>
  </si>
  <si>
    <t>https://drive.google.com/open?id=19GfUvl-AkSOTRyUJj1XvvXFjFL15r593</t>
  </si>
  <si>
    <t>https://drive.google.com/open?id=1JwZ7R7awWkK9M35jhiB5bP7liIDFOiWR</t>
  </si>
  <si>
    <t>Walaa Hanfi Mohamed Hanfi</t>
  </si>
  <si>
    <t xml:space="preserve">MohyelDin Abu El Ezz </t>
  </si>
  <si>
    <t>8110005511257535001</t>
  </si>
  <si>
    <t>EG110022551110005511257535001</t>
  </si>
  <si>
    <t>5511</t>
  </si>
  <si>
    <t xml:space="preserve">Heba yahia abdelfatah mohamed </t>
  </si>
  <si>
    <t>هبه يحيي عبد الفتاح محمد</t>
  </si>
  <si>
    <t xml:space="preserve">Hebamohamedsalem2@gmail.com </t>
  </si>
  <si>
    <t>201149453470</t>
  </si>
  <si>
    <t>Ips October 2</t>
  </si>
  <si>
    <t>28309171401646</t>
  </si>
  <si>
    <t>https://drive.google.com/open?id=1ZScxJExuId0MIBnX4InhaXCOkARssrxl</t>
  </si>
  <si>
    <t>https://drive.google.com/open?id=1hnxpRuY9WxRk4W5Uu5KAhXDVDD4O8Abv</t>
  </si>
  <si>
    <t xml:space="preserve">هبه يحيي عبد الفتاح محمد </t>
  </si>
  <si>
    <t>1845001359857201012</t>
  </si>
  <si>
    <t>EG980003018450013598572010120</t>
  </si>
  <si>
    <t xml:space="preserve">Fatma Ahmed Ali Khalil </t>
  </si>
  <si>
    <t>Fatma.khalil@smartvisionschool.com</t>
  </si>
  <si>
    <t xml:space="preserve">201098944584 </t>
  </si>
  <si>
    <t>28909230105387</t>
  </si>
  <si>
    <t>https://drive.google.com/open?id=1x04I9BwoSh_NoIHpoLIwA8QUM0KejTOO</t>
  </si>
  <si>
    <t>https://drive.google.com/open?id=1bJ5Vqk7xIS1Kvf06frio6Npvk6HotBw6</t>
  </si>
  <si>
    <t>A506</t>
  </si>
  <si>
    <t xml:space="preserve">Zeinab Abdelhady Saleh Ahmed </t>
  </si>
  <si>
    <t>ahmedzeinab965@gmail.com</t>
  </si>
  <si>
    <t>201140425069</t>
  </si>
  <si>
    <t xml:space="preserve">International Public School. October 1 </t>
  </si>
  <si>
    <t>An expert teacher in English Language.</t>
  </si>
  <si>
    <t>24605487</t>
  </si>
  <si>
    <t>694789704</t>
  </si>
  <si>
    <t>27804272100041</t>
  </si>
  <si>
    <t>https://drive.google.com/open?id=1g7wT7YASZzdlsCexsv_rMlGPxlr24EIi</t>
  </si>
  <si>
    <t>https://drive.google.com/open?id=1TaeCQW7L7KNIIgALExy5ocsfyJ9LZLHL</t>
  </si>
  <si>
    <t>ZAINAB ABDALHADY SALEH</t>
  </si>
  <si>
    <t>6 Of October Club</t>
  </si>
  <si>
    <t>5740333000035618</t>
  </si>
  <si>
    <t>EG070002057405740333000035618</t>
  </si>
  <si>
    <t>Hazem.Mostafa.Mohamed.Mohamed</t>
  </si>
  <si>
    <t xml:space="preserve">حازم مصطفى محمد محمد خليل </t>
  </si>
  <si>
    <t>hazem.mostafa.metz.france@gmail.com</t>
  </si>
  <si>
    <t>201551909036</t>
  </si>
  <si>
    <t xml:space="preserve">Dover American international School </t>
  </si>
  <si>
    <t>Germany Teacher</t>
  </si>
  <si>
    <t>313-561-214</t>
  </si>
  <si>
    <t>28107190103697</t>
  </si>
  <si>
    <t>https://drive.google.com/open?id=1YXA1de98Wd0tPQCJZiLYP7SI5jzeMVEf</t>
  </si>
  <si>
    <t>https://drive.google.com/open?id=1CdY_qxm1Jb6d0LtOfuA1mNQA-Ky8f42h</t>
  </si>
  <si>
    <t>100038730578</t>
  </si>
  <si>
    <t>EG030010015500000100038730578</t>
  </si>
  <si>
    <t>Marwa TAREK Ahmed abdo</t>
  </si>
  <si>
    <t>مروة طارق احمد عبدة</t>
  </si>
  <si>
    <t>Marwa.tarek91@hotmail.com</t>
  </si>
  <si>
    <t>201117633933</t>
  </si>
  <si>
    <t xml:space="preserve">Fanarah language school </t>
  </si>
  <si>
    <t>29106230100685</t>
  </si>
  <si>
    <t>https://drive.google.com/open?id=1MiHFX5otQRwjxZkuC8IDdKq0087pgL7Y</t>
  </si>
  <si>
    <t>https://drive.google.com/open?id=1iDWfcSJx1dMBFY2WtPwyDnLw0gduKi1R</t>
  </si>
  <si>
    <t>Marwa Tarek Ahmed Abdo</t>
  </si>
  <si>
    <t>A507</t>
  </si>
  <si>
    <t xml:space="preserve">Mamdoh Mohamed mohamed sharwy </t>
  </si>
  <si>
    <t xml:space="preserve">ممدوح محمد محمد شعراوى </t>
  </si>
  <si>
    <t xml:space="preserve">Msharwy6973@gmail.com </t>
  </si>
  <si>
    <t>201142621436</t>
  </si>
  <si>
    <t xml:space="preserve">المركز القومى للامتحانات والتقويم التربوى </t>
  </si>
  <si>
    <t>26903270100676</t>
  </si>
  <si>
    <t>https://drive.google.com/open?id=1ZV3pRjTZeJbI7XvA-PaFdafo_vtfHuJf</t>
  </si>
  <si>
    <t>https://drive.google.com/open?id=1T34DirOFVN1OCyHXJeOzpztwW2WWBCMX</t>
  </si>
  <si>
    <t>1065010719896900010</t>
  </si>
  <si>
    <t>EG770003010650107198969000100</t>
  </si>
  <si>
    <t>Mary maher saad tony</t>
  </si>
  <si>
    <t>ماري ماهر سعد طوني</t>
  </si>
  <si>
    <t>mary.maher.hh@gmail.com</t>
  </si>
  <si>
    <t>201224318650</t>
  </si>
  <si>
    <t>Al Jazeera language school</t>
  </si>
  <si>
    <t>28207142101601</t>
  </si>
  <si>
    <t>https://drive.google.com/open?id=1PP7qkANhvHTfAQ8DGFpMWx-a53Z5ig6T</t>
  </si>
  <si>
    <t>https://drive.google.com/open?id=1Xuffdp-hR-yZ6xMwbdMrRsFigvk9xpJ8</t>
  </si>
  <si>
    <t>Kasr El-haram</t>
  </si>
  <si>
    <t>A509</t>
  </si>
  <si>
    <t>Yasmin Ali Abdul atty kamel</t>
  </si>
  <si>
    <t xml:space="preserve">ياسمين علي عبد العاطي كامل </t>
  </si>
  <si>
    <t>Ya270196@gmail.com</t>
  </si>
  <si>
    <t>201003074476</t>
  </si>
  <si>
    <t xml:space="preserve">El hossary azhar language school </t>
  </si>
  <si>
    <t>+20 2 66853943</t>
  </si>
  <si>
    <t>28509272100506</t>
  </si>
  <si>
    <t>https://drive.google.com/open?id=1KGSCgkcU-ieVmpj_WWw-Rk6VWiNj7PJk</t>
  </si>
  <si>
    <t>https://drive.google.com/open?id=1FpXQw5Nfg05A_DLpViCDit6Q7tMTpUXx</t>
  </si>
  <si>
    <t>Yasmin Ali Abdel atty</t>
  </si>
  <si>
    <t xml:space="preserve">الشيخ زايد </t>
  </si>
  <si>
    <t>4720333000018296</t>
  </si>
  <si>
    <t>EG410002047204720333000018296</t>
  </si>
  <si>
    <t>0472</t>
  </si>
  <si>
    <t xml:space="preserve">Sohila mostafa Mohamed Elanwar </t>
  </si>
  <si>
    <t>sohila.elanwar@gmail.com</t>
  </si>
  <si>
    <t>201146197714</t>
  </si>
  <si>
    <t xml:space="preserve">Integrated Thebes American College in Cairo </t>
  </si>
  <si>
    <t>28909280103369</t>
  </si>
  <si>
    <t>https://drive.google.com/open?id=16Yoa_IKfQJsCb-VC781tXkBFFbFBLivR</t>
  </si>
  <si>
    <t>https://drive.google.com/open?id=1js8q0nC6adDyB0LiCvyvI7qsP1FaT_Wy</t>
  </si>
  <si>
    <t>Sohila mostafa elanwar</t>
  </si>
  <si>
    <t>100033432253</t>
  </si>
  <si>
    <t>EG870010009200000100033432253</t>
  </si>
  <si>
    <t>Bassma Mohamed Ahmed Zaki</t>
  </si>
  <si>
    <t xml:space="preserve">بسمة محمد احمد ذكي </t>
  </si>
  <si>
    <t>bosa2812011@gmail.com</t>
  </si>
  <si>
    <t>201119954312</t>
  </si>
  <si>
    <t>28703011210569</t>
  </si>
  <si>
    <t>https://drive.google.com/open?id=14OMcbjSZOTzZENdfewf02sH91HoGCxZ6</t>
  </si>
  <si>
    <t>https://drive.google.com/open?id=1MtFuFMZzCut7DekFj3UCBKQY_yN-IDdC</t>
  </si>
  <si>
    <t>بسمه محمد احمد زكي زهره</t>
  </si>
  <si>
    <t>Elhosary</t>
  </si>
  <si>
    <t>5190333000082792</t>
  </si>
  <si>
    <t>EG540002051905190333000082792</t>
  </si>
  <si>
    <t>A512</t>
  </si>
  <si>
    <t>Mona shehata salama abdelmaseh</t>
  </si>
  <si>
    <t>منى شحاته سلامه عبدالمسيح</t>
  </si>
  <si>
    <t>monatinos@gmail.com</t>
  </si>
  <si>
    <t>201280409092</t>
  </si>
  <si>
    <t xml:space="preserve">Saint Joseph school </t>
  </si>
  <si>
    <t>https://drive.google.com/open?id=1bo0uQkBU_hWNgryBowQGMIHDikt_p4BJ</t>
  </si>
  <si>
    <t>https://drive.google.com/open?id=1UePb88i7gxiBAGu48BRUD8uIOAFR7aWn</t>
  </si>
  <si>
    <t>اوغسطينوس يوسف اسكندر اسحق</t>
  </si>
  <si>
    <t>0015001004605601017</t>
  </si>
  <si>
    <t>EG540003000150010046056010170</t>
  </si>
  <si>
    <t>Haniin Sameh Abdelzaher Mahmoud</t>
  </si>
  <si>
    <t>حنين سامح عبد الظاهر محمود</t>
  </si>
  <si>
    <t>haniinaabaza@gmail.com</t>
  </si>
  <si>
    <t>201028581208 
201553915094</t>
  </si>
  <si>
    <t>29904198800126</t>
  </si>
  <si>
    <t>https://drive.google.com/open?id=11WYLW5umEtP-ERKvGBsvVNJKjB8C8gjH</t>
  </si>
  <si>
    <t>https://drive.google.com/open?id=1atqiXO9NW_OnFOnnTuYisUgY9AtlLQUe</t>
  </si>
  <si>
    <t>Hanin Sameh A elzaher</t>
  </si>
  <si>
    <t>A513</t>
  </si>
  <si>
    <t xml:space="preserve">Atef Mohamed Hussein Khalaf </t>
  </si>
  <si>
    <t xml:space="preserve">عاطف محمد حسين خلف </t>
  </si>
  <si>
    <t>mr.atef.khalaf@gmail.com</t>
  </si>
  <si>
    <t>201114009829</t>
  </si>
  <si>
    <t>Chinese school</t>
  </si>
  <si>
    <t>28308052100577</t>
  </si>
  <si>
    <t>https://drive.google.com/open?id=15ZLIMAdVB8HF2AiDEe-g5dYzMGyLDs9W</t>
  </si>
  <si>
    <t>https://drive.google.com/open?id=11dncQMYkLZURTrmds9KHJmJ0cv1-m645</t>
  </si>
  <si>
    <t>905001203112201000</t>
  </si>
  <si>
    <t>EG950003009050012031122010110</t>
  </si>
  <si>
    <t xml:space="preserve">Mennatallah Jamal Mohamed Ahmed </t>
  </si>
  <si>
    <t>منة الله جمال محمد احمد</t>
  </si>
  <si>
    <t>Mennatallah.jamal92@gmail.com</t>
  </si>
  <si>
    <t>201010648493</t>
  </si>
  <si>
    <t>Emerald International School</t>
  </si>
  <si>
    <t>29202288800805</t>
  </si>
  <si>
    <t>https://drive.google.com/open?id=1_OYid1OHpEjXhg2sM7-D9aVGv6btIKf_</t>
  </si>
  <si>
    <t>https://drive.google.com/open?id=10INwrAchRY3qt3tEli9Gu9vkrWMM9B0S</t>
  </si>
  <si>
    <t xml:space="preserve">MENNAALLAH GAMAL MOHAMED </t>
  </si>
  <si>
    <t>Mall of Arabia</t>
  </si>
  <si>
    <t>2520148529010240</t>
  </si>
  <si>
    <t>EG110035002502520148529010240</t>
  </si>
  <si>
    <t>Amir Abd Elwahab Mohamed khlaf Allah</t>
  </si>
  <si>
    <t>amir.abdelwahab9002@gmail.com</t>
  </si>
  <si>
    <t>201060009199</t>
  </si>
  <si>
    <t>28905102103473</t>
  </si>
  <si>
    <t>https://drive.google.com/open?id=1o5QR3uRtW4ry04W944BDrMiOpPhyAyNw</t>
  </si>
  <si>
    <t>https://drive.google.com/open?id=1bBsieLdNv8-lbF1KHAVMA285qF55PzhV</t>
  </si>
  <si>
    <t>100037673441</t>
  </si>
  <si>
    <t>EG340010015900000100037673441</t>
  </si>
  <si>
    <t>A514</t>
  </si>
  <si>
    <t>Eman Samaan Zaky Beshay</t>
  </si>
  <si>
    <t>ايمان سمعان ذكي بشاي</t>
  </si>
  <si>
    <t>emansamaan20@gmail.com</t>
  </si>
  <si>
    <t>201204364140</t>
  </si>
  <si>
    <t>Glory language school</t>
  </si>
  <si>
    <t>051692880</t>
  </si>
  <si>
    <t>27703152102588</t>
  </si>
  <si>
    <t>https://drive.google.com/open?id=1ukWGP311Ypsh4hsY4-AKhqI_Fe3-Kgim</t>
  </si>
  <si>
    <t>https://drive.google.com/open?id=1bDgnLPSqRgoTtZbYEP-w3BK5EBjY4rOU</t>
  </si>
  <si>
    <t xml:space="preserve">شارع البحر الاعظم </t>
  </si>
  <si>
    <t>1795001706795800011</t>
  </si>
  <si>
    <t>EG860003017950017067958000110</t>
  </si>
  <si>
    <t>Hoda badr mahmoud Ali</t>
  </si>
  <si>
    <t>هدى بدر محمود علي</t>
  </si>
  <si>
    <t>Hodabadrm@gmail.com</t>
  </si>
  <si>
    <t>01145411180</t>
  </si>
  <si>
    <t xml:space="preserve">Deputy </t>
  </si>
  <si>
    <t>27808242101668</t>
  </si>
  <si>
    <t>https://drive.google.com/open?id=15099Xd3w0-X3NyCWkNFkAN3QWifELrNz</t>
  </si>
  <si>
    <t>https://drive.google.com/open?id=1cuYQu38l7Ds2cBB83OEbNnifXw3Yi8BM</t>
  </si>
  <si>
    <t>Hoda badr mahmoud ali</t>
  </si>
  <si>
    <t>Gharb- somid</t>
  </si>
  <si>
    <t>1020605298535</t>
  </si>
  <si>
    <t>A516</t>
  </si>
  <si>
    <t xml:space="preserve">Zainab mansour mohamed Abdallah </t>
  </si>
  <si>
    <t xml:space="preserve">زينب منصور محمد عبدالله </t>
  </si>
  <si>
    <t>zinam0171@gmail.com</t>
  </si>
  <si>
    <t>201025959245</t>
  </si>
  <si>
    <t xml:space="preserve">Greenland international school </t>
  </si>
  <si>
    <t>شهرة برقم 2050 تاريخ 5/6/2004</t>
  </si>
  <si>
    <t>28709011408847</t>
  </si>
  <si>
    <t>https://drive.google.com/open?id=1VzayZy8LSSYOuaEUczWqsnv_dR9V5wi6</t>
  </si>
  <si>
    <t>https://drive.google.com/open?id=1IO9vZHFvjG6MpSSXOs14zpjFrqzt2eDE</t>
  </si>
  <si>
    <t xml:space="preserve">ZINAB MANSOUR </t>
  </si>
  <si>
    <t xml:space="preserve"> رقم الفرع : 018 اسم الفرع : شارع السودان</t>
  </si>
  <si>
    <t>0183011284395401012</t>
  </si>
  <si>
    <t>EG930003001830112843954010120</t>
  </si>
  <si>
    <t>018</t>
  </si>
  <si>
    <t>Asmaa Mohamed Abdelhalem arfat</t>
  </si>
  <si>
    <t>اسماء محمد عبد الحليم عرفات</t>
  </si>
  <si>
    <t>asmaaaarafat221@gmail.com</t>
  </si>
  <si>
    <t>201151518842</t>
  </si>
  <si>
    <t>28101202104246</t>
  </si>
  <si>
    <t>https://drive.google.com/open?id=16_a6nttEMm_khB_xh8Pw55kZBkNwMRcv</t>
  </si>
  <si>
    <t>https://drive.google.com/open?id=1NbKpYKGfkcwrL63X4BANQnSlkEpE4b9-</t>
  </si>
  <si>
    <t>ASSMA MOHAMMED ABDELHALIM</t>
  </si>
  <si>
    <t>EG980003018730105679850000120</t>
  </si>
  <si>
    <t>A517</t>
  </si>
  <si>
    <t>Menna Allah Hassan Ahmed Khalil</t>
  </si>
  <si>
    <t xml:space="preserve">منة الله حسن احمد خليل </t>
  </si>
  <si>
    <t>Mennahahmed1999@gmail.com</t>
  </si>
  <si>
    <t>201001549022</t>
  </si>
  <si>
    <t xml:space="preserve">Middle East international school </t>
  </si>
  <si>
    <t xml:space="preserve">Co teacher </t>
  </si>
  <si>
    <t>29909300112303</t>
  </si>
  <si>
    <t>https://drive.google.com/open?id=1mam6Ijg9A0wcGYNCPpVggRXukZM6ei7A</t>
  </si>
  <si>
    <t>https://drive.google.com/open?id=1NTSVstdxg48-8yZcEPr7h5lM_YPAmInq</t>
  </si>
  <si>
    <t>Menna Tallah Hassan Ahmed Khalil</t>
  </si>
  <si>
    <t>Giza Branch</t>
  </si>
  <si>
    <t>1615001777058800019</t>
  </si>
  <si>
    <t>EG580003016150017770588000190</t>
  </si>
  <si>
    <t>Abdelrahman Hosny Fadl Abbas Abdelmottaleb</t>
  </si>
  <si>
    <t>abdelrahman.hosny@fue.edu.eg</t>
  </si>
  <si>
    <t>01225338381</t>
  </si>
  <si>
    <t>28804142100735</t>
  </si>
  <si>
    <t>A518</t>
  </si>
  <si>
    <t>Rana Saad Marzouk Matta</t>
  </si>
  <si>
    <t>رنا سعد مرزوق متى</t>
  </si>
  <si>
    <t>ranasaaddodo@gmail.com</t>
  </si>
  <si>
    <t>201206306200</t>
  </si>
  <si>
    <t xml:space="preserve">Quest international school </t>
  </si>
  <si>
    <t>29009302101503</t>
  </si>
  <si>
    <t>https://drive.google.com/open?id=14Md77TYE6clt4rxI5JADKf2-ryXhhTUC</t>
  </si>
  <si>
    <t>https://drive.google.com/open?id=1TlwhPuj7bUKCPrFlzfZTwLzDIP4SMJ3e</t>
  </si>
  <si>
    <t>المريوطيه الهرم</t>
  </si>
  <si>
    <t>0585000365606800017</t>
  </si>
  <si>
    <t>EG390003005850003656068000170</t>
  </si>
  <si>
    <t>MARWA MEDHAT IBRHIM HUSSIN</t>
  </si>
  <si>
    <t>مروة مدحت ابراهيم حسين</t>
  </si>
  <si>
    <t>meromedhat515@gmail.com</t>
  </si>
  <si>
    <t>201126844515</t>
  </si>
  <si>
    <t>IBN SINA LANGUAGES SCHOOI</t>
  </si>
  <si>
    <t>MATH TEACHER</t>
  </si>
  <si>
    <t>29007272101381</t>
  </si>
  <si>
    <t>https://drive.google.com/open?id=1_hH2Pi7H2dVUZepTfDbZ-V2SklTqfT5D</t>
  </si>
  <si>
    <t>https://drive.google.com/open?id=1ZlD2lSRf7ZQd4wtqC92lLyXdfqkG2DXo</t>
  </si>
  <si>
    <t>EG930002051305130111000001298</t>
  </si>
  <si>
    <t>A519</t>
  </si>
  <si>
    <t>Marwa Mohamed Amer Elngar</t>
  </si>
  <si>
    <t xml:space="preserve">مروه محمد عامر النجار </t>
  </si>
  <si>
    <t>marwaamer2080@gmail.com</t>
  </si>
  <si>
    <t>201000098763</t>
  </si>
  <si>
    <t>International public school October 1</t>
  </si>
  <si>
    <t xml:space="preserve">Public relationship </t>
  </si>
  <si>
    <t>28501212801245</t>
  </si>
  <si>
    <t>https://drive.google.com/open?id=1l7HP-DUsRuWUGRl5dtW1Zbp7SG12pMW4</t>
  </si>
  <si>
    <t>https://drive.google.com/open?id=19exVD8mXCe_ad98Wl08XOuzQ2zRlfwcE</t>
  </si>
  <si>
    <t xml:space="preserve">MARWA MOHAMED AMER </t>
  </si>
  <si>
    <t>West Eleven</t>
  </si>
  <si>
    <t>8780333000000083</t>
  </si>
  <si>
    <t>EG460002087808780333000000083</t>
  </si>
  <si>
    <t>Sara Abdel Moniem Mahmoud Mahfouz</t>
  </si>
  <si>
    <t>ساره عبد المنعم محمود محفوظ</t>
  </si>
  <si>
    <t>saramahfouz96@gmail.com</t>
  </si>
  <si>
    <t>201148330510</t>
  </si>
  <si>
    <t>Elwy British school</t>
  </si>
  <si>
    <t xml:space="preserve">IGCSE Combined Science teacher </t>
  </si>
  <si>
    <t>29610012115549</t>
  </si>
  <si>
    <t>https://drive.google.com/open?id=1t0xXcBO3KztTLoSZhVgEC9I48XFdLGlf</t>
  </si>
  <si>
    <t>https://drive.google.com/open?id=1xgDYVoOv7xz3j7iP5Kqh-WWnifg9mDi3</t>
  </si>
  <si>
    <t>القطامية الطريق الدائري</t>
  </si>
  <si>
    <t>EG670003066630114737424010180</t>
  </si>
  <si>
    <t>A521</t>
  </si>
  <si>
    <t>Gehan Ahmed Naguib Mohamed Ezzat</t>
  </si>
  <si>
    <t>جيهان احمد نجيب محمد عزت</t>
  </si>
  <si>
    <t>gigimohamednagib12@gmail.com</t>
  </si>
  <si>
    <t>201129910493</t>
  </si>
  <si>
    <t>International Public School October 1</t>
  </si>
  <si>
    <t>27504161400785</t>
  </si>
  <si>
    <t>https://drive.google.com/open?id=1K5P155wDi0yDx3DBWhwDvvMa5IthzC-U</t>
  </si>
  <si>
    <t>https://drive.google.com/open?id=1IPtJWbFCSGeYSOuO1VxtvSJZNXRYEcY8</t>
  </si>
  <si>
    <t>GIHAN AHMED NAGIB</t>
  </si>
  <si>
    <t>فرع نادى 6 اكتوبر</t>
  </si>
  <si>
    <t>5740333000035651</t>
  </si>
  <si>
    <t>EG860002057405740333000035651</t>
  </si>
  <si>
    <t>Mostafa Ibrahim Hassanen Zaki</t>
  </si>
  <si>
    <t>MI3149895"GMAIL.COM</t>
  </si>
  <si>
    <t>201117595758</t>
  </si>
  <si>
    <t xml:space="preserve">Roma International College </t>
  </si>
  <si>
    <t xml:space="preserve">IG Librarian </t>
  </si>
  <si>
    <t>30009012110512</t>
  </si>
  <si>
    <t>https://drive.google.com/open?id=16xTITZ5riW57jR9fk9Be_uAbmgS_6b78</t>
  </si>
  <si>
    <t>https://drive.google.com/open?id=1ZXOMmSmKfHXB8JfJUWKbCfiYVF6ZW42X</t>
  </si>
  <si>
    <t>MOSTAFA IBRAHIM HASSANIEN</t>
  </si>
  <si>
    <t>The 5th Settlement</t>
  </si>
  <si>
    <t>1130326210748</t>
  </si>
  <si>
    <t>A523</t>
  </si>
  <si>
    <t>Ragab Gaber Gad Ali</t>
  </si>
  <si>
    <t>رجب جابر جاد على</t>
  </si>
  <si>
    <t>rgaber789@gmail.com</t>
  </si>
  <si>
    <t>201064699459</t>
  </si>
  <si>
    <t>المركز القومي للامتحانات والتقويم التربوي</t>
  </si>
  <si>
    <t xml:space="preserve">كاتب ثاني </t>
  </si>
  <si>
    <t>27511202103991</t>
  </si>
  <si>
    <t>https://drive.google.com/open?id=1a5RVyBGPpNhBtJKzIJw8pDj1VKHI-dSl</t>
  </si>
  <si>
    <t>https://drive.google.com/open?id=13nMqHuoNvdBAjeWacknbk3amN6i_29tl</t>
  </si>
  <si>
    <t>1833010903833501018</t>
  </si>
  <si>
    <t>EG270003018330109038335010180</t>
  </si>
  <si>
    <t>Sahar Sayed Ahmed Mohamed</t>
  </si>
  <si>
    <t>Kamanas511@gmail.com</t>
  </si>
  <si>
    <t>201098340374</t>
  </si>
  <si>
    <t xml:space="preserve">Map </t>
  </si>
  <si>
    <t xml:space="preserve">Math &amp;Scince teacher </t>
  </si>
  <si>
    <t>28911132102269</t>
  </si>
  <si>
    <t>https://drive.google.com/open?id=1vr_SOFLWbYtcFxCeo-7BMWpY2VlwpaYe</t>
  </si>
  <si>
    <t>https://drive.google.com/open?id=1U803mRZfCuaZMJIshMxEekYsNRwCn43Z</t>
  </si>
  <si>
    <t>SAHAR SAYED AHMED MOHMED</t>
  </si>
  <si>
    <t>1131367689944</t>
  </si>
  <si>
    <t>EG150037070908181131367689944</t>
  </si>
  <si>
    <t xml:space="preserve">Rahma Mohammed saleh Hussein </t>
  </si>
  <si>
    <t xml:space="preserve">رحمه محمد صالح حسين </t>
  </si>
  <si>
    <t>Rahmamohammed1112@gmail.com</t>
  </si>
  <si>
    <t>201111756658</t>
  </si>
  <si>
    <t xml:space="preserve">المنار الحديثة للغات </t>
  </si>
  <si>
    <t>مدرسة رياضيات</t>
  </si>
  <si>
    <t>30002290102224</t>
  </si>
  <si>
    <t>https://drive.google.com/open?id=1TdIGygD-kfLPUK78uysJJlza175_YMRX</t>
  </si>
  <si>
    <t>https://drive.google.com/open?id=1okpSK_bEobox0FRVQ3nYGboWXJKv8Q78</t>
  </si>
  <si>
    <t>Peter Magdy rezk Ghali</t>
  </si>
  <si>
    <t>بيتر مجدي رزق غالي</t>
  </si>
  <si>
    <t>peter.magdy@york-press.com</t>
  </si>
  <si>
    <t>201068805201</t>
  </si>
  <si>
    <t>8</t>
  </si>
  <si>
    <t>Marwa Ashry Abbas Abd elaal</t>
  </si>
  <si>
    <t>مروة عشري عباس عبد العال</t>
  </si>
  <si>
    <t>rahomty.rahomty@gmail.com</t>
  </si>
  <si>
    <t>201025325953</t>
  </si>
  <si>
    <t xml:space="preserve">Al orman school </t>
  </si>
  <si>
    <t>29201082301806</t>
  </si>
  <si>
    <t>https://drive.google.com/open?id=1MdYUrKhl2PP6cW4BmOZhMqtObrOgZc-x</t>
  </si>
  <si>
    <t>https://drive.google.com/open?id=1bOydc1hXXyEDFkAE3yQ6Cb08NuqT3824</t>
  </si>
  <si>
    <t>Mariam Saad Marzouk Matta</t>
  </si>
  <si>
    <t>مريم سعد مرزوق متى</t>
  </si>
  <si>
    <t>mariamsaad698@gmail.com</t>
  </si>
  <si>
    <t>201064249315</t>
  </si>
  <si>
    <t xml:space="preserve">Solaymainah international school </t>
  </si>
  <si>
    <t xml:space="preserve">Data coordinator </t>
  </si>
  <si>
    <t>28811212100769</t>
  </si>
  <si>
    <t>https://drive.google.com/open?id=1hWHKXINZvXVOMfjwv9v2TgSg6aiYGcZo</t>
  </si>
  <si>
    <t>https://drive.google.com/open?id=1LmsLOuQ4BySMIz-rUek55kmVbuYGiYcS</t>
  </si>
  <si>
    <t xml:space="preserve">Mariam saad Marzouk </t>
  </si>
  <si>
    <t>Chill out</t>
  </si>
  <si>
    <t>EG390037020108181130739417894</t>
  </si>
  <si>
    <t>Elham Gamil Gamal Esawy</t>
  </si>
  <si>
    <t xml:space="preserve">الهام جميل جمال عيسوي </t>
  </si>
  <si>
    <t>elhamgamil1990@gmail.com</t>
  </si>
  <si>
    <t>201285234890</t>
  </si>
  <si>
    <t xml:space="preserve">International Public School October 2 </t>
  </si>
  <si>
    <t>29004192101268</t>
  </si>
  <si>
    <t>https://drive.google.com/open?id=197PBD8ikhbv9vG039tKJ18UTyGrBkd1L</t>
  </si>
  <si>
    <t>https://drive.google.com/open?id=1l4nUWST-ORBUt-L8ERFpFVxUa7QUFX1b</t>
  </si>
  <si>
    <t>1470320000016920</t>
  </si>
  <si>
    <t>EG050002014701470320000016920</t>
  </si>
  <si>
    <t>0147</t>
  </si>
  <si>
    <t>Monica milad wadih zaki</t>
  </si>
  <si>
    <t xml:space="preserve">مونيكا ميلاد وديع زكي </t>
  </si>
  <si>
    <t>monicamilad31@gmail.com</t>
  </si>
  <si>
    <t>201228890886</t>
  </si>
  <si>
    <t>29609242103207</t>
  </si>
  <si>
    <t>https://drive.google.com/open?id=1VyoRH4rt1_Q--5ui7wmymsoEMOkjxLB1</t>
  </si>
  <si>
    <t>https://drive.google.com/open?id=1AQEKrBsuBJa3L19roVuRRd0VKAAYkGS2</t>
  </si>
  <si>
    <t>MONIKA MELAD WADEA ZAKI</t>
  </si>
  <si>
    <t xml:space="preserve">أمبابة - الكيت كات </t>
  </si>
  <si>
    <t>1360330000003398</t>
  </si>
  <si>
    <t>EG530002013601360330000003398</t>
  </si>
  <si>
    <t>Rabab Abdelmoniem Abdelgelel Seleman</t>
  </si>
  <si>
    <t>رباب عبد المنعم عبد الجليل سليمان الشافعى</t>
  </si>
  <si>
    <t>rabab.shafie78@gmail.com</t>
  </si>
  <si>
    <t>201015799106</t>
  </si>
  <si>
    <t>International public school (IPS) October1</t>
  </si>
  <si>
    <t>27802030100965</t>
  </si>
  <si>
    <t>https://drive.google.com/open?id=1nvhBOQy4CaGUtBOxwvOxuDLK5JBwwNpv</t>
  </si>
  <si>
    <t>https://drive.google.com/open?id=1mO9AdhoFj7KdNDZpj1nMSewl4aQnBkk0</t>
  </si>
  <si>
    <t>Rabab Abdelmoniem</t>
  </si>
  <si>
    <t xml:space="preserve"> فرع مول ويست11 ( West eleven mall) محور جمال عبد الناصر ،مدينة ٦اكتوبر ، جيزة</t>
  </si>
  <si>
    <t>8780332000000028</t>
  </si>
  <si>
    <t>EG240002087808780332000000028</t>
  </si>
  <si>
    <t xml:space="preserve">Olivia Ernest Ezzat Shafiq </t>
  </si>
  <si>
    <t xml:space="preserve">اوليفيا ارنست عزت شفيق </t>
  </si>
  <si>
    <t>evaernst721988@gmail.com</t>
  </si>
  <si>
    <t>201227214908</t>
  </si>
  <si>
    <t xml:space="preserve">Alfarouk private school </t>
  </si>
  <si>
    <t>28802072101001</t>
  </si>
  <si>
    <t>https://drive.google.com/open?id=13nQstgeEmZ5fy5odvyS3s8sLem3X0zYx</t>
  </si>
  <si>
    <t>https://drive.google.com/open?id=10d_OgeeB6MqKJJefCYS2zCSH8sNzpLmo</t>
  </si>
  <si>
    <t>مصطفى كامل (فيصل)</t>
  </si>
  <si>
    <t>1755001314499201018</t>
  </si>
  <si>
    <t>Farah waleed fahmy abdelghany</t>
  </si>
  <si>
    <t xml:space="preserve">فرح وليد فهمي عبد الغني </t>
  </si>
  <si>
    <t>Farah.waleed1672003@gmail.com</t>
  </si>
  <si>
    <t>201018681341</t>
  </si>
  <si>
    <t>Fanarah school</t>
  </si>
  <si>
    <t>30307162103728</t>
  </si>
  <si>
    <t>https://drive.google.com/open?id=1haQPEg9TqlgSR-ptTsEtRuLgdHi3gUpg</t>
  </si>
  <si>
    <t>https://drive.google.com/open?id=1EhBguaYyp9TMJ6D2WkgoouX6pQvolE5r</t>
  </si>
  <si>
    <t>1360333000199831</t>
  </si>
  <si>
    <t>EG900002013601360333000199831</t>
  </si>
  <si>
    <t xml:space="preserve">Mona Mohamed Abdelrahman Abdelmoaz </t>
  </si>
  <si>
    <t xml:space="preserve">مني محمد عبد الرحمن عبدالمعز </t>
  </si>
  <si>
    <t>monaa.mohmed12345@gmail.com</t>
  </si>
  <si>
    <t>201016663415</t>
  </si>
  <si>
    <t>Middle East international schools</t>
  </si>
  <si>
    <t>Nono</t>
  </si>
  <si>
    <t>29904102103969</t>
  </si>
  <si>
    <t>https://drive.google.com/open?id=1cQ0W2CUwTT-6LV3O3PRP5JWkEu1QNPPB</t>
  </si>
  <si>
    <t>https://drive.google.com/open?id=1uh2U1KH1lUC0NXBgnyUa_fL84Qpd0yc1</t>
  </si>
  <si>
    <t>5001464463419</t>
  </si>
  <si>
    <t>EG270044500100005001464463419</t>
  </si>
  <si>
    <t>Alshaimaa Mostafa Abdel Aziz Mostafa Alshimy</t>
  </si>
  <si>
    <t xml:space="preserve">الشيماء مصطفى عبد العزيز مصطفى الشيمى </t>
  </si>
  <si>
    <t>shimaahatim112@gmail.com</t>
  </si>
  <si>
    <t>201022295663</t>
  </si>
  <si>
    <t>IPS October 1</t>
  </si>
  <si>
    <t>28111112400909</t>
  </si>
  <si>
    <t>https://drive.google.com/open?id=1tzGMGB7MIEhy4jvCW8rm2y83LYyzoeLh</t>
  </si>
  <si>
    <t>https://drive.google.com/open?id=1h5bLe7W5hTuhsXKE6N2-_avAJZi4UWOr</t>
  </si>
  <si>
    <t>Alshimaa Mostafa Abdel Aziz</t>
  </si>
  <si>
    <t xml:space="preserve">6 اكتوبر المنطقة الصناعية </t>
  </si>
  <si>
    <t>1870001000031610</t>
  </si>
  <si>
    <t>EG940002018701870001000031610</t>
  </si>
  <si>
    <t xml:space="preserve">Amira Makram Basta Morgan </t>
  </si>
  <si>
    <t>Amira.mak87@gmail.com</t>
  </si>
  <si>
    <t>201228358684</t>
  </si>
  <si>
    <t>Manor House School</t>
  </si>
  <si>
    <t>Religion teacher / social worker</t>
  </si>
  <si>
    <t>28707042104266</t>
  </si>
  <si>
    <t>https://drive.google.com/open?id=1gRo1EauBXpXVFwWv-rW9rWEezVPQZTr-</t>
  </si>
  <si>
    <t>https://drive.google.com/open?id=1ETdoiP6SlvFgUL3lqHaPBnp5CZWpgj85</t>
  </si>
  <si>
    <t>اميره مكرم بسطا مرجان</t>
  </si>
  <si>
    <t>1635000963771201011</t>
  </si>
  <si>
    <t>EG320003016350009637712010110</t>
  </si>
  <si>
    <t>Walaa Mohamed Abdulmoaty Gamal</t>
  </si>
  <si>
    <t xml:space="preserve">ولاء محمد عبدالمعطي جمال </t>
  </si>
  <si>
    <t>walaamg@gmail.com</t>
  </si>
  <si>
    <t>201141441585</t>
  </si>
  <si>
    <t xml:space="preserve">Alhoda International School </t>
  </si>
  <si>
    <t>28402220103907</t>
  </si>
  <si>
    <t>https+Table4[@[National ID Picture]:[Role]]://drive.google.com/open?id=1b9Pzfg_dqmnhdDy-EpO8MjQQKQRbNYnd</t>
  </si>
  <si>
    <t>https://drive.google.com/open?id=1duYASp059fCQgtrImwD2a55cH3K-EWdA</t>
  </si>
  <si>
    <t>ولاء محمد عبد المعطي جمال</t>
  </si>
  <si>
    <t>نادي الصيد ٦ اكتوبر</t>
  </si>
  <si>
    <t>6843011285088501012</t>
  </si>
  <si>
    <t>EG760003068430112850885010120</t>
  </si>
  <si>
    <t>0684</t>
  </si>
  <si>
    <t>Dina Mansour Ali Ahmed</t>
  </si>
  <si>
    <t>dinamansour10@gmail.com</t>
  </si>
  <si>
    <t>201018106655</t>
  </si>
  <si>
    <t>Alhosary Azhar language School</t>
  </si>
  <si>
    <t>28810100100549</t>
  </si>
  <si>
    <t>https://drive.google.com/open?id=15yZflQERjw7OOqAd49tW81kT7A8rWCLg</t>
  </si>
  <si>
    <t>https://drive.google.com/open?id=1j1BZ8h9T_M2PFSf60rcsCs6fYiZ7IhRr</t>
  </si>
  <si>
    <t>1750330000004230</t>
  </si>
  <si>
    <t>EG590002017501750330000004230</t>
  </si>
  <si>
    <t xml:space="preserve">Hadir Moustafa Abdullah Elsaid </t>
  </si>
  <si>
    <t xml:space="preserve">هدير مصطفي عبدالله السيد </t>
  </si>
  <si>
    <t>hadirmoustafa703@gmail.com</t>
  </si>
  <si>
    <t>201152721520</t>
  </si>
  <si>
    <t xml:space="preserve">Accountant </t>
  </si>
  <si>
    <t>29602152104986</t>
  </si>
  <si>
    <t>https://drive.google.com/open?id=1Czsz9m9ufKVwNBprc0GFXumn9l3LBqAG</t>
  </si>
  <si>
    <t>https://drive.google.com/open?id=1X6kl9nDeFRzs6c0L9kAlCrWZj0DTCe7z</t>
  </si>
  <si>
    <t xml:space="preserve">هدير مصطفي عبدالله السيد مصطفي </t>
  </si>
  <si>
    <t xml:space="preserve">فرع فيصل </t>
  </si>
  <si>
    <t>1873011691853200016</t>
  </si>
  <si>
    <t>EG800003018730116918532000160</t>
  </si>
  <si>
    <t>B109</t>
  </si>
  <si>
    <t>Ranya Fathy Ebrhim Helal</t>
  </si>
  <si>
    <t>رانيا فتحي ابراهيم هلال</t>
  </si>
  <si>
    <t>ranyafathy388,@gmail.com</t>
  </si>
  <si>
    <t>201005234027</t>
  </si>
  <si>
    <t xml:space="preserve">2nd District Official School </t>
  </si>
  <si>
    <t xml:space="preserve"> معلم اول ا لغة عربية</t>
  </si>
  <si>
    <t>27809011202841</t>
  </si>
  <si>
    <t>https://drive.google.com/open?id=1M1h7CvhcQ6ALbvHV4dVfrwQGZTrkDegl</t>
  </si>
  <si>
    <t>https://drive.google.com/open?id=1InpBPw60mj9k_AXtzrOOdPL0RjNtZMKx</t>
  </si>
  <si>
    <t>RANYA FATHY IBRAHIM</t>
  </si>
  <si>
    <t>EG350038001700000170000023685</t>
  </si>
  <si>
    <t xml:space="preserve">Wafaa Mahmoud Saad Mahmoud </t>
  </si>
  <si>
    <t xml:space="preserve">وفاء محمود سعد محمود </t>
  </si>
  <si>
    <t>wafaamohmoud12@gmail.com</t>
  </si>
  <si>
    <t>201129549803</t>
  </si>
  <si>
    <t>International public school</t>
  </si>
  <si>
    <t>27811150104181</t>
  </si>
  <si>
    <t>https://drive.google.com/open?id=1gIb3QWF51YAQ2zJ__OyZ_zHWaFG8BknQ</t>
  </si>
  <si>
    <t>https://drive.google.com/open?id=1Z8lr2miuCrUfMfzkxkNZ17iukUbGXFVt</t>
  </si>
  <si>
    <t xml:space="preserve">Square mall </t>
  </si>
  <si>
    <t>8320333000015415</t>
  </si>
  <si>
    <t>EG410002083208320333000015415</t>
  </si>
  <si>
    <t>0832</t>
  </si>
  <si>
    <t>B110</t>
  </si>
  <si>
    <t>Moustafa Mahmoud Arafa Awois</t>
  </si>
  <si>
    <t xml:space="preserve">مصطفي محمود عرفه عويس </t>
  </si>
  <si>
    <t xml:space="preserve">Leprofmoustafa@gmail.com </t>
  </si>
  <si>
    <t>201141814027</t>
  </si>
  <si>
    <t>6  October Girls' Secondary School, District 7</t>
  </si>
  <si>
    <t>Senior French Language Teacher</t>
  </si>
  <si>
    <t>28109212103672</t>
  </si>
  <si>
    <t>https://drive.google.com/open?id=1LzyrGR9abnSRgAtzS_08vQPGrawrkb7W</t>
  </si>
  <si>
    <t>https://drive.google.com/open?id=15WD-RxOXgN5OZRFy6DRrBXtE8tvVGE3N</t>
  </si>
  <si>
    <t xml:space="preserve">Moustafa Mahmoud Arafa </t>
  </si>
  <si>
    <t>٦ كتوبر الحصرى</t>
  </si>
  <si>
    <t>Wessam Saad Mohamed fareg</t>
  </si>
  <si>
    <t xml:space="preserve">وسام سعد محمد فرج </t>
  </si>
  <si>
    <t>wessamadams@gmail.com</t>
  </si>
  <si>
    <t>201226370020</t>
  </si>
  <si>
    <t xml:space="preserve">Al-jazeera language school </t>
  </si>
  <si>
    <t>28510082102306</t>
  </si>
  <si>
    <t>https://drive.google.com/open?id=18zFTialV4Wg_3SblDIj0TeQLfsClBvw_</t>
  </si>
  <si>
    <t>https://drive.google.com/open?id=1xD3bYDGjarVPd2c0fB-omrx9o99p786J</t>
  </si>
  <si>
    <t>0645000403387100017</t>
  </si>
  <si>
    <t>EG120003006450004033871000170</t>
  </si>
  <si>
    <t>Rofayda Khaled Abdelmoaty Abdelrasoul</t>
  </si>
  <si>
    <t xml:space="preserve">رفيدة خالد عبد المعطي عبد الرسول </t>
  </si>
  <si>
    <t xml:space="preserve">khalidrofaida83@gmail.com </t>
  </si>
  <si>
    <t>201141051677</t>
  </si>
  <si>
    <t>Umbrella homeschooling nursery</t>
  </si>
  <si>
    <t>28809031402424</t>
  </si>
  <si>
    <t>https://drive.google.com/open?id=16ajHM7AEX5WuM_Yg_VaUCFE919Hc8Se9</t>
  </si>
  <si>
    <t>https://drive.google.com/open?id=1VHzw9xOXIw-DLfFasGxvSyEy6PRhO5Qe</t>
  </si>
  <si>
    <t xml:space="preserve">رفيده خالد عبد المعطي عبد الرسول </t>
  </si>
  <si>
    <t>فرع نادي ٦ أكتوبر بالسادس من أكتوبر الجيزة</t>
  </si>
  <si>
    <t>5740383000002615</t>
  </si>
  <si>
    <t>EG270002057405740383000002615</t>
  </si>
  <si>
    <t>B111</t>
  </si>
  <si>
    <t>Heba Hassan Hashim Ammar</t>
  </si>
  <si>
    <t xml:space="preserve">هبه حسن هاشم عمار </t>
  </si>
  <si>
    <t>heba76hassn@gmail.com</t>
  </si>
  <si>
    <t>201094288300</t>
  </si>
  <si>
    <t xml:space="preserve">مدرسه الحي الثاني الرسمية المتميزه </t>
  </si>
  <si>
    <t xml:space="preserve">معلم خبير لغة عربية </t>
  </si>
  <si>
    <t>27608150105803</t>
  </si>
  <si>
    <t>https://drive.google.com/open?id=1XIPgbhMKMKgXtJbsuWr_zuHN8mj5weQn</t>
  </si>
  <si>
    <t>https://drive.google.com/open?id=1IMH6v_AEc70vvrau3ySZAdTau2qYaKRU</t>
  </si>
  <si>
    <t>Heba Hassan Hashem Ammar</t>
  </si>
  <si>
    <t>8320333000003777</t>
  </si>
  <si>
    <t>EG840002083208320333000003777</t>
  </si>
  <si>
    <t>Nagwa Abd El Maksoud Abd El Aleem Taha</t>
  </si>
  <si>
    <t xml:space="preserve">nahwa.taha2000@gmail.com </t>
  </si>
  <si>
    <t>201144984027</t>
  </si>
  <si>
    <t>International Public School IPS october 1</t>
  </si>
  <si>
    <t>28007302102546</t>
  </si>
  <si>
    <t>https://drive.google.com/open?id=1DsLXHUGhejc5-_VfaQcfZoUMLk4uAHOw</t>
  </si>
  <si>
    <t>https://drive.google.com/open?id=1c9SE6FIsWh5SDKZDcNm83RN3YVNpvKi6</t>
  </si>
  <si>
    <t>Nagwa Abe El Maksoud Abd ElAleem Taha</t>
  </si>
  <si>
    <t>Al Ahly club El sheikh Zayed city</t>
  </si>
  <si>
    <t>6825001201851501018</t>
  </si>
  <si>
    <t>EG170003068250012018515010180</t>
  </si>
  <si>
    <t>0682</t>
  </si>
  <si>
    <t>B112</t>
  </si>
  <si>
    <t>Marwa Salah Eldin Abd Elhafez Mohammed</t>
  </si>
  <si>
    <t>مروه صلاح الدين عبد الحافظ محمد</t>
  </si>
  <si>
    <t>nsalah1978@gmail.com</t>
  </si>
  <si>
    <t>201066067628</t>
  </si>
  <si>
    <t>Continental international school</t>
  </si>
  <si>
    <t>Math</t>
  </si>
  <si>
    <t>28312300100683</t>
  </si>
  <si>
    <t>https://drive.google.com/open?id=1rLSlbQCRmL-KkNBK9aqNbbaf233IdLSd</t>
  </si>
  <si>
    <t>https://drive.google.com/open?id=15xheog2NlMCJtxRh6IGGMjnmsAU70gp1</t>
  </si>
  <si>
    <t>Marwa Salah Eldin</t>
  </si>
  <si>
    <t>100036661218</t>
  </si>
  <si>
    <t>EG290010006000000100036661218</t>
  </si>
  <si>
    <t>Nourhan Ehab Abdelmenim Eldefrawi</t>
  </si>
  <si>
    <t>nour.eldefrawi12@gmail.com</t>
  </si>
  <si>
    <t>201126495666</t>
  </si>
  <si>
    <t>29005232100223</t>
  </si>
  <si>
    <t>https://drive.google.com/open?id=1HpcbTUkTOdYDSAz3sN0K9E0v5UUCNj6y</t>
  </si>
  <si>
    <t>https://drive.google.com/open?id=1O5Hgnk6L-zNbO2_4MzpkR8lDK6nfInGB</t>
  </si>
  <si>
    <t>Nourhan Ehab Abdelmenem Ibrahem Eldefrawi</t>
  </si>
  <si>
    <t>AL MOTAMAYEZ DISTRICT BRANCH</t>
  </si>
  <si>
    <t>0845001484823201012</t>
  </si>
  <si>
    <t>EG100003008450014848232010120</t>
  </si>
  <si>
    <t>0084</t>
  </si>
  <si>
    <t>B114</t>
  </si>
  <si>
    <t>Yousera Magdy Zaki Abdel Aty</t>
  </si>
  <si>
    <t>يسرا مجدي ذكي عبدالعاطي</t>
  </si>
  <si>
    <t>yousraamr2016@gmail.com</t>
  </si>
  <si>
    <t>201010995044</t>
  </si>
  <si>
    <t xml:space="preserve">Al hossary Azhar Language school </t>
  </si>
  <si>
    <t>29207012110424</t>
  </si>
  <si>
    <t>https://drive.google.com/open?id=1waBSAuga20j8NiTfJ9r0PKKz8Sudm-gt</t>
  </si>
  <si>
    <t>https://drive.google.com/open?id=16WkcwHfn7AyOY-kpFyWDKNlsJWzXq0cX</t>
  </si>
  <si>
    <t>Yousera Magdy Zaki</t>
  </si>
  <si>
    <t>المنطقة الصناعية اكتوبر</t>
  </si>
  <si>
    <t>1835000836468201011</t>
  </si>
  <si>
    <t>EG790003018350008364682010110</t>
  </si>
  <si>
    <t>B116</t>
  </si>
  <si>
    <t xml:space="preserve">Hala Ebrahim mahmoud Ahmed </t>
  </si>
  <si>
    <t xml:space="preserve">هالة إبراهيم محمود احمد </t>
  </si>
  <si>
    <t xml:space="preserve">HALAE9658@GMAIL.COM </t>
  </si>
  <si>
    <t>201119662209</t>
  </si>
  <si>
    <t xml:space="preserve">العاشر التجريبيه الرسمية </t>
  </si>
  <si>
    <t xml:space="preserve">مدرسة لغة عربية وتربية إسلامية </t>
  </si>
  <si>
    <t>27709240103207</t>
  </si>
  <si>
    <t>https://drive.google.com/open?id=1MBbr_iv1Dn5t2T7mz5jAnliqqglYRpNL</t>
  </si>
  <si>
    <t>https://drive.google.com/open?id=1FCx8XKQN3GsVUG1KYFGqeZQxJB0tmjZe</t>
  </si>
  <si>
    <t xml:space="preserve">المحور المركزي السادس من أكتوبر </t>
  </si>
  <si>
    <t>1845001498174501013</t>
  </si>
  <si>
    <t>EG440003018450014981745010130</t>
  </si>
  <si>
    <t>B117</t>
  </si>
  <si>
    <t xml:space="preserve">Reham Ali Abu Elhadid Ali </t>
  </si>
  <si>
    <t xml:space="preserve">ريهام علي ابو الحديد علي </t>
  </si>
  <si>
    <t>rehamaliremo7@gmail.com‏</t>
  </si>
  <si>
    <t>201121579995</t>
  </si>
  <si>
    <t xml:space="preserve">El Hossary Azhar Language school </t>
  </si>
  <si>
    <t>0266853943</t>
  </si>
  <si>
    <t>29710012115144</t>
  </si>
  <si>
    <t>https://drive.google.com/open?id=1F9yih27YdMA1dEY-rWrmKc6zR0bdPdlL</t>
  </si>
  <si>
    <t>https://drive.google.com/open?id=1Li9D5hoLwVef0oy_Ft16eQZQOjnptVjd</t>
  </si>
  <si>
    <t>RIHAM ALI ABOELHADID ALI</t>
  </si>
  <si>
    <t>00193-10022905754</t>
  </si>
  <si>
    <t>EG260037019308181002290575460</t>
  </si>
  <si>
    <t>Ghada Gamil Gamal Esawey Ali</t>
  </si>
  <si>
    <t xml:space="preserve">غادة جميل جمال عيسوى على </t>
  </si>
  <si>
    <t>ghadagamil1989@gmail.com</t>
  </si>
  <si>
    <t>201015408862</t>
  </si>
  <si>
    <t>28904092101781</t>
  </si>
  <si>
    <t>https://drive.google.com/open?id=1yyOYCW2LowXQQYWx1XoVZUmF3Obe95v3</t>
  </si>
  <si>
    <t>https://drive.google.com/open?id=12oqda-VmFA561QC4c60lPHz6WxibsEcr</t>
  </si>
  <si>
    <t>GHADA GAMIL GAMAL</t>
  </si>
  <si>
    <t xml:space="preserve">فرع أوسيم بنك مصر </t>
  </si>
  <si>
    <t>1470320000016912</t>
  </si>
  <si>
    <t>EG270002014701470320000016912</t>
  </si>
  <si>
    <t>B118</t>
  </si>
  <si>
    <t xml:space="preserve">Mohamed Ahmed ali mohamed </t>
  </si>
  <si>
    <t>m7md.a7med.000@gmail.com</t>
  </si>
  <si>
    <t>201150444343</t>
  </si>
  <si>
    <t xml:space="preserve">Epic </t>
  </si>
  <si>
    <t xml:space="preserve">Assistant Division </t>
  </si>
  <si>
    <t>208801141701612</t>
  </si>
  <si>
    <t>https://drive.google.com/open?id=1x0AcJj6MWuavgIOgZjO99Pl9cJwUiISK</t>
  </si>
  <si>
    <t>https://drive.google.com/open?id=1xQBHd1IGOrPcTLiC_7fync0Qv9Wbv2ox</t>
  </si>
  <si>
    <t>8700111000000250</t>
  </si>
  <si>
    <t>EG970002087008700111000000250</t>
  </si>
  <si>
    <t>Hend mohamed abdel fattah youssef</t>
  </si>
  <si>
    <t xml:space="preserve">هند محمد عبدالفتاح يوسف </t>
  </si>
  <si>
    <t>mhend1617@gmail.com</t>
  </si>
  <si>
    <t>201157425285</t>
  </si>
  <si>
    <t>Masters Language school</t>
  </si>
  <si>
    <t>Go teacher</t>
  </si>
  <si>
    <t>29512130103545</t>
  </si>
  <si>
    <t>https://drive.google.com/open?id=1Fiuza4_SfMqgw10zPMZfQvlENeOj4OOf</t>
  </si>
  <si>
    <t>https://drive.google.com/open?id=1LKQXntcikoTfdPU0C_lH8ggdP_8e_2t0</t>
  </si>
  <si>
    <t>0373011794727700015</t>
  </si>
  <si>
    <t>EG270003003730117947277000150</t>
  </si>
  <si>
    <t>0037</t>
  </si>
  <si>
    <t>B119</t>
  </si>
  <si>
    <t>Ayat Hamdy Abdeljawad Abbas</t>
  </si>
  <si>
    <t>ayathamdi1904@gmail.com</t>
  </si>
  <si>
    <t>201005687098</t>
  </si>
  <si>
    <t>28804192100485</t>
  </si>
  <si>
    <t>https://drive.google.com/open?id=1I-M12rfWierGjI_ZVzjlhE6mS5FzGyP5</t>
  </si>
  <si>
    <t>https://drive.google.com/open?id=1I69hw1-_fmvpDGTB3e0dMlXLtOERy4BH</t>
  </si>
  <si>
    <t>Ayat Hamdy Abdel Jawad Abbas</t>
  </si>
  <si>
    <t>Dandy Mall</t>
  </si>
  <si>
    <t>1130747350055</t>
  </si>
  <si>
    <t>EG220037009208181130747350055</t>
  </si>
  <si>
    <t>0092</t>
  </si>
  <si>
    <t>B120</t>
  </si>
  <si>
    <t>DINA MAHMOUD IbRAHIM KHLIL</t>
  </si>
  <si>
    <t xml:space="preserve">دينا محمود ابراهيم خليل </t>
  </si>
  <si>
    <t>az46723@gmail.com</t>
  </si>
  <si>
    <t>201140658088</t>
  </si>
  <si>
    <t>ibn sina languages school</t>
  </si>
  <si>
    <t>arabic teacher</t>
  </si>
  <si>
    <t>29005030100205</t>
  </si>
  <si>
    <t>https://drive.google.com/open?id=1KIjvq59lIkiVkm6PP_OEnx2PQJpdTWSV</t>
  </si>
  <si>
    <t>https://drive.google.com/open?id=114w8iBVAg1reTVqXzMrEZ6py2dzPlU8J</t>
  </si>
  <si>
    <t>5130111000000885</t>
  </si>
  <si>
    <t>EG890002051305130111000000885</t>
  </si>
  <si>
    <t xml:space="preserve">Hasnaa Mohamed Hassan Mohamed </t>
  </si>
  <si>
    <t xml:space="preserve">حسناء محمد حسن محمد </t>
  </si>
  <si>
    <t>hasnaa.m.hassan@gmail.com</t>
  </si>
  <si>
    <t>201002813186</t>
  </si>
  <si>
    <t>H O D</t>
  </si>
  <si>
    <t>26908070104865</t>
  </si>
  <si>
    <t>https://drive.google.com/open?id=1dENz1sKHTkPqC2-LPSWoF1yUFHp2kGkX</t>
  </si>
  <si>
    <t>https://drive.google.com/open?id=1pgFaLmvIcpfuFFFCNV-U1ZAEnwbWyj_N</t>
  </si>
  <si>
    <t>Hasnaa Mohamed Hassan</t>
  </si>
  <si>
    <t>مجمع البنوك ـ غرب سوميد</t>
  </si>
  <si>
    <t>4738650010154949</t>
  </si>
  <si>
    <t>EG600037019308181130825861601</t>
  </si>
  <si>
    <t>Moustafa Mohamed Badawii</t>
  </si>
  <si>
    <t>مصطفى محمد بدوى على</t>
  </si>
  <si>
    <t>Moustafamohamed137@gmail.com</t>
  </si>
  <si>
    <t>201155150536</t>
  </si>
  <si>
    <t>56</t>
  </si>
  <si>
    <t xml:space="preserve">Eman Mohamed FAROUK Elsaid Elkhatip </t>
  </si>
  <si>
    <t xml:space="preserve">ايمان محمد فاروق السيد الخطيب </t>
  </si>
  <si>
    <t xml:space="preserve">emymo9398@gmail.com </t>
  </si>
  <si>
    <t>201002816578</t>
  </si>
  <si>
    <t>UK Marker</t>
  </si>
  <si>
    <t>29803092100388</t>
  </si>
  <si>
    <t>https://drive.google.com/open?id=1AkTRig1LjTp4ijx1NUBr5FsteQwbAUzl</t>
  </si>
  <si>
    <t>https://drive.google.com/open?id=1aVf3y0gW70lFIKj_ix1MvfrENwWdymVy</t>
  </si>
  <si>
    <t xml:space="preserve">Islam ElSayed abdelaziz ghazy </t>
  </si>
  <si>
    <t>ieag20142014@gmail.com</t>
  </si>
  <si>
    <t>201113595766</t>
  </si>
  <si>
    <t xml:space="preserve">El serag elmoneir language school </t>
  </si>
  <si>
    <t>It manager and ict teacher</t>
  </si>
  <si>
    <t>28806082102515</t>
  </si>
  <si>
    <t>https://drive.google.com/open?id=1uDQswzOCnTr4NSzweA4-ercBmTYHgP0D</t>
  </si>
  <si>
    <t>https://drive.google.com/open?id=1xUwc_-19OL4n8Wzaxv8xkuuKQX-v6UGV</t>
  </si>
  <si>
    <t>ESLAM ELSAYED ABDEL AZIZ GHAZY</t>
  </si>
  <si>
    <t>100042781074</t>
  </si>
  <si>
    <t>EG950010010200000100042781074</t>
  </si>
  <si>
    <t xml:space="preserve">Mohamed Tosson </t>
  </si>
  <si>
    <t>محمد طوسون امين</t>
  </si>
  <si>
    <t>mo890272@gmail.com</t>
  </si>
  <si>
    <t>201063617771</t>
  </si>
  <si>
    <t xml:space="preserve">Khaled gamal eldeen mohamed Eid hamzawy </t>
  </si>
  <si>
    <t xml:space="preserve">خالد جمال الدين محمد عيد حمزاوي </t>
  </si>
  <si>
    <t>Kgamaltv@yahoo.com</t>
  </si>
  <si>
    <t>201129121226</t>
  </si>
  <si>
    <t xml:space="preserve">Pyramids language school </t>
  </si>
  <si>
    <t>27208050103376</t>
  </si>
  <si>
    <t>https://drive.google.com/open?id=11BFV-Eba1-kEKxzldQCzmEyXMyxY4msW</t>
  </si>
  <si>
    <t>https://drive.google.com/open?id=1Tr7qjv41cCMmqIYoo3VnOwLPfmC4l_Vh</t>
  </si>
  <si>
    <t xml:space="preserve">مصر الجديدة </t>
  </si>
  <si>
    <t>1005010505790200010</t>
  </si>
  <si>
    <t>EG040003010050105057902000100</t>
  </si>
  <si>
    <t>0100</t>
  </si>
  <si>
    <t>YASMEN MOHAMEDE GADAMY HASAN</t>
  </si>
  <si>
    <t>ياسمين محمد جدامي حسن</t>
  </si>
  <si>
    <t xml:space="preserve">Yasmingidamy@gmail.com </t>
  </si>
  <si>
    <t>201115839055</t>
  </si>
  <si>
    <t xml:space="preserve">Royal </t>
  </si>
  <si>
    <t>28201010118001</t>
  </si>
  <si>
    <t>https://drive.google.com/open?id=1v477oETJeejyXvW-ucGZklHrDLcX8u6p</t>
  </si>
  <si>
    <t>https://drive.google.com/open?id=1C3PRNIjIDMS1NSp9XjnuzMa5x96h2YTP</t>
  </si>
  <si>
    <t>YASMEN MOHAMEDE GADAMY</t>
  </si>
  <si>
    <t>6 أكتوبر الحصري/182</t>
  </si>
  <si>
    <t>1825000954657501015</t>
  </si>
  <si>
    <t>EG060003018250009546575010150</t>
  </si>
  <si>
    <t>Eman Abdelhady Ali salhe</t>
  </si>
  <si>
    <t xml:space="preserve">ايمان عبدالهادي علي صالح </t>
  </si>
  <si>
    <t xml:space="preserve">monmonemy348@gmail.com </t>
  </si>
  <si>
    <t>201124305073</t>
  </si>
  <si>
    <t>Hossam El-Din</t>
  </si>
  <si>
    <t>administrative</t>
  </si>
  <si>
    <t>28907292102403</t>
  </si>
  <si>
    <t>https://drive.google.com/open?id=1cnwzB-JSbDviXpm3zs_S4RVYTxxNQae7</t>
  </si>
  <si>
    <t>https://drive.google.com/open?id=1JUYUUP1fLMISt3pnOVJUZuGHFl5EwAZM</t>
  </si>
  <si>
    <t xml:space="preserve">إيمان عبدالهادي علي </t>
  </si>
  <si>
    <t>البنك الاهلي المصري فرع الطلبيه فيصل الجيزه</t>
  </si>
  <si>
    <t>1875000919020401016</t>
  </si>
  <si>
    <t>EG760003018750009190204010160</t>
  </si>
  <si>
    <t xml:space="preserve">Alaa Ashraf Mahmoud Khalifa </t>
  </si>
  <si>
    <t>zeka_meshzonfol@yahoo.com</t>
  </si>
  <si>
    <t>201125528899</t>
  </si>
  <si>
    <t>Al-Wahda Al-Arabia Experimental Languages ​​School</t>
  </si>
  <si>
    <t>Senior ICT Teacher</t>
  </si>
  <si>
    <t>28710168800501</t>
  </si>
  <si>
    <t>https://drive.google.com/open?id=1k_Quavrnz4sGVEb2r4yBI-Pt5njcSg10</t>
  </si>
  <si>
    <t>https://drive.google.com/open?id=1vqx4ZKPUA9gEDmTOVr8cxujGtSFKagPg</t>
  </si>
  <si>
    <t>الاء اشرف محمود خليفه الحنفى</t>
  </si>
  <si>
    <t>شارع المراغي بالعجوزة</t>
  </si>
  <si>
    <t>0925001508983901016</t>
  </si>
  <si>
    <t>EG640003009250015089839010160</t>
  </si>
  <si>
    <t>B203</t>
  </si>
  <si>
    <t xml:space="preserve">Amira Ibrahim Salem Eid </t>
  </si>
  <si>
    <t xml:space="preserve">Marmara.younis2024@gmail.com </t>
  </si>
  <si>
    <t>201141538630</t>
  </si>
  <si>
    <t>Future pioneers international school</t>
  </si>
  <si>
    <t>28607180103225</t>
  </si>
  <si>
    <t>https://drive.google.com/open?id=1OGdrTvc9emSZ4m92dP-LXJQVPRAbyAJN</t>
  </si>
  <si>
    <t>https://drive.google.com/open?id=10iXuR5Ll_8XYsqbjIGcQ5k8VpYdh14SH</t>
  </si>
  <si>
    <t>Amira Ibrahim salem</t>
  </si>
  <si>
    <t>Shobra alkhema</t>
  </si>
  <si>
    <t>1735001086389302020</t>
  </si>
  <si>
    <t>EG910003017350010863893020200</t>
  </si>
  <si>
    <t>Manar Nageh Fahmi Mohamed</t>
  </si>
  <si>
    <t xml:space="preserve">منار ناجح فهمي محمد </t>
  </si>
  <si>
    <t xml:space="preserve">Manarfahmi90@gmail.com </t>
  </si>
  <si>
    <t>201095506502</t>
  </si>
  <si>
    <t>29005152100923</t>
  </si>
  <si>
    <t>https://drive.google.com/open?id=1orvJXDwVQM3FFv0GQJSuKR_kUI1oE5JO</t>
  </si>
  <si>
    <t>https://drive.google.com/open?id=1Vduc6-FfQW6ZCVPC6WxEzE3eIAeNOa0I</t>
  </si>
  <si>
    <t>MANAR NAGEH FAHMY MOHAMED</t>
  </si>
  <si>
    <t>1130289736260</t>
  </si>
  <si>
    <t>EG620037019308181130289736260</t>
  </si>
  <si>
    <t>khaled sayed gomaa nasr</t>
  </si>
  <si>
    <t xml:space="preserve">خالد سيد جمعه نصر </t>
  </si>
  <si>
    <t>kaliedgomaa80@gmail.com</t>
  </si>
  <si>
    <t>201277302015</t>
  </si>
  <si>
    <t>ibn sina language school</t>
  </si>
  <si>
    <t>math teacher</t>
  </si>
  <si>
    <t>29304212502179</t>
  </si>
  <si>
    <t>https://drive.google.com/open?id=1OWRpVSijMPLmVGQK81Yn_MnxqbjuADx7</t>
  </si>
  <si>
    <t>https://drive.google.com/open?id=1-5mlNC9wBPc9DPq77vtOzlZKq5OGLQ7-</t>
  </si>
  <si>
    <t>3760111000005998</t>
  </si>
  <si>
    <t>EG790002037603760111000005998</t>
  </si>
  <si>
    <t>Mohamed Abd Elhalim Ebrahim</t>
  </si>
  <si>
    <t>mohamedabdulhalim90@yahoo.com</t>
  </si>
  <si>
    <t>201007022599</t>
  </si>
  <si>
    <t>مدرسة الحي العاشر الرسمية لغات</t>
  </si>
  <si>
    <t>Arabic Teacher</t>
  </si>
  <si>
    <t>28010012410639</t>
  </si>
  <si>
    <t>https://drive.google.com/open?id=16DHG4p3VY4-xyFFAmx1RZlEzegoGFxdf</t>
  </si>
  <si>
    <t>https://drive.google.com/open?id=1C8EJO4ROaAz_ZKqxyeoO-0BQTl1_ymqm</t>
  </si>
  <si>
    <t>Mohamed Abd Elhalim Ebrahm</t>
  </si>
  <si>
    <t>Bani Mazar</t>
  </si>
  <si>
    <t>5105000651816800018</t>
  </si>
  <si>
    <t>EG380003051050006518168000180</t>
  </si>
  <si>
    <t>0859</t>
  </si>
  <si>
    <t xml:space="preserve">Shereen Mohamed Abdelkader Mahmoud </t>
  </si>
  <si>
    <t>شرين محمد عبد القادر محمود</t>
  </si>
  <si>
    <t>shereen.abdelkader11@gmail.com</t>
  </si>
  <si>
    <t>201113333967</t>
  </si>
  <si>
    <t xml:space="preserve">Core west College </t>
  </si>
  <si>
    <t>28011081303701</t>
  </si>
  <si>
    <t>https://drive.google.com/open?id=1typA-rNeHd2JcWpU1IqIAB4h4qJ_VtAq</t>
  </si>
  <si>
    <t>https://drive.google.com/open?id=10ZP4hDMow_Kwf1nBOADpfqsaMzkDOBCt</t>
  </si>
  <si>
    <t>Shereen Mohamed</t>
  </si>
  <si>
    <t>Al-Haram</t>
  </si>
  <si>
    <t>5009214575419</t>
  </si>
  <si>
    <t>EG540044500900005009214575419</t>
  </si>
  <si>
    <t>Mona Fayez Eskander abdelmalak</t>
  </si>
  <si>
    <t>مني فايز اسكندر عبدالملاك</t>
  </si>
  <si>
    <t>monafayez822@gmail.com</t>
  </si>
  <si>
    <t>201284644055</t>
  </si>
  <si>
    <t xml:space="preserve">Smart vision </t>
  </si>
  <si>
    <t xml:space="preserve">Religion teacher </t>
  </si>
  <si>
    <t>26803202100205</t>
  </si>
  <si>
    <t>https://drive.google.com/open?id=1rbYP0nkGcTaNA0Wat3mKERj5-cBL3Xcs</t>
  </si>
  <si>
    <t>https://drive.google.com/open?id=1t-HBZs_ZcFQnh0r-ulKQV6dvCVSsemt-</t>
  </si>
  <si>
    <t xml:space="preserve">منى فايز اسكندر عبدالملاك </t>
  </si>
  <si>
    <t>1825000752128200018</t>
  </si>
  <si>
    <t>EG660003018250007521282000180</t>
  </si>
  <si>
    <t>Eman Mentally Seif Elnasr Abo Saada</t>
  </si>
  <si>
    <t>ايمان متولى سيف النصر ابو سعده</t>
  </si>
  <si>
    <t>elnasreman@gmail.com</t>
  </si>
  <si>
    <t>201021457556</t>
  </si>
  <si>
    <t xml:space="preserve">IBN Sina languages school </t>
  </si>
  <si>
    <t>26711100102503</t>
  </si>
  <si>
    <t>https://drive.google.com/open?id=1VEDCOjYC1nm8bOr-xgv3SXiZ_kHA2N_Y</t>
  </si>
  <si>
    <t>https://drive.google.com/open?id=1ZOAUt30wcP0vgqoe6h9j6PA9j5MiaE_2</t>
  </si>
  <si>
    <t>5130111000001662</t>
  </si>
  <si>
    <t>EG620002051305130111000001662</t>
  </si>
  <si>
    <t>Zeinab Salah Sabaa Sayed Ahmed</t>
  </si>
  <si>
    <t>hanytop76@gmail.com</t>
  </si>
  <si>
    <t>201013307710</t>
  </si>
  <si>
    <t>28105091401306</t>
  </si>
  <si>
    <t>https://drive.google.com/open?id=1Bf9qmdYNcXPqMJVhxKTpwGrbgFrojZwe</t>
  </si>
  <si>
    <t>https://drive.google.com/open?id=19MYhPjFE50zcK-9m8EDHHth5F_d_ryMJ</t>
  </si>
  <si>
    <t>الثورة</t>
  </si>
  <si>
    <t>1600350000001411</t>
  </si>
  <si>
    <t>EG280002016001600350000001411</t>
  </si>
  <si>
    <t>0160</t>
  </si>
  <si>
    <t>B209</t>
  </si>
  <si>
    <t xml:space="preserve">Mary Mikhail Gaid Mansour </t>
  </si>
  <si>
    <t xml:space="preserve">ماري ميخائيل جيد منصور </t>
  </si>
  <si>
    <t>marymikha123@gmail.com</t>
  </si>
  <si>
    <t>201225692694</t>
  </si>
  <si>
    <t>AlFarouk Private School in Al Haram</t>
  </si>
  <si>
    <t>28711072100947</t>
  </si>
  <si>
    <t>https://drive.google.com/open?id=1xp4EwUg7EB-5Lt9qCQcXR-s-Q267S1B6</t>
  </si>
  <si>
    <t>https://drive.google.com/open?id=1iD2tZwYxw8Xo36q3SJRY21NcJbUxc68b</t>
  </si>
  <si>
    <t xml:space="preserve">ال الرئيسي (شارع شريف) Main ,sharif Street </t>
  </si>
  <si>
    <t>0015000473155900015</t>
  </si>
  <si>
    <t>EG070003000150004731559000150</t>
  </si>
  <si>
    <t xml:space="preserve">Hagar mohamedin mohamed </t>
  </si>
  <si>
    <t>هاجر محمدين محمد</t>
  </si>
  <si>
    <t>hajarmohamadin@gmail.com</t>
  </si>
  <si>
    <t>201068660531</t>
  </si>
  <si>
    <t xml:space="preserve">International public school </t>
  </si>
  <si>
    <t>28903092103141</t>
  </si>
  <si>
    <t>https://drive.google.com/open?id=1LhNRVjy9SHosyvYfAxlM9Wm-OWRGrtDg</t>
  </si>
  <si>
    <t>https://drive.google.com/open?id=1rssRIzIfSsdk9L8Y5hUBqT3mEciRrFtN</t>
  </si>
  <si>
    <t>HAJAR MOHAMEDEIN MOHAMED MOHAMED</t>
  </si>
  <si>
    <t>147013961001</t>
  </si>
  <si>
    <t>EG740005104700000147013961001</t>
  </si>
  <si>
    <t>B211</t>
  </si>
  <si>
    <t>Rana Saad Mohamed Farag</t>
  </si>
  <si>
    <t>رنا سعد محمد فرج</t>
  </si>
  <si>
    <t>maryem.huebber@gmail.com</t>
  </si>
  <si>
    <t>201022272415</t>
  </si>
  <si>
    <t>Remas Language School</t>
  </si>
  <si>
    <t xml:space="preserve">ُ?English Teacher </t>
  </si>
  <si>
    <t>28706012110923</t>
  </si>
  <si>
    <t>https://drive.google.com/open?id=1z4r4ZUxK_NlGFVeMPeB5Jsb4Kc0-k074</t>
  </si>
  <si>
    <t>https://drive.google.com/open?id=1L19P5p23qvyJc_MuD3zYDWMUm_f91au8</t>
  </si>
  <si>
    <t>100028804428</t>
  </si>
  <si>
    <t>EG430010000700000100028804428</t>
  </si>
  <si>
    <t>Ebthal mahmoud ali abdelatty</t>
  </si>
  <si>
    <t xml:space="preserve">ابتهال محمود علي عبدالعاطي </t>
  </si>
  <si>
    <t>ebtihalmahmodali@gmail.com</t>
  </si>
  <si>
    <t>201112013145</t>
  </si>
  <si>
    <t>29701262100666</t>
  </si>
  <si>
    <t>https://drive.google.com/open?id=1QyNXaPDTEtgdOnINA3cXpeko4MQXYT7a</t>
  </si>
  <si>
    <t>https://drive.google.com/open?id=11JOMWpAZY8tyBayRNe3aNEh0U1gl6ST2</t>
  </si>
  <si>
    <t xml:space="preserve">Ibtihal mahmoud </t>
  </si>
  <si>
    <t>مجمع البنوك</t>
  </si>
  <si>
    <t>1130380982560</t>
  </si>
  <si>
    <t>EG970037019308181130380982560</t>
  </si>
  <si>
    <t>B213</t>
  </si>
  <si>
    <t>Asmaa salah thabet tawfiq</t>
  </si>
  <si>
    <t>اسماء صلاح ثابت توفيق</t>
  </si>
  <si>
    <t>hassanamr245@gmail.com</t>
  </si>
  <si>
    <t>201147093063</t>
  </si>
  <si>
    <t>Students affair</t>
  </si>
  <si>
    <t>28307052103545</t>
  </si>
  <si>
    <t>https://drive.google.com/open?id=1VnvLif7OvZQMXYfvlwQq7O2oNNYiCnc0</t>
  </si>
  <si>
    <t>https://drive.google.com/open?id=18_DpKMJD_epC0VitV1RcK8MVWQ-EZLM9</t>
  </si>
  <si>
    <t>Asmaa salah thabet tawfeek</t>
  </si>
  <si>
    <t>EG600037019308181130754047748</t>
  </si>
  <si>
    <t>sabry sobhi gerges asaad</t>
  </si>
  <si>
    <t>sabrysobhi@yahoo.com</t>
  </si>
  <si>
    <t>201223776786</t>
  </si>
  <si>
    <t>Cairo English School</t>
  </si>
  <si>
    <t>Chief accountant</t>
  </si>
  <si>
    <t>27611300102337</t>
  </si>
  <si>
    <t>https://drive.google.com/open?id=1LP_jgBr20qfQOXyPQUeqNDOjEWRcVTln</t>
  </si>
  <si>
    <t>https://drive.google.com/open?id=1aydOhqmofeB4mSICvyREqU6zb7equ74d</t>
  </si>
  <si>
    <t>100019403787</t>
  </si>
  <si>
    <t>EG450010004900000100019403787</t>
  </si>
  <si>
    <t>B215</t>
  </si>
  <si>
    <t xml:space="preserve">Mai Abd Elmoneem Marassi Ahmed </t>
  </si>
  <si>
    <t>مى عبد المنعم مراسى احمد</t>
  </si>
  <si>
    <t>mimo.amr1894@gmail.com</t>
  </si>
  <si>
    <t>201155550212</t>
  </si>
  <si>
    <t xml:space="preserve">D.M.S Language school </t>
  </si>
  <si>
    <t>28407100101449</t>
  </si>
  <si>
    <t>https://drive.google.com/open?id=1LlM-Ru-P0jZR2D5LG32UsnjOJzQks4xd</t>
  </si>
  <si>
    <t>https://drive.google.com/open?id=1Ed51VPxgwKvE7xpO-yb10-iW1rUbaBoz</t>
  </si>
  <si>
    <t xml:space="preserve">Mai Abd Elmoneem Marassi </t>
  </si>
  <si>
    <t>0501602928560060</t>
  </si>
  <si>
    <t>EG510023000500501602928560060</t>
  </si>
  <si>
    <t>Ayman Abdel Aziz Abdel Hamid Hegazy</t>
  </si>
  <si>
    <t>aymanaziz1aa@gmail.com</t>
  </si>
  <si>
    <t>201001864080</t>
  </si>
  <si>
    <t>EL Quadah American School</t>
  </si>
  <si>
    <t xml:space="preserve">English Language Teacher </t>
  </si>
  <si>
    <t>27803050100852</t>
  </si>
  <si>
    <t>https://drive.google.com/open?id=1obEhNM3tYsNob9ZdPCMl-ZB7jO6VJVyc</t>
  </si>
  <si>
    <t>https://drive.google.com/open?id=1TQ9lgZh67GtxqVeWQnkqVXRLYymVGF06</t>
  </si>
  <si>
    <t>5037307394419</t>
  </si>
  <si>
    <t>EG880044503700005037307394419</t>
  </si>
  <si>
    <t>Zone C - 1</t>
  </si>
  <si>
    <t>Nesma Saber Abd Ellah Ahmed</t>
  </si>
  <si>
    <t>nesmasaber178@gmail.com</t>
  </si>
  <si>
    <t>201117359903</t>
  </si>
  <si>
    <t>28702242102401</t>
  </si>
  <si>
    <t>https://drive.google.com/open?id=11S_ZJlzYXAeDqoOaID12eCn06E3Ds4om</t>
  </si>
  <si>
    <t>https://drive.google.com/open?id=1rxfnyyyq_sUeNJBZWj-GCeClc85lvfTK</t>
  </si>
  <si>
    <t>NESMAA SABER ABDELAA AHMED</t>
  </si>
  <si>
    <t xml:space="preserve">عبد الله العربي </t>
  </si>
  <si>
    <t>1130278345740</t>
  </si>
  <si>
    <t>Eg020037019608181130278345740</t>
  </si>
  <si>
    <t>Karam fathy abdelmalak habel</t>
  </si>
  <si>
    <t>كرم فتحى عبدالملاك هابيل</t>
  </si>
  <si>
    <t>karam.fathy.900@gmail.com</t>
  </si>
  <si>
    <t>201282661614</t>
  </si>
  <si>
    <t>26001122600437</t>
  </si>
  <si>
    <t>https://drive.google.com/open?id=1AKVONfhsFaqxMTv7WFZZUgnppVjnKOnM</t>
  </si>
  <si>
    <t>https://drive.google.com/open?id=1umCPG_5WHOuSeg-dx6TS9z8F5B3hCY48</t>
  </si>
  <si>
    <t>المنطقة الصناعية ٦ اكتوبر</t>
  </si>
  <si>
    <t>1835000055411001018</t>
  </si>
  <si>
    <t>EG360003018350000554110010180</t>
  </si>
  <si>
    <t>Zone C - 2</t>
  </si>
  <si>
    <t>Rana Nader Mahmoud Hassan</t>
  </si>
  <si>
    <t>رنا نادر محمود حسن</t>
  </si>
  <si>
    <t>ranamadbouly23@gmail.com</t>
  </si>
  <si>
    <t>201100283722</t>
  </si>
  <si>
    <t xml:space="preserve">Oakland college Egypt </t>
  </si>
  <si>
    <t>082358358</t>
  </si>
  <si>
    <t>30008172102986</t>
  </si>
  <si>
    <t>https://drive.google.com/open?id=13Xd3cFJJpl9BzhULYFwRTmSB1_lMgP85</t>
  </si>
  <si>
    <t>https://drive.google.com/open?id=1iFKYu6hYJZVVKXitrG4VoTcvPyjWyReN</t>
  </si>
  <si>
    <t>RANA NADER MAHMOUD</t>
  </si>
  <si>
    <t>Abdelmanam Riad</t>
  </si>
  <si>
    <t>100062174492</t>
  </si>
  <si>
    <t>EG530010019300000100062174492</t>
  </si>
  <si>
    <t xml:space="preserve">Sarah Muhammad Ebrahim Muhammad </t>
  </si>
  <si>
    <t xml:space="preserve">سارة محمد ابراهيم محمد على </t>
  </si>
  <si>
    <t>sarahfarahat15@gmail.com</t>
  </si>
  <si>
    <t>201099693001</t>
  </si>
  <si>
    <t xml:space="preserve">Queen American School </t>
  </si>
  <si>
    <t xml:space="preserve">ELA teacher </t>
  </si>
  <si>
    <t>069986392</t>
  </si>
  <si>
    <t>28508051200666</t>
  </si>
  <si>
    <t>https://drive.google.com/open?id=12Klj-qfjlZBo268-CLXx811eopoXL0v8</t>
  </si>
  <si>
    <t>https://drive.google.com/open?id=1yr-9YA2pIBCNtOjSjyOU3QdGlS2VXEr4</t>
  </si>
  <si>
    <t>سارة محمد ابراهيم محمد على</t>
  </si>
  <si>
    <t>1605001354498001018</t>
  </si>
  <si>
    <t>EG880003016050013544980010180</t>
  </si>
  <si>
    <t>Zone C - 3</t>
  </si>
  <si>
    <t xml:space="preserve">Zainab Mahmoud abed </t>
  </si>
  <si>
    <t xml:space="preserve">زينب محمود عابد عبد العزيز </t>
  </si>
  <si>
    <t>asseel.fareda@gmail.com</t>
  </si>
  <si>
    <t>201228435473</t>
  </si>
  <si>
    <t xml:space="preserve">Ips school </t>
  </si>
  <si>
    <t>28302071701141</t>
  </si>
  <si>
    <t>https://drive.google.com/open?id=1PJ0sgxG7xXkFBQ3xX3k0AeRl2-StUeNs</t>
  </si>
  <si>
    <t>https://drive.google.com/open?id=1flQ421upWBFcJwJKLta6DJw_tp5nH9RE</t>
  </si>
  <si>
    <t>7000060101010014</t>
  </si>
  <si>
    <t xml:space="preserve">Dalia Ashraf sayed Elharery </t>
  </si>
  <si>
    <t>da4763632@gmail.com</t>
  </si>
  <si>
    <t>201140270764</t>
  </si>
  <si>
    <t xml:space="preserve">Schoolers int school </t>
  </si>
  <si>
    <t>29607202105883</t>
  </si>
  <si>
    <t>https://drive.google.com/open?id=1Y5_05OBK5VSWSAJdsr-yG2LXEJEGjEKe</t>
  </si>
  <si>
    <t>https://drive.google.com/open?id=1pN6IMnW3WoBuYSH7LCjizLRaLRoPv4Yj</t>
  </si>
  <si>
    <t xml:space="preserve">October </t>
  </si>
  <si>
    <t>100061633035</t>
  </si>
  <si>
    <t>EG960010001700000100061633035</t>
  </si>
  <si>
    <t>0017</t>
  </si>
  <si>
    <t>Ahmed Mostafa El-Naggar</t>
  </si>
  <si>
    <t>احمد مصطفى احمد محمد النجار</t>
  </si>
  <si>
    <t>ahmed.naggar@york-press.com</t>
  </si>
  <si>
    <t>201065522010</t>
  </si>
  <si>
    <t>11</t>
  </si>
  <si>
    <t xml:space="preserve">Rola Hassan Mahmoud Sahmarani </t>
  </si>
  <si>
    <t>rolaaa89@gmail.com</t>
  </si>
  <si>
    <t>201129314959</t>
  </si>
  <si>
    <t xml:space="preserve">Nature international school </t>
  </si>
  <si>
    <t xml:space="preserve">Stage head of American division </t>
  </si>
  <si>
    <t>28507288800785</t>
  </si>
  <si>
    <t>https://drive.google.com/open?id=14Li5Uu8LPD5PxJehFCteTJMvKuhc5Got</t>
  </si>
  <si>
    <t>https://drive.google.com/open?id=1m-7KwhG3CMM7oVCXZGjEcxZeJSjRp-zY</t>
  </si>
  <si>
    <t xml:space="preserve">ROLA SHMARANI </t>
  </si>
  <si>
    <t>Faisal</t>
  </si>
  <si>
    <t>2045010111420027</t>
  </si>
  <si>
    <t>EG260061018202045010111420027</t>
  </si>
  <si>
    <t>Ahmed atef hussein abdo</t>
  </si>
  <si>
    <t>احمد عاطف حسين عبده</t>
  </si>
  <si>
    <t>ahmedatef2726@gmail.com</t>
  </si>
  <si>
    <t>201000472338</t>
  </si>
  <si>
    <t>29505061402016</t>
  </si>
  <si>
    <t>https://drive.google.com/open?id=1FH4p1oBKGrpZmkQd5iKmMuQtU-gMLeq5</t>
  </si>
  <si>
    <t>https://drive.google.com/open?id=1R-qbW2KXOWFKA6VWdPmuN0PBnCbSwoMH</t>
  </si>
  <si>
    <t>ahmed atef hussein abdo</t>
  </si>
  <si>
    <t>Bohor Atef elsaeed shalaby</t>
  </si>
  <si>
    <t>بحور عاطف السعيد شلبى</t>
  </si>
  <si>
    <t>bohoratef00@gmail.com</t>
  </si>
  <si>
    <t>201067898000</t>
  </si>
  <si>
    <t xml:space="preserve">Smart Vision International School </t>
  </si>
  <si>
    <t xml:space="preserve">Administrative coordinator </t>
  </si>
  <si>
    <t>29209031302388</t>
  </si>
  <si>
    <t>https://drive.google.com/open?id=1nSBiFwnq8PaWNynRDFFpSuqUp3wnOtS_</t>
  </si>
  <si>
    <t>https://drive.google.com/open?id=1g0xnT26hHOnvQed0C7FcJutGp7lKLF8a</t>
  </si>
  <si>
    <t>Bahour atef alsaeed shalaby</t>
  </si>
  <si>
    <t xml:space="preserve">مول البنوك / غرب سوميد </t>
  </si>
  <si>
    <t>1130323814760</t>
  </si>
  <si>
    <t>EG580037019308181130323814760</t>
  </si>
  <si>
    <t>Maha Shaban Hassan Hamed</t>
  </si>
  <si>
    <t>maha.alsharif55@yahoo.com</t>
  </si>
  <si>
    <t>201069774741</t>
  </si>
  <si>
    <t xml:space="preserve">Team Leader </t>
  </si>
  <si>
    <t>28203012111863</t>
  </si>
  <si>
    <t>https://drive.google.com/open?id=1KvS_xj_vbHN5Yj5opa6RwhOSB_TgQhvg</t>
  </si>
  <si>
    <t>https://drive.google.com/open?id=1BF5UdTBuGlaF33JnIEQCPwbThcdZPRd7</t>
  </si>
  <si>
    <t xml:space="preserve">hajer khaled samir musa </t>
  </si>
  <si>
    <t xml:space="preserve">هاجر خالد سمير موسي </t>
  </si>
  <si>
    <t>hagerkhaledmusa@gmail.com</t>
  </si>
  <si>
    <t>201030197000</t>
  </si>
  <si>
    <t>private school knowladge house</t>
  </si>
  <si>
    <t>29801300000000</t>
  </si>
  <si>
    <t>https://drive.google.com/open?id=1coy8ObJa8GplUoTtaR95O_WLoYP6J3lm</t>
  </si>
  <si>
    <t>https://drive.google.com/open?id=1WCYEGSGa_rKLucJOzlQZ45u1bKLS74oo</t>
  </si>
  <si>
    <t>HAGER KHALED SAMIR MUSA</t>
  </si>
  <si>
    <t xml:space="preserve">Youssef Abbas </t>
  </si>
  <si>
    <t>01953090025700</t>
  </si>
  <si>
    <t>EG180004122500001953090025700</t>
  </si>
  <si>
    <t>B403</t>
  </si>
  <si>
    <t xml:space="preserve">Hend Mostafa Ahmed Mostafa Omer </t>
  </si>
  <si>
    <t xml:space="preserve">هند مصطفى احمد مصطفى عمر </t>
  </si>
  <si>
    <t>hendmostafaips1975@outlook.com</t>
  </si>
  <si>
    <t>201004025490</t>
  </si>
  <si>
    <t>27511240101145</t>
  </si>
  <si>
    <t>https://drive.google.com/open?id=1GvCcKVwz1swrm5ffhKWK1zj454ZPhPo2</t>
  </si>
  <si>
    <t>https://drive.google.com/open?id=12AG-nrq1bZMnPpGdzmtJIHbPGGEheKK-</t>
  </si>
  <si>
    <t xml:space="preserve">Hend Mostafa Ahmed Mostafa </t>
  </si>
  <si>
    <t>6 October</t>
  </si>
  <si>
    <t>06063010000870</t>
  </si>
  <si>
    <t>EG530004133000006063010000870</t>
  </si>
  <si>
    <t>1330</t>
  </si>
  <si>
    <t>Yassmin Mallawany Yahia Farag</t>
  </si>
  <si>
    <t>ياسمين ملواني يحيى فرج</t>
  </si>
  <si>
    <t>yassmeenmallawany</t>
  </si>
  <si>
    <t>201012284532</t>
  </si>
  <si>
    <t xml:space="preserve">Computer teacher </t>
  </si>
  <si>
    <t>30301112100541</t>
  </si>
  <si>
    <t>https://drive.google.com/open?id=1melIocK7VN7EiB5HyFL2Jpn-QI0u1P0H</t>
  </si>
  <si>
    <t>https://drive.google.com/open?id=1Ug61D8nObxkudS2LLCB1hdD5JfVMHb9V</t>
  </si>
  <si>
    <t>YASMIN MALAWANY YEHIA</t>
  </si>
  <si>
    <t>1130106386727</t>
  </si>
  <si>
    <t>EG390037006708181130106386727</t>
  </si>
  <si>
    <t>Sherein Mohamed Helmy Mattar</t>
  </si>
  <si>
    <t>شيرين محمد حلمي مطر</t>
  </si>
  <si>
    <t>say.mattar@gmail.com</t>
  </si>
  <si>
    <t>201221692938</t>
  </si>
  <si>
    <t>Green City International School</t>
  </si>
  <si>
    <t>Math Teacher and Math Elementary HOD</t>
  </si>
  <si>
    <t>27211070100048</t>
  </si>
  <si>
    <t>https://drive.google.com/open?id=16HehRFtxE_GWGppF7vX2YcKHhxOg-khA</t>
  </si>
  <si>
    <t>https://drive.google.com/open?id=1B2aQtsSUz-jieYl8bDd_rWu2NHOlB9Rz</t>
  </si>
  <si>
    <t>Concorde Plaza</t>
  </si>
  <si>
    <t>5150333000011433</t>
  </si>
  <si>
    <t>EG370002051505150333000011433</t>
  </si>
  <si>
    <t>0515</t>
  </si>
  <si>
    <t>MennaTullah khaled mohamed ahmed</t>
  </si>
  <si>
    <t>منة الله خالد محمد احمد</t>
  </si>
  <si>
    <t>mennatullahkhaledmohamed86@gmail.com</t>
  </si>
  <si>
    <t>201151341478</t>
  </si>
  <si>
    <t>مدرسة رواد المستقبل</t>
  </si>
  <si>
    <t>مدرسة</t>
  </si>
  <si>
    <t>29509070103221</t>
  </si>
  <si>
    <t>https://drive.google.com/open?id=11vHlxhRgiI0EPCEFoX4kxQCfVYWIWNC9</t>
  </si>
  <si>
    <t>https://drive.google.com/open?id=1fcBmZli6CB-8MM-OfvrTuyf-d1bZc1bC</t>
  </si>
  <si>
    <t>395081793221100000</t>
  </si>
  <si>
    <t>EG650003003950817932211000120</t>
  </si>
  <si>
    <t xml:space="preserve">Hend Abdelrahman Mohamed Abdelrahman </t>
  </si>
  <si>
    <t xml:space="preserve">هند عبدالرحمن محمد عبدالرحمن </t>
  </si>
  <si>
    <t>hendabdelraman@gmail.com</t>
  </si>
  <si>
    <t>201025186669</t>
  </si>
  <si>
    <t xml:space="preserve">Elhosary azhar language school </t>
  </si>
  <si>
    <t>29207152103661</t>
  </si>
  <si>
    <t>https://drive.google.com/open?id=1ZwQDVjvvClFgMAnrfciXy2tvDs-7mubf</t>
  </si>
  <si>
    <t>https://drive.google.com/open?id=1FXx8pc0QQ-tKuszIY37eqPAcUaklb-35</t>
  </si>
  <si>
    <t>EG850003018250017895580000110</t>
  </si>
  <si>
    <t>Rania mohamed mahmoud farag</t>
  </si>
  <si>
    <t xml:space="preserve">رانيا محمد محمود فرج </t>
  </si>
  <si>
    <t>Rania.mohamed711@gmail.com</t>
  </si>
  <si>
    <t>201011359237</t>
  </si>
  <si>
    <t>28208162103003</t>
  </si>
  <si>
    <t>https://drive.google.com/open?id=1NcZv7YQ0CV2CXFDF_YmazoBPz_oB3808</t>
  </si>
  <si>
    <t>https://drive.google.com/open?id=1qYZSZ5m8WcY4eDd_c4sFUtRfyIWK6kmW</t>
  </si>
  <si>
    <t>بالم ستريب</t>
  </si>
  <si>
    <t>2101541640960010</t>
  </si>
  <si>
    <t>EG690023002102101541640960010</t>
  </si>
  <si>
    <t>Jessica yasser farag farag</t>
  </si>
  <si>
    <t xml:space="preserve">جيسيكا ياسر فرج فرج </t>
  </si>
  <si>
    <t>Jessicayasser40@gmail.com</t>
  </si>
  <si>
    <t>201554409906</t>
  </si>
  <si>
    <t>Braam misr</t>
  </si>
  <si>
    <t>30405122104421</t>
  </si>
  <si>
    <t>https://drive.google.com/open?id=18wxN9p8-pEL1eHE0kRawfIfQ4VN89IMf</t>
  </si>
  <si>
    <t>https://drive.google.com/open?id=1slvnXXtC_O2cp6SCiDposIvXYvLtu9kA</t>
  </si>
  <si>
    <t xml:space="preserve">Jessica yasser </t>
  </si>
  <si>
    <t xml:space="preserve">HSBC MAADI </t>
  </si>
  <si>
    <t>005414701013</t>
  </si>
  <si>
    <t>EG370025000500000005414701013</t>
  </si>
  <si>
    <t>Maryiam Moheb Ali Azab</t>
  </si>
  <si>
    <t>مريم محب علي عزب</t>
  </si>
  <si>
    <t>maryiammoheb@gmail.com</t>
  </si>
  <si>
    <t>201158844881</t>
  </si>
  <si>
    <t>Smart vision School</t>
  </si>
  <si>
    <t>28804018800125</t>
  </si>
  <si>
    <t>https://drive.google.com/open?id=1J-KG3xaxfvbD970RcDqfjDFSxwL-Zcn1</t>
  </si>
  <si>
    <t>https://drive.google.com/open?id=1fYNi4b1IUqotLAokRXEQBYXPFCKk1viR</t>
  </si>
  <si>
    <t>MARIAM MOHEB ALI AZAB</t>
  </si>
  <si>
    <t>6201021961701013</t>
  </si>
  <si>
    <t>EG710002051505150333000063007</t>
  </si>
  <si>
    <t>B408</t>
  </si>
  <si>
    <t xml:space="preserve">Nermin Mohamed Nagib El-Deep </t>
  </si>
  <si>
    <t xml:space="preserve">نيرمين محمد نجيب عبد العليم الديب </t>
  </si>
  <si>
    <t xml:space="preserve">nermineldeep75@gmail.com </t>
  </si>
  <si>
    <t>201147835183</t>
  </si>
  <si>
    <t>28904021601928</t>
  </si>
  <si>
    <t>https://drive.google.com/open?id=11jvTmk6qcicQLpn0uyJnQFY-TrPww1GP</t>
  </si>
  <si>
    <t>https://drive.google.com/open?id=1hR0oBbX-E8k55AZcy_g1M0t48k8rSC4v</t>
  </si>
  <si>
    <t>0375001421266701019</t>
  </si>
  <si>
    <t>EG560003003750014212667010190</t>
  </si>
  <si>
    <t>Esraa Hamada Abd elwahab ibrahem</t>
  </si>
  <si>
    <t>اسراء حماده عبد الوهاب ابراهيم</t>
  </si>
  <si>
    <t>hamadaes199@gmail.com</t>
  </si>
  <si>
    <t>201156784773</t>
  </si>
  <si>
    <t xml:space="preserve">Blue sky language school </t>
  </si>
  <si>
    <t>29811242402186</t>
  </si>
  <si>
    <t>https://drive.google.com/open?id=1Iqfsikp-1I6N0UgCQ74JSeAOa-woeFAa</t>
  </si>
  <si>
    <t>https://drive.google.com/open?id=14q1rzn3PlrOrp7vsG_RPf342_A6LZ0RU</t>
  </si>
  <si>
    <t xml:space="preserve">ESRAA HAMADA ABDELWAHAB </t>
  </si>
  <si>
    <t>NATIONAL BANK OF EGYPT</t>
  </si>
  <si>
    <t>1595001790200800012</t>
  </si>
  <si>
    <t>EG940003015950017902008000120</t>
  </si>
  <si>
    <t>B409</t>
  </si>
  <si>
    <t>Ghada saif hamed abo el enan</t>
  </si>
  <si>
    <t>غادة سيف حامد ابو العنين</t>
  </si>
  <si>
    <t>ghadaseifsalim@gmail.com</t>
  </si>
  <si>
    <t>201001468735</t>
  </si>
  <si>
    <t xml:space="preserve">Smart Vision </t>
  </si>
  <si>
    <t>28411272100069</t>
  </si>
  <si>
    <t>https://drive.google.com/open?id=14pZRqL5yv6AH6QChsnXOlKWVzxfGHCAd</t>
  </si>
  <si>
    <t>https://drive.google.com/open?id=1Hdq_6HQ-F38fo2IPHDxxTtOYAViETuuL</t>
  </si>
  <si>
    <t>Ghada Saif Hamed</t>
  </si>
  <si>
    <t>1130485742260</t>
  </si>
  <si>
    <t>EG490037019308181130485742260</t>
  </si>
  <si>
    <t>Alshaimaa Mohamed Gidamy Hassan</t>
  </si>
  <si>
    <t xml:space="preserve">الشيماء محمد جدامى حسن </t>
  </si>
  <si>
    <t xml:space="preserve">shaimaa.gidamy2018@gmail.com </t>
  </si>
  <si>
    <t>201014777485</t>
  </si>
  <si>
    <t xml:space="preserve">English  teacher </t>
  </si>
  <si>
    <t>28711230101603</t>
  </si>
  <si>
    <t>https://drive.google.com/open?id=1BIhpUKE-tUDg_rZNoh6Qw7Q2QLSS8XUA</t>
  </si>
  <si>
    <t>ELSHIMAA MOHAMED GDAMY</t>
  </si>
  <si>
    <t>فرع نادى ٦ اكتوبر</t>
  </si>
  <si>
    <t>5740333000041257</t>
  </si>
  <si>
    <t>EG440002057405740333000041257</t>
  </si>
  <si>
    <t>B411</t>
  </si>
  <si>
    <t>Radwa Ali Mohammed Tawfiq Al Mahdi</t>
  </si>
  <si>
    <t xml:space="preserve">رضوى علي محمد توفيق المهدي </t>
  </si>
  <si>
    <t>radwa.ali901516@gmail.com</t>
  </si>
  <si>
    <t>201063539739</t>
  </si>
  <si>
    <t>International puplic Schools October 1</t>
  </si>
  <si>
    <t>29006282101707</t>
  </si>
  <si>
    <t>https://drive.google.com/open?id=1TFzRQzhIvqML-jLLxYf8vykVeFx-l_LP</t>
  </si>
  <si>
    <t>https://drive.google.com/open?id=16xb_4ImswQr7qVzzIjf_Gh7vAu6W9l34</t>
  </si>
  <si>
    <t>6935001767601200011</t>
  </si>
  <si>
    <t>EG240003069350017676012000110</t>
  </si>
  <si>
    <t>Noha samir yassin mohamed</t>
  </si>
  <si>
    <t>نهى سمير ياسين محمد</t>
  </si>
  <si>
    <t>nohayassin274@gmail.com</t>
  </si>
  <si>
    <t>201032834948</t>
  </si>
  <si>
    <t xml:space="preserve">Bank masr for pharmaceutical industry and technology </t>
  </si>
  <si>
    <t>29909091814525</t>
  </si>
  <si>
    <t>https://drive.google.com/open?id=15f1_elD7-3-uJZY9jeWvMkIsSoA6AKHz</t>
  </si>
  <si>
    <t>Noha SAMIR YASSIN MOHAMED ELHALAG</t>
  </si>
  <si>
    <t>100054364247</t>
  </si>
  <si>
    <t>EG110010000100000100054364247</t>
  </si>
  <si>
    <t>B413</t>
  </si>
  <si>
    <t>Asmaa mohamed mostafa bayoumi</t>
  </si>
  <si>
    <t>اسماء محمد مصطفى بيومى</t>
  </si>
  <si>
    <t>asmaamohamedmostafa54@gmail.com</t>
  </si>
  <si>
    <t>201022751933</t>
  </si>
  <si>
    <t>Hayah international school</t>
  </si>
  <si>
    <t>29002012108861</t>
  </si>
  <si>
    <t>https://drive.google.com/open?id=1AaDtcows10cVCzbByNZYOv3Q_KLpusMi</t>
  </si>
  <si>
    <t>https://drive.google.com/open?id=16XZuipBapDzTH8oQEFTSGPqFwbgy2L1s</t>
  </si>
  <si>
    <t>EG410003006550010406044000130</t>
  </si>
  <si>
    <t>Amira Gad Abdullah Youssef</t>
  </si>
  <si>
    <t>اميره جاد عبدالله يوسف</t>
  </si>
  <si>
    <t>amiragad212@gmail.com</t>
  </si>
  <si>
    <t>201115437084</t>
  </si>
  <si>
    <t>Al Hossary Azhar language school</t>
  </si>
  <si>
    <t>K.G. homeroom teacher</t>
  </si>
  <si>
    <t>29111172103222</t>
  </si>
  <si>
    <t>https://drive.google.com/open?id=10WaUYM15ng8l1qY7eg5E8Tao_1YTbi4u</t>
  </si>
  <si>
    <t>1825001797507900018</t>
  </si>
  <si>
    <t>EG510003018250017975079000180</t>
  </si>
  <si>
    <t>B414</t>
  </si>
  <si>
    <t>Eman Mohamed ElMetwalli ElMetwalli Soliman</t>
  </si>
  <si>
    <t xml:space="preserve">ايمان محمد المتولي المتولي سليمان </t>
  </si>
  <si>
    <t>Emanmetwalli77@gmail.com</t>
  </si>
  <si>
    <t>201001985988</t>
  </si>
  <si>
    <t xml:space="preserve">English Teacher &amp; Coordinator </t>
  </si>
  <si>
    <t>28212011101227</t>
  </si>
  <si>
    <t>https://drive.google.com/open?id=15MZz_K_AG7SXN4HQx2hHOflaHpUHL3Ti</t>
  </si>
  <si>
    <t>https://drive.google.com/open?id=1GXG0aPux6R-OPrRZUyVihfXvKyin6Avp</t>
  </si>
  <si>
    <t>EMAN MOHAMED ELMETWALLI ELMETWALLI SOLIMAN</t>
  </si>
  <si>
    <t>Banks Mall - 6 October City</t>
  </si>
  <si>
    <t>11307541738-48</t>
  </si>
  <si>
    <t>EG600037019308181130754173848</t>
  </si>
  <si>
    <t xml:space="preserve">Nourhan Abd eltawab foud Mohamed </t>
  </si>
  <si>
    <t xml:space="preserve">نورهان عبدالتواب فؤاد محمد </t>
  </si>
  <si>
    <t xml:space="preserve">Nourhanramy90@gmail.com </t>
  </si>
  <si>
    <t>201067697978</t>
  </si>
  <si>
    <t>Alalson</t>
  </si>
  <si>
    <t>29009170101428</t>
  </si>
  <si>
    <t>https://drive.google.com/open?id=1ZpqNYy3V4enlAcqvHj4oAoHAFutTkbdw</t>
  </si>
  <si>
    <t xml:space="preserve">Nourhan Abd eltawab fouad Mohamed </t>
  </si>
  <si>
    <t>الليبني</t>
  </si>
  <si>
    <t>0165001011226301018</t>
  </si>
  <si>
    <t>EG770003001650010112263010180</t>
  </si>
  <si>
    <t>016</t>
  </si>
  <si>
    <t>B415</t>
  </si>
  <si>
    <t>Shereen fawzy ahmed abdelatif</t>
  </si>
  <si>
    <t>شيرين فوزي احمد عبداللطيف</t>
  </si>
  <si>
    <t xml:space="preserve">Shereenamr86@gmail.com </t>
  </si>
  <si>
    <t>201005403861</t>
  </si>
  <si>
    <t>Manarat elmaadi international school</t>
  </si>
  <si>
    <t>27407130102667</t>
  </si>
  <si>
    <t>https://drive.google.com/open?id=1onzbj8MEMHiGVEJP4wmC0eQzwH6lD1lu</t>
  </si>
  <si>
    <t>https://drive.google.com/open?id=1nnwVxY3OsMoyIEFzTRmKUrJsVw9ecOan</t>
  </si>
  <si>
    <t>Shereen fawzy ahmed abd ellatif</t>
  </si>
  <si>
    <t>1620245000030846</t>
  </si>
  <si>
    <t>EG240002016201620245000030846</t>
  </si>
  <si>
    <t>Mennatullah Mohamed Hamed Abdullah</t>
  </si>
  <si>
    <t>منة الله محمد حامد عبدالله</t>
  </si>
  <si>
    <t>mennatullah.m229@gmail.com</t>
  </si>
  <si>
    <t>201011300376</t>
  </si>
  <si>
    <t>West View International School</t>
  </si>
  <si>
    <t xml:space="preserve">Homeroom Teacher </t>
  </si>
  <si>
    <t>29609220101847</t>
  </si>
  <si>
    <t>https://drive.google.com/open?id=1dq5xG3j56n3sJj39J2stY619uXYUzlE0</t>
  </si>
  <si>
    <t xml:space="preserve">New Zamalek </t>
  </si>
  <si>
    <t>100064979967</t>
  </si>
  <si>
    <t>EG710010014000000100064979967</t>
  </si>
  <si>
    <t>B416</t>
  </si>
  <si>
    <t>Ogostinos Youssef Eskander Esaak</t>
  </si>
  <si>
    <t>ogostinosyoussef@gmail.com</t>
  </si>
  <si>
    <t>201287674733</t>
  </si>
  <si>
    <t xml:space="preserve">St arsany language school </t>
  </si>
  <si>
    <t xml:space="preserve">Supervisor physical education </t>
  </si>
  <si>
    <t>29105052600371</t>
  </si>
  <si>
    <t>https://drive.google.com/open?id=1_a-_AWZvqzAtEm-81LEjEDt7i4OngCID</t>
  </si>
  <si>
    <t>https://drive.google.com/open?id=1m7l2HYlFHIf0pSZ4L05kdlkCEZPazA7s</t>
  </si>
  <si>
    <t>Ola abdelhady ali</t>
  </si>
  <si>
    <t>علا عبدالهادي علي</t>
  </si>
  <si>
    <t>olaabdelhady34@gmail.com</t>
  </si>
  <si>
    <t>201115710009</t>
  </si>
  <si>
    <t>Sun gate</t>
  </si>
  <si>
    <t>30201032100449</t>
  </si>
  <si>
    <t>https://drive.google.com/open?id=1cFPPFcCtHlfQJ6TgP_QxMRDK49NQOYnl</t>
  </si>
  <si>
    <t>Ola Abdelhady</t>
  </si>
  <si>
    <t>Star Mall</t>
  </si>
  <si>
    <t>375001773712900000</t>
  </si>
  <si>
    <t>EG140003003750017737129000100</t>
  </si>
  <si>
    <t>B417</t>
  </si>
  <si>
    <t>Doaa Mohamed Abdelrahman Abdelmoaz</t>
  </si>
  <si>
    <t xml:space="preserve">دعاء محمد عبدالرحمن عبدالمعز </t>
  </si>
  <si>
    <t>Mdoaa2937@gmail.com</t>
  </si>
  <si>
    <t>201023847712</t>
  </si>
  <si>
    <t xml:space="preserve">Middle East international schools </t>
  </si>
  <si>
    <t>30102112101383</t>
  </si>
  <si>
    <t>https://drive.google.com/open?id=1R07O2lwrLSIPmUIXPcE6HUtUkS2eOGqF</t>
  </si>
  <si>
    <t>دعاء محمد عبدالرحمن عبدالمعز هاشم ابوركيسه</t>
  </si>
  <si>
    <t>100015917193</t>
  </si>
  <si>
    <t>EG440059003800000100015917193</t>
  </si>
  <si>
    <t>Asmaa Adel Mohamed Darwesh</t>
  </si>
  <si>
    <t>اسماء عادل محمد درويش</t>
  </si>
  <si>
    <t>asmaa_adel-mohamed@hotmail.com</t>
  </si>
  <si>
    <t>201100074904</t>
  </si>
  <si>
    <t>Smart Vision Language School</t>
  </si>
  <si>
    <t>28607080104101</t>
  </si>
  <si>
    <t>https://drive.google.com/open?id=1iaTftXKC5mJ_FE5oyLAa0Az-Tqv7_0ik</t>
  </si>
  <si>
    <t>Asmaa Adel Mohamed Darwish</t>
  </si>
  <si>
    <t>Majarra</t>
  </si>
  <si>
    <t>11301987441</t>
  </si>
  <si>
    <t>EG370037004508181130198744112</t>
  </si>
  <si>
    <t>0045</t>
  </si>
  <si>
    <t>Ibrahim Fathy Abdelfattah Elsayed</t>
  </si>
  <si>
    <t xml:space="preserve">ابراهيم فتحي عبد الفتاح السيد </t>
  </si>
  <si>
    <t>ibrahim.f.elbarbary@gmail.com</t>
  </si>
  <si>
    <t>201010839264</t>
  </si>
  <si>
    <t xml:space="preserve">Bank misr school for applied technology and pharmaceutical industries </t>
  </si>
  <si>
    <t>30003270104677</t>
  </si>
  <si>
    <t>https://drive.google.com/open?id=1o6UjTOMi3wmjI58TbHNQQYvWGAvQC-TS</t>
  </si>
  <si>
    <t>https://drive.google.com/open?id=1-HG0ZYrlYJ3xm_l7pG2fGpwZvlbEnAeW</t>
  </si>
  <si>
    <t>5060288000000199</t>
  </si>
  <si>
    <t>EG020002050605060288000000199</t>
  </si>
  <si>
    <t>B418</t>
  </si>
  <si>
    <t>Mostafa Ahmed Ali Mohamed</t>
  </si>
  <si>
    <t>dkmostafa@yahoo.com</t>
  </si>
  <si>
    <t>201111240750</t>
  </si>
  <si>
    <t xml:space="preserve">Epic international school </t>
  </si>
  <si>
    <t>29203091701011</t>
  </si>
  <si>
    <t>https://drive.google.com/open?id=1sKYbZb5jTCgDhXgEX1zLQoEdDUn4sM8Z</t>
  </si>
  <si>
    <t>https://drive.google.com/open?id=1SBIrZ_sbwyMtnmsibbt9Q7zW-C16WnmC</t>
  </si>
  <si>
    <t>Banha</t>
  </si>
  <si>
    <t>100035861558</t>
  </si>
  <si>
    <t>EG560010014400000100035861558</t>
  </si>
  <si>
    <t xml:space="preserve">Rasha Eid Farag Ali </t>
  </si>
  <si>
    <t xml:space="preserve">رشا عيد فرج على </t>
  </si>
  <si>
    <t>hanyrasha9@gmail.com</t>
  </si>
  <si>
    <t>201129920038</t>
  </si>
  <si>
    <t xml:space="preserve">International public schools 6 october 1 </t>
  </si>
  <si>
    <t xml:space="preserve">It management </t>
  </si>
  <si>
    <t>28506012300928</t>
  </si>
  <si>
    <t>https://drive.google.com/open?id=1f7C7Y9hDd2AmEYF4Q0mpcNz2EGsGyUdK</t>
  </si>
  <si>
    <t>West eleven mall</t>
  </si>
  <si>
    <t>8780333000000072</t>
  </si>
  <si>
    <t>EG520002087808780333000000072</t>
  </si>
  <si>
    <t>Menatallah Ali Mohamed Fahmy</t>
  </si>
  <si>
    <t>منة الله علي محمد فهمي</t>
  </si>
  <si>
    <t>Mennaalixoxo@gmail.com</t>
  </si>
  <si>
    <t>201022803389</t>
  </si>
  <si>
    <t xml:space="preserve">Social Worker </t>
  </si>
  <si>
    <t>28910302103404</t>
  </si>
  <si>
    <t>https://drive.google.com/open?id=1W-cRc9WHVNd-EjAWhV2qZKmbbkdj1lYB</t>
  </si>
  <si>
    <t xml:space="preserve">MENATALLAH ALI MOHAMED </t>
  </si>
  <si>
    <t>1130768442936</t>
  </si>
  <si>
    <t>EG600037019308181130768442936</t>
  </si>
  <si>
    <t>B419</t>
  </si>
  <si>
    <t>Omnia ahmed abdul monaam aly</t>
  </si>
  <si>
    <t>Omniaahmed.S100@gmail.cim</t>
  </si>
  <si>
    <t>201550380389</t>
  </si>
  <si>
    <t>Schoolers international language school</t>
  </si>
  <si>
    <t>معلمة لغة عربية</t>
  </si>
  <si>
    <t>28602092102781</t>
  </si>
  <si>
    <t>https://drive.google.com/open?id=1HyMk1-edYsjxMkdibmGtsBWAXht3fDKj</t>
  </si>
  <si>
    <t>Omnia ahmed abdul monaam</t>
  </si>
  <si>
    <t>هضبة الاهرام</t>
  </si>
  <si>
    <t>48500159778370000</t>
  </si>
  <si>
    <t>EG410003004850015977837000150</t>
  </si>
  <si>
    <t>Ibtsam Saber AbdEllah Ahmed</t>
  </si>
  <si>
    <t>Ibtsamsaber9769@gmail.com</t>
  </si>
  <si>
    <t>201099900450</t>
  </si>
  <si>
    <t>Matren</t>
  </si>
  <si>
    <t>27512152601363</t>
  </si>
  <si>
    <t>https://drive.google.com/open?id=1suDJltg4vJNkVnHh4JJ63IYqsAZB2Sjr</t>
  </si>
  <si>
    <t>EBTISAM SABER ABDELLAH</t>
  </si>
  <si>
    <t>مجمع البنوك غرب سوميد</t>
  </si>
  <si>
    <t>5090111000002360</t>
  </si>
  <si>
    <t>Eg350002050905090111000002360</t>
  </si>
  <si>
    <t>0509</t>
  </si>
  <si>
    <t xml:space="preserve">AHMED YAHIA TAHA ELGHAZALY </t>
  </si>
  <si>
    <t>احمد يحي طه الغزالي</t>
  </si>
  <si>
    <t>ahmedyehia91119@gmail.com</t>
  </si>
  <si>
    <t>201286260760</t>
  </si>
  <si>
    <t>Bank masr for pharmaceutical industry and technology</t>
  </si>
  <si>
    <t>29601011635671</t>
  </si>
  <si>
    <t>https://drive.google.com/open?id=123K1hvUiQwdVn1Me2cQiy1Ss_fdRQSZ_</t>
  </si>
  <si>
    <t xml:space="preserve">AHMED YEHIA TAHA ELGHAZALY </t>
  </si>
  <si>
    <t>HSBC Bank Egypt S.A.E / 306 Corniche EL Nil,  Maadi , Cairo , Egypt - P.O. Box 124 Maadi</t>
  </si>
  <si>
    <t>025160979001</t>
  </si>
  <si>
    <t>EG370025002500000025160979001</t>
  </si>
  <si>
    <t>B421</t>
  </si>
  <si>
    <t>Maha Abd Elmoneam Sayed</t>
  </si>
  <si>
    <t>مها عبد المنعم سيد مرسي</t>
  </si>
  <si>
    <t>mahaabdelmoneam4@gmail.com</t>
  </si>
  <si>
    <t>201004498750</t>
  </si>
  <si>
    <t xml:space="preserve">IPS october </t>
  </si>
  <si>
    <t>28211112300127</t>
  </si>
  <si>
    <t>https://drive.google.com/open?id=1Tr8IuReXkK2IERGN64VWj5_xOIg0v4XH</t>
  </si>
  <si>
    <t>https://drive.google.com/open?id=1aMWrtRx_zR6JhHe8vWvB7QbFzdY-yujk</t>
  </si>
  <si>
    <t>Maha Abd Elmoneam Sayed Morsy</t>
  </si>
  <si>
    <t>Fayoum</t>
  </si>
  <si>
    <t>100015621046</t>
  </si>
  <si>
    <t>EG050059002600000100015621046</t>
  </si>
  <si>
    <t>Noha Ahmed Mahmoud Ahmed</t>
  </si>
  <si>
    <t>Noha.mouhamed2007@gmail.com</t>
  </si>
  <si>
    <t>201011689905</t>
  </si>
  <si>
    <t>مدرسة الشهيد إيهاب مرسي الرسمية لغات</t>
  </si>
  <si>
    <t>Head of the Arabic Language Department</t>
  </si>
  <si>
    <t>28608272400044</t>
  </si>
  <si>
    <t>https://drive.google.com/open?id=17ZwOdINK3gcnLx3PeVgr-2y9yTflBD04</t>
  </si>
  <si>
    <t>EL MENIA</t>
  </si>
  <si>
    <t>5085010626696600011</t>
  </si>
  <si>
    <t>EG820003050850106266966000110</t>
  </si>
  <si>
    <t xml:space="preserve">Dina Mohamed Ahmed Mohamed </t>
  </si>
  <si>
    <t>دينا محمد احمد محمد</t>
  </si>
  <si>
    <t>dinamohamedips1@gmail.com</t>
  </si>
  <si>
    <t>201122741711</t>
  </si>
  <si>
    <t>المدرسة الرسمية الدولية أكتوبر ١</t>
  </si>
  <si>
    <t>معلم أول لغة عربية</t>
  </si>
  <si>
    <t>28803083400049</t>
  </si>
  <si>
    <t>https://drive.google.com/open?id=1divmEbrmSCWBW3hrbGoZXwyvrRC-3Usd</t>
  </si>
  <si>
    <t>فرع النادي الأهلي_ الشيخ زايد</t>
  </si>
  <si>
    <t>7800001000007235</t>
  </si>
  <si>
    <t>EG470002078007800001000007235</t>
  </si>
  <si>
    <t>B422</t>
  </si>
  <si>
    <t>Marwa Ahmed Maher Kashef</t>
  </si>
  <si>
    <t>مروة احمد ماهر كاشف</t>
  </si>
  <si>
    <t>fayrozaelkashef583@gmail.com</t>
  </si>
  <si>
    <t>201000033784</t>
  </si>
  <si>
    <t>Map languages school</t>
  </si>
  <si>
    <t>Kindergarten English supervisor</t>
  </si>
  <si>
    <t>28305141801687</t>
  </si>
  <si>
    <t>https://drive.google.com/open?id=1jKcUkDuvsHTg9HI0YxH-Z8b26TTufY0W</t>
  </si>
  <si>
    <t>Ahmed Raaft Abdul-motlb Hussein</t>
  </si>
  <si>
    <t>Ahmedraaft830@gmail.com</t>
  </si>
  <si>
    <t>201122150838</t>
  </si>
  <si>
    <t>E-Nile language scholl</t>
  </si>
  <si>
    <t>29608270100039</t>
  </si>
  <si>
    <t>https://drive.google.com/open?id=1lnzHnagdjQZ7rNSvCRvBwL2mP__G09iB</t>
  </si>
  <si>
    <t>ووك اوف كايرو الشيخ زايد ٢</t>
  </si>
  <si>
    <t>1176057210010200</t>
  </si>
  <si>
    <t>EG870057029101176057210010201</t>
  </si>
  <si>
    <t>Mona Ahmed NourEldine Anwer Ahmed</t>
  </si>
  <si>
    <t>منى احمد نور الدين انور احمد</t>
  </si>
  <si>
    <t>monaahmed21888@gmail.com</t>
  </si>
  <si>
    <t>201010848148</t>
  </si>
  <si>
    <t>28808210103808</t>
  </si>
  <si>
    <t>https://drive.google.com/open?id=1dTeQvFGrYxcIZlZhRQWxC5VAMFbtjXs0</t>
  </si>
  <si>
    <t xml:space="preserve">منى احمد نور الدين انور احمد </t>
  </si>
  <si>
    <t>15مايو</t>
  </si>
  <si>
    <t>7010022000006128</t>
  </si>
  <si>
    <t>EG320002070107010022000006128</t>
  </si>
  <si>
    <t>0701</t>
  </si>
  <si>
    <t>Meeting Room A</t>
  </si>
  <si>
    <t>Hossam Mohamed Abd elaziz Ahmed</t>
  </si>
  <si>
    <t>hossammohamed652@gmail.com</t>
  </si>
  <si>
    <t>201118558476</t>
  </si>
  <si>
    <t>29210010121497</t>
  </si>
  <si>
    <t>https://drive.google.com/open?id=1zkgo1CYSaNcUEF6kshHfpdSDA4emT3Om</t>
  </si>
  <si>
    <t>https://drive.google.com/open?id=1MfVpR0eN9EOLn7R_BEqy4IJedLuTsDeJ</t>
  </si>
  <si>
    <t xml:space="preserve">Reham Ehab Allam Ebrahem </t>
  </si>
  <si>
    <t xml:space="preserve">ريهام ايهاب علام ابراهيم </t>
  </si>
  <si>
    <t>rehamallam158@gmail.com</t>
  </si>
  <si>
    <t>201201257933</t>
  </si>
  <si>
    <t xml:space="preserve">Faculty of dentistry at Alryada university </t>
  </si>
  <si>
    <t xml:space="preserve">Micro lab technician </t>
  </si>
  <si>
    <t>30010011700861</t>
  </si>
  <si>
    <t>https://drive.google.com/open?id=1xT12HEdGaORAZKXIJI93Y1hL0aAnzwxL</t>
  </si>
  <si>
    <t>https://drive.google.com/open?id=1vLDUEm3HuwzdpKGMc4XqsN57xD_gFPVa</t>
  </si>
  <si>
    <t>مدينة السادات</t>
  </si>
  <si>
    <t>EG330003041350018370860000180</t>
  </si>
  <si>
    <t>Gamal mohamed salama</t>
  </si>
  <si>
    <t>جمال محمد سلامة على</t>
  </si>
  <si>
    <t>Monieer abdelhay</t>
  </si>
  <si>
    <t>منير محمد عبدالحى محمد</t>
  </si>
  <si>
    <t>Heba Taha Abdelhaleem Mostafa</t>
  </si>
  <si>
    <t>هبه طه عبد الحليم مصطفى</t>
  </si>
  <si>
    <t>hopytaha@gmail.com</t>
  </si>
  <si>
    <t>201023695781</t>
  </si>
  <si>
    <t xml:space="preserve">Golden modern school </t>
  </si>
  <si>
    <t>KG2 homeroom teacher</t>
  </si>
  <si>
    <t>27612260100588</t>
  </si>
  <si>
    <t>https://drive.google.com/open?id=11aZYD0sxGt6Z3LFP8mN_7gKTlQKj1jtb</t>
  </si>
  <si>
    <t>https://drive.google.com/open?id=11pWcPhgQjVtO51CkfERIRKgyeze4iBxr</t>
  </si>
  <si>
    <t xml:space="preserve">Heba Taha Abdelhaleem Mostafa </t>
  </si>
  <si>
    <t>Hadayk el kobba</t>
  </si>
  <si>
    <t>100033370096</t>
  </si>
  <si>
    <t>EG340010013700000100033370096</t>
  </si>
  <si>
    <t>1205000105816100015</t>
  </si>
  <si>
    <t>0120</t>
  </si>
  <si>
    <t>مدينة نصر - الحي السابع</t>
  </si>
  <si>
    <t>100062194318</t>
  </si>
  <si>
    <t>1515000391403300013</t>
  </si>
  <si>
    <t>EG190003015150003914033000130</t>
  </si>
  <si>
    <t>Genena Mall</t>
  </si>
  <si>
    <t>100070538517</t>
  </si>
  <si>
    <t>EG340010006400000100070538517</t>
  </si>
  <si>
    <t>المنيل</t>
  </si>
  <si>
    <t>3220151434210240</t>
  </si>
  <si>
    <t>EG270035003203220151434210240</t>
  </si>
  <si>
    <t>0032</t>
  </si>
  <si>
    <t>10002643548745</t>
  </si>
  <si>
    <t>EG140037007408181002643548745</t>
  </si>
  <si>
    <t>المعادى - اللاسلكى</t>
  </si>
  <si>
    <t>الميريلاند</t>
  </si>
  <si>
    <t>0745000823242801011</t>
  </si>
  <si>
    <t>EG880003007450008232428010110</t>
  </si>
  <si>
    <t>1400378000003120</t>
  </si>
  <si>
    <t>ميراج سيتى</t>
  </si>
  <si>
    <t>185001452473401011</t>
  </si>
  <si>
    <t>1130680260845</t>
  </si>
  <si>
    <t>الهايكستب</t>
  </si>
  <si>
    <t>6543051278532400016</t>
  </si>
  <si>
    <t>بانورما الشروق</t>
  </si>
  <si>
    <t>114500183276100011</t>
  </si>
  <si>
    <t>New Maadi</t>
  </si>
  <si>
    <t>1690111000011363</t>
  </si>
  <si>
    <t>EG240002016901690111000011363</t>
  </si>
  <si>
    <t>100065605206</t>
  </si>
  <si>
    <t>دريم لاند</t>
  </si>
  <si>
    <t>1975001783188800015</t>
  </si>
  <si>
    <t>Arab Academy Sheraton A</t>
  </si>
  <si>
    <t>5090111000002553</t>
  </si>
  <si>
    <t>Samah Tarek Ahmed Abdo</t>
  </si>
  <si>
    <t>004</t>
  </si>
  <si>
    <t>170000760973</t>
  </si>
  <si>
    <t xml:space="preserve">Dream land دريم لاند   </t>
  </si>
  <si>
    <t>1975001175980301015</t>
  </si>
  <si>
    <t>7980324000001250</t>
  </si>
  <si>
    <t>Fatma Ali Abbas Mohamed</t>
  </si>
  <si>
    <t>المحور المركزي</t>
  </si>
  <si>
    <t>مها صبرى عوض حسين</t>
  </si>
  <si>
    <t>0375001588032100016</t>
  </si>
  <si>
    <t>1825001496184101014</t>
  </si>
  <si>
    <t>ساره سعد محمد فرج</t>
  </si>
  <si>
    <t>Mohey Eldeen Abo El Ezz</t>
  </si>
  <si>
    <t>0995001075104401011</t>
  </si>
  <si>
    <t xml:space="preserve">6 of October </t>
  </si>
  <si>
    <t>5740333000001886</t>
  </si>
  <si>
    <t>Doaa Sayed Moustafa Mohamed</t>
  </si>
  <si>
    <t>375001223499101018</t>
  </si>
  <si>
    <t>مصطفى كامل الملك فيصل</t>
  </si>
  <si>
    <t>فريد سميكه</t>
  </si>
  <si>
    <t>0290</t>
  </si>
  <si>
    <t>EG650003003850009844995010160</t>
  </si>
  <si>
    <t>038</t>
  </si>
  <si>
    <t>جامعه الدول العربية</t>
  </si>
  <si>
    <t>العمرانية</t>
  </si>
  <si>
    <t>643010713057901019</t>
  </si>
  <si>
    <t>SARA SAYED KHALIL KHALIL SOLIMAN</t>
  </si>
  <si>
    <t xml:space="preserve">Banks Mall Branch </t>
  </si>
  <si>
    <t>11307540917-86</t>
  </si>
  <si>
    <t>00193</t>
  </si>
  <si>
    <t>Mohamed Badr Abdo Mahmoud</t>
  </si>
  <si>
    <t>6 OF OCTOBER</t>
  </si>
  <si>
    <t>1145575510110101</t>
  </si>
  <si>
    <t>EG560027003201145575510110101</t>
  </si>
  <si>
    <t>ADCBEGCXXXX</t>
  </si>
  <si>
    <t xml:space="preserve">روشان محمد </t>
  </si>
  <si>
    <t xml:space="preserve">٢٦ يوليو وسط البلد </t>
  </si>
  <si>
    <t>نادى اكتوبر</t>
  </si>
  <si>
    <t>5740333000041210</t>
  </si>
  <si>
    <t>1130067774519</t>
  </si>
  <si>
    <t>احمد جميل جمال عيسوى</t>
  </si>
  <si>
    <t>سارة ماجد موريس بسادة</t>
  </si>
  <si>
    <t>Concord plaza south 90 New Cairo</t>
  </si>
  <si>
    <t>شيماء رضا محمد عطيه</t>
  </si>
  <si>
    <t>محور الكفراوي - ٦ أكتوبر</t>
  </si>
  <si>
    <t>Haram</t>
  </si>
  <si>
    <t>1370111000001630</t>
  </si>
  <si>
    <t>EG120002013701370111000001635</t>
  </si>
  <si>
    <t>Fatma Ahmed Ali Khalil</t>
  </si>
  <si>
    <t>داندى مول</t>
  </si>
  <si>
    <t>EG220037009208181130747358494</t>
  </si>
  <si>
    <t>EG530046020300000059100929632</t>
  </si>
  <si>
    <t>1660333000063960</t>
  </si>
  <si>
    <t>EG540002016601660333000063962</t>
  </si>
  <si>
    <t>شارع السودان</t>
  </si>
  <si>
    <t>1800323000000279</t>
  </si>
  <si>
    <t>EG830002018001800323000000279</t>
  </si>
  <si>
    <t>Amir Abd Elwahab Mohamed</t>
  </si>
  <si>
    <t>Sheikh Zaid</t>
  </si>
  <si>
    <t>1873010567985000000</t>
  </si>
  <si>
    <t>5130111000001290</t>
  </si>
  <si>
    <t>ساره عبد المنعم محمود سيد محفوظ</t>
  </si>
  <si>
    <t>66630114737424010180</t>
  </si>
  <si>
    <t>EG450037005908181130326210748</t>
  </si>
  <si>
    <t>Rahma Mohamed Salah Hussein</t>
  </si>
  <si>
    <t>EG960019003500000006975310001</t>
  </si>
  <si>
    <t>اوليفيا ارنست عزت شفيق</t>
  </si>
  <si>
    <t>EG610003017550013144992010180</t>
  </si>
  <si>
    <t>امبابه</t>
  </si>
  <si>
    <t>Mona Mohamed</t>
  </si>
  <si>
    <t>Marghany - masr elgdeda</t>
  </si>
  <si>
    <t>دينا منصور على أحمد</t>
  </si>
  <si>
    <t>أغاخان</t>
  </si>
  <si>
    <t>السادس من اكتوبر - المحور المركزي</t>
  </si>
  <si>
    <t>170000023685</t>
  </si>
  <si>
    <t>وسام سعد محمد فرج</t>
  </si>
  <si>
    <t>اسكوير مول اكتوبر</t>
  </si>
  <si>
    <t>قصر النيل</t>
  </si>
  <si>
    <t>Mohamed Ahmed ali mohamed</t>
  </si>
  <si>
    <t xml:space="preserve">ويست سكوير بيفرلي هيلز </t>
  </si>
  <si>
    <t>دينا محمود ابراهيم خليل</t>
  </si>
  <si>
    <t>خالد سيد جمعه</t>
  </si>
  <si>
    <t>ELHAY ALMOTAMIZ</t>
  </si>
  <si>
    <t>مول البنوك /غرب سوميد</t>
  </si>
  <si>
    <t>1130754047748</t>
  </si>
  <si>
    <t>SABRI SOBHY GERGUES ASAAD</t>
  </si>
  <si>
    <t>J.W.MARRIOTT</t>
  </si>
  <si>
    <t>smart village</t>
  </si>
  <si>
    <t>Zainab Mahmoud abed</t>
  </si>
  <si>
    <t>ABC Bank</t>
  </si>
  <si>
    <t>EG560040023707000060101010014</t>
  </si>
  <si>
    <t>EAABEGCXXXX</t>
  </si>
  <si>
    <t>المساحه</t>
  </si>
  <si>
    <t>Hend Abdelrahman Mohamed Abdelrahman</t>
  </si>
  <si>
    <t>1825001789558000011</t>
  </si>
  <si>
    <t>Radwa Ali Mohamed</t>
  </si>
  <si>
    <t>october market</t>
  </si>
  <si>
    <t>655001040604400013</t>
  </si>
  <si>
    <t>ال الرئيسى شارع شريف وسط القاهره</t>
  </si>
  <si>
    <t>15001004605601017</t>
  </si>
  <si>
    <t>الشيخ زايد</t>
  </si>
  <si>
    <t>ابراهيم فتحي عبد الفتاح السيد</t>
  </si>
  <si>
    <t>الظاهر الاسلامي</t>
  </si>
  <si>
    <t>Mostafa Ahmed Ali</t>
  </si>
  <si>
    <t>مروه احمد ماهر كاشف</t>
  </si>
  <si>
    <t>فرع ستوديو مصر</t>
  </si>
  <si>
    <t>7730333000072483</t>
  </si>
  <si>
    <t>EG890002077307730333000072483</t>
  </si>
  <si>
    <t xml:space="preserve">مدينة السادات </t>
  </si>
  <si>
    <t xml:space="preserve"> 2770111000005346 </t>
  </si>
  <si>
    <t>EG780002027702770111000005346</t>
  </si>
  <si>
    <t>ريهام ايهاب علام ابراهيم حسن</t>
  </si>
  <si>
    <t>4135001837086000018</t>
  </si>
  <si>
    <t xml:space="preserve">AASTM-Abu-Qir </t>
  </si>
  <si>
    <t>Ground Floor</t>
  </si>
  <si>
    <t>M2.102</t>
  </si>
  <si>
    <t>M2.103</t>
  </si>
  <si>
    <t>M2.118</t>
  </si>
  <si>
    <t>M2.121</t>
  </si>
  <si>
    <t>M2. Hall a</t>
  </si>
  <si>
    <t>M2. Hall b</t>
  </si>
  <si>
    <t>F1.2  lecture hall</t>
  </si>
  <si>
    <t>Meeting Room B</t>
  </si>
  <si>
    <t>EG300037007408181010303430295</t>
  </si>
  <si>
    <t>125</t>
  </si>
  <si>
    <t>بنك ابوظبى التجارى</t>
  </si>
  <si>
    <t>عبدالرحمن حسنى فضل عباس</t>
  </si>
  <si>
    <t>عبدالرضى محمود نصر الدين</t>
  </si>
  <si>
    <t>اسلام عبدالفتاح عبدالحميد</t>
  </si>
  <si>
    <t>ROOM EST1</t>
  </si>
  <si>
    <t>ROOM EST2</t>
  </si>
  <si>
    <t xml:space="preserve">مها شعبان حسن حامد </t>
  </si>
  <si>
    <t>SERIAL</t>
  </si>
  <si>
    <t>مروة سمير ابراهيم عبد الجواد</t>
  </si>
  <si>
    <t>ABC BANK</t>
  </si>
  <si>
    <t>سهيله مصطفي محمد الانور</t>
  </si>
  <si>
    <t>رولا حسن محمود الشمرانى</t>
  </si>
  <si>
    <t xml:space="preserve">Kuwait Finance House (KFH )Egypt </t>
  </si>
  <si>
    <t>اميرة محمد عبد المجيد عبد العال</t>
  </si>
  <si>
    <t>الاء نبيل عبد القادر سعد احمد</t>
  </si>
  <si>
    <t>عبد الله احمد حسني احمد</t>
  </si>
  <si>
    <t>عبدالله اشرف عبدالحميد مرسي</t>
  </si>
  <si>
    <t>عبدالله سيد عبدالله احمد</t>
  </si>
  <si>
    <t>عبد الرحمن ايمن فتحي نجيب</t>
  </si>
  <si>
    <t>عبد الرحمن عماد احمد علي</t>
  </si>
  <si>
    <t>ادهم فوزى مصطفي ثابت</t>
  </si>
  <si>
    <t>احمد بدر باسم عباس</t>
  </si>
  <si>
    <t xml:space="preserve">احمد خالد محمود عبد الرزاق </t>
  </si>
  <si>
    <t>احمد محمد اسعد طه</t>
  </si>
  <si>
    <t>احمد نصر اسماعيل عبد المعبود</t>
  </si>
  <si>
    <t xml:space="preserve">احمد عبد العظيم سيد عبد الحميد </t>
  </si>
  <si>
    <t>احمد عبد الهادي عبد الباقي عبد السلام</t>
  </si>
  <si>
    <t>احمد السيد عبد الوهاب</t>
  </si>
  <si>
    <t>احمد فاروق ابراهيم عوض</t>
  </si>
  <si>
    <t>احمد حلمي ابراهيم</t>
  </si>
  <si>
    <t>احمد هشام فكري</t>
  </si>
  <si>
    <t>احمد ابراهيم ابو بكر</t>
  </si>
  <si>
    <t>احمد ابراهيم علي</t>
  </si>
  <si>
    <t xml:space="preserve">احمد ابراهيم بدر حسين </t>
  </si>
  <si>
    <t>احمد ابراهيم فؤاد الدمرداش</t>
  </si>
  <si>
    <t>احمد محمود ابو العطا</t>
  </si>
  <si>
    <t>احمد محمد عبد الحي</t>
  </si>
  <si>
    <t>احمد محمد علي عطيه</t>
  </si>
  <si>
    <t xml:space="preserve">احمد محمد مغربي ابراهيم </t>
  </si>
  <si>
    <t>احمد محمد محمد عطوة احمد ابراهيم</t>
  </si>
  <si>
    <t>احمد ناجي</t>
  </si>
  <si>
    <t>احمد نور الدين سلمان عباس</t>
  </si>
  <si>
    <t>احمد رافت عبدالمطلب حسين</t>
  </si>
  <si>
    <t>احمد سعد محمود مبارك</t>
  </si>
  <si>
    <t>احمد سمير انور</t>
  </si>
  <si>
    <t xml:space="preserve">احمد سامي محمد ابراهيم </t>
  </si>
  <si>
    <t xml:space="preserve">الاء اشرف محمود خليفه </t>
  </si>
  <si>
    <t>الاء هانى عبد السلام السيد سليمان</t>
  </si>
  <si>
    <t>علي عبد الرحمن جاد امام</t>
  </si>
  <si>
    <t xml:space="preserve">امال محمد عبد السلام محمد </t>
  </si>
  <si>
    <t>امل محمد محمود سليمان</t>
  </si>
  <si>
    <t>امل سعيد احمد عويس</t>
  </si>
  <si>
    <t>امل صلاح مصطفى فهمي</t>
  </si>
  <si>
    <t>اماني باسم انيس عبد النور</t>
  </si>
  <si>
    <t>امير برناب رياض طوبيا</t>
  </si>
  <si>
    <t>اميرة سامى غنيم على</t>
  </si>
  <si>
    <t>امجد احمد عاطف علي</t>
  </si>
  <si>
    <t>امينة محمد على حسانين</t>
  </si>
  <si>
    <t>امير عبد الوهاب محمد خلف الله</t>
  </si>
  <si>
    <t>اميرة عنتر علي محمد</t>
  </si>
  <si>
    <t xml:space="preserve">اميرة ابراهيم سالم عيد </t>
  </si>
  <si>
    <t xml:space="preserve">اميرة مكرم بسطا مرجان </t>
  </si>
  <si>
    <t xml:space="preserve">اميرة محمد عطية ابراهيم </t>
  </si>
  <si>
    <t>اميرة نزيه ابراهيم</t>
  </si>
  <si>
    <t>اميرة رمزي سامي جورجي</t>
  </si>
  <si>
    <t>اميرة سامح محمود احمد خليل</t>
  </si>
  <si>
    <t xml:space="preserve">امنه حمدى محجوب محمد عبد الله </t>
  </si>
  <si>
    <t>عمرو على ابراهيم خليل</t>
  </si>
  <si>
    <t>انور مصطفي عبدالخالق القرنفيلي</t>
  </si>
  <si>
    <t>اشرف فتحى محروس السيد</t>
  </si>
  <si>
    <t>اسماء عبد النبي محمد كامل</t>
  </si>
  <si>
    <t>اسماء ايمن احمد خليفه</t>
  </si>
  <si>
    <t>اسماء هانى عبدالسلام السيد</t>
  </si>
  <si>
    <t>اسماء محمود عبد الله السيد</t>
  </si>
  <si>
    <t xml:space="preserve">اسماء محمد احمد علي </t>
  </si>
  <si>
    <t xml:space="preserve">اسماء عمر علي ابراهيم </t>
  </si>
  <si>
    <t>اسماء رمضان نصر الجمال</t>
  </si>
  <si>
    <t>اسماء طارق حلمي مصطفى</t>
  </si>
  <si>
    <t>اية ايمن احمد خليفة</t>
  </si>
  <si>
    <t>اية حسين حسني محمد</t>
  </si>
  <si>
    <t>اية محمود محمد راشد</t>
  </si>
  <si>
    <t>ايه محمد عبد المنعم سليمان</t>
  </si>
  <si>
    <t>اية نصر الدين حسن احمد</t>
  </si>
  <si>
    <t xml:space="preserve">اية عمر صابر محمد </t>
  </si>
  <si>
    <t>اية شفيق شفيق حامد</t>
  </si>
  <si>
    <t>ايات حمدي عبد الجواد عباس</t>
  </si>
  <si>
    <t>ايمن عبد العزيز عبد الحميد حجازى</t>
  </si>
  <si>
    <t xml:space="preserve">ايمن نبيل احمد عبد المقصود </t>
  </si>
  <si>
    <t>بهاء الدين بيومي محمد امام</t>
  </si>
  <si>
    <t>بسمة احمد سامي شرف الدين خطاب</t>
  </si>
  <si>
    <t>داليا اشرف سيد الحريرى</t>
  </si>
  <si>
    <t>داليا سعيد احمد عويس</t>
  </si>
  <si>
    <t xml:space="preserve">دينا منصور على احمد </t>
  </si>
  <si>
    <t>محمد على احمد على</t>
  </si>
  <si>
    <t>ابراهيم احمد ابراهيم علي</t>
  </si>
  <si>
    <t>ايهاب سامي فتحي طلبة</t>
  </si>
  <si>
    <t>عماد احمد فراج بكر</t>
  </si>
  <si>
    <t>ايمان عبدالله موسى توفيق</t>
  </si>
  <si>
    <t>ايمان عماد الدين احمد نافع</t>
  </si>
  <si>
    <t>ايمان محمود نصر</t>
  </si>
  <si>
    <t>ايمان متري جرجس موسى</t>
  </si>
  <si>
    <t>ايمان محمد حماد احمد</t>
  </si>
  <si>
    <t>اسلام فارس عبدالفتاح كرار</t>
  </si>
  <si>
    <t>اسلام سيد يوسف محمد</t>
  </si>
  <si>
    <t>اسراء بكر سيد غالب</t>
  </si>
  <si>
    <t>اسراء ماهر عبد الباقي هشام</t>
  </si>
  <si>
    <t>اسراء ممدوح محمد محمود</t>
  </si>
  <si>
    <t>اسراء محمد علي</t>
  </si>
  <si>
    <t>اسراء رفعت عبيد رضوان</t>
  </si>
  <si>
    <t xml:space="preserve">استير مسعد اندراوس طناس </t>
  </si>
  <si>
    <t>فاطمه احمد علي خليل</t>
  </si>
  <si>
    <t>فاطمة ربيع محمود ادريس</t>
  </si>
  <si>
    <t>فاطمة صلاح سبع سيد احمد</t>
  </si>
  <si>
    <t>جهاد ايمن محروس غالي</t>
  </si>
  <si>
    <t xml:space="preserve">هالة ابراهيم محمود احمد </t>
  </si>
  <si>
    <t>هانى عبدالعزيز ابوالمجد مصطفي</t>
  </si>
  <si>
    <t>هشام احمد فراج بكر</t>
  </si>
  <si>
    <t>حسام احمد مصطفى عبد الوهاب</t>
  </si>
  <si>
    <t>حسام محمد عبد العزيز احمد</t>
  </si>
  <si>
    <t xml:space="preserve">ابراهيم عارف محمد محمد </t>
  </si>
  <si>
    <t>ابتسام صابر عبد اللاه احمد</t>
  </si>
  <si>
    <t>انجي سمير منير</t>
  </si>
  <si>
    <t xml:space="preserve">اسلام السيد عبد العزيز غازي </t>
  </si>
  <si>
    <t>اسراء عثمان ربيع عبد الرحيم</t>
  </si>
  <si>
    <t>خالد محمود عبد المعطي ابراهيم</t>
  </si>
  <si>
    <t xml:space="preserve">خلود سيد ابو العباس عبد الكريم </t>
  </si>
  <si>
    <t>مها محمود سيد احمد</t>
  </si>
  <si>
    <t>محمود ابو بكرمحمد محمد شقرة</t>
  </si>
  <si>
    <t xml:space="preserve">محمود سعد الدين علي امين </t>
  </si>
  <si>
    <t xml:space="preserve">مي حسن احمد محمود </t>
  </si>
  <si>
    <t>منال مصطفى ابراهيم حبيب</t>
  </si>
  <si>
    <t>مروة عبدالمعز احمد علي ليله</t>
  </si>
  <si>
    <t>مروه صبحي احمد بكر</t>
  </si>
  <si>
    <t>ميساء امام سيد احمد</t>
  </si>
  <si>
    <t xml:space="preserve">منة الله ايمن ابراهيم عبدالغني حسن </t>
  </si>
  <si>
    <t>ميرهان ماجد محمد احمد</t>
  </si>
  <si>
    <t>مرفت امين محمد</t>
  </si>
  <si>
    <t>محمد عبد الحليم ابراهيم السيد</t>
  </si>
  <si>
    <t>محمد احمد احمد حسين</t>
  </si>
  <si>
    <t xml:space="preserve">محمد احمد علي محمد </t>
  </si>
  <si>
    <t>محمد احمد فؤاد احمد</t>
  </si>
  <si>
    <t>محمد احمد اسماعيل احمد</t>
  </si>
  <si>
    <t>محمد احمد رجب</t>
  </si>
  <si>
    <t>محمد فهمى ابوالمجد محمد</t>
  </si>
  <si>
    <t xml:space="preserve">محمد حبشي سيد ابراهيم </t>
  </si>
  <si>
    <t>محمد اسماعيل محمود ابراهيم</t>
  </si>
  <si>
    <t>محمد صبحي امام حسين</t>
  </si>
  <si>
    <t>محمد مصطفى امام</t>
  </si>
  <si>
    <t>محمد صلاح امين محمد</t>
  </si>
  <si>
    <t>محمد امام سيد احمد</t>
  </si>
  <si>
    <t>محمد جمال احمدي لاشين</t>
  </si>
  <si>
    <t>محمد سلطان محمد احمد</t>
  </si>
  <si>
    <t>منى عبد العال ابوخزيم عبد العال</t>
  </si>
  <si>
    <t>منى كريم مساعد احمد</t>
  </si>
  <si>
    <t xml:space="preserve">منيره احمد علي فوزي </t>
  </si>
  <si>
    <t>مصطفى احمد علي محمد</t>
  </si>
  <si>
    <t>مصطفى ابراهيم حسانين زكى</t>
  </si>
  <si>
    <t xml:space="preserve">مصطفى عبد الحليم ابراهيم عبد الحليم </t>
  </si>
  <si>
    <t xml:space="preserve">ندي اشرف سعد ابراهيم </t>
  </si>
  <si>
    <t>نعيم محمد نعيم احمد</t>
  </si>
  <si>
    <t xml:space="preserve">نشوى احمد محمود عبدالمجيد </t>
  </si>
  <si>
    <t>نهاد حسن ابراهيم حسن</t>
  </si>
  <si>
    <t xml:space="preserve">نرمين اسحق حنا بولس </t>
  </si>
  <si>
    <t xml:space="preserve">نسمة مفرح انور سيدهم </t>
  </si>
  <si>
    <t>نسمة صابر عبد اللاه احمد</t>
  </si>
  <si>
    <t>نيفين سمير انيس تادرس</t>
  </si>
  <si>
    <t>نهاد  مامون عباس على ابو حلوة</t>
  </si>
  <si>
    <t>نها احمد محمود احمد</t>
  </si>
  <si>
    <t>نور ايمن محروس غالي</t>
  </si>
  <si>
    <t>نور مسعد حسين ابراهيم</t>
  </si>
  <si>
    <t xml:space="preserve">نورهان ايهاب عبدالمنعم الدفراوي </t>
  </si>
  <si>
    <t>اوديت كامل بقطر ابراهيم</t>
  </si>
  <si>
    <t>اوليڤيا صفوت عدلي</t>
  </si>
  <si>
    <t xml:space="preserve">امنية جلال مصباح ابراهيم </t>
  </si>
  <si>
    <t>امنية احمد عبد المنعم علي</t>
  </si>
  <si>
    <t>رافت مصطفى حسين امام</t>
  </si>
  <si>
    <t xml:space="preserve">رحمه احمد محمد عبده علام </t>
  </si>
  <si>
    <t>رمضان طارق رمضان ابراهيم</t>
  </si>
  <si>
    <t>رانيا احمد محمود ابراهيم</t>
  </si>
  <si>
    <t>رانيا متولي ابو صالح</t>
  </si>
  <si>
    <t>ريهام احمد عثمان</t>
  </si>
  <si>
    <t>سعيد مصطفى حسين امام</t>
  </si>
  <si>
    <t xml:space="preserve">سهر سيد احمد محمد </t>
  </si>
  <si>
    <t>سمر حسني اسماعيل</t>
  </si>
  <si>
    <t xml:space="preserve">سارة انور جمعه حسن </t>
  </si>
  <si>
    <t>سارة ابراهيم فريد شاهين</t>
  </si>
  <si>
    <t>سوسن حسين محمد احمد</t>
  </si>
  <si>
    <t>سيد احمد مرزوق ابوزيد</t>
  </si>
  <si>
    <t xml:space="preserve">سيف احمد احمد سويلم </t>
  </si>
  <si>
    <t>شريف احمد سرحان</t>
  </si>
  <si>
    <t>شريف عصام ابراهيم محمد</t>
  </si>
  <si>
    <t>شيرين شريف حسن احمد خبيرى</t>
  </si>
  <si>
    <t>شيماء فاروق ابراهيم حافظ</t>
  </si>
  <si>
    <t>وائل مصطفى احمد خلوصي</t>
  </si>
  <si>
    <t>وليد احمد عبد العظيم احمد</t>
  </si>
  <si>
    <t xml:space="preserve">ياسمين احمد حلمى محمد </t>
  </si>
  <si>
    <t>ياسمين محمد ابوزيد عيسوي</t>
  </si>
  <si>
    <t>ياسمين محمد احمد علي</t>
  </si>
  <si>
    <t>ياسمين اسامة توفيق زكريا</t>
  </si>
  <si>
    <t>ياسر حامد ابراهيم علي مهير</t>
  </si>
  <si>
    <t>يمني اسامه احمد عوض</t>
  </si>
  <si>
    <t>يوستينا جوزيف امين يوسف</t>
  </si>
  <si>
    <t xml:space="preserve">زينب عبد الهادي صالح احمد </t>
  </si>
  <si>
    <t>زينب صلاح سبع سيد احمد</t>
  </si>
  <si>
    <t>مينا رمزى عبد السيد ابراهيم</t>
  </si>
  <si>
    <t>صبرى صبحى جرجس اسعد</t>
  </si>
  <si>
    <t xml:space="preserve">روان خالد ابو الفتوح احمد السيد </t>
  </si>
  <si>
    <t>نجوى عبد المقصود عبد العليم طه</t>
  </si>
  <si>
    <t>اميرة فوزي ربيع محمد</t>
  </si>
  <si>
    <t>اميرة سيد ابراهيم بسيونى</t>
  </si>
  <si>
    <t>اميرة جاد عبدالله يوسف</t>
  </si>
  <si>
    <t>اميرة احمد محمد جمال الدين</t>
  </si>
  <si>
    <t>سوريا المهندسين</t>
  </si>
  <si>
    <t>EG310003016250015659825000150</t>
  </si>
  <si>
    <t>EG620003017050821225290000120</t>
  </si>
  <si>
    <t>عدي الدقي</t>
  </si>
  <si>
    <t>المعادي</t>
  </si>
  <si>
    <t>0200</t>
  </si>
  <si>
    <t>EG170010022100000100054945927</t>
  </si>
  <si>
    <t>0603</t>
  </si>
  <si>
    <t>المعادي الرئيسي</t>
  </si>
  <si>
    <t>الحلمية الجديدة</t>
  </si>
  <si>
    <t>0171</t>
  </si>
  <si>
    <t>EG900003017150004170764010100</t>
  </si>
  <si>
    <t xml:space="preserve">الحلمية الجديدة </t>
  </si>
  <si>
    <t>EG220036000100011258180554965</t>
  </si>
  <si>
    <t>CHILLOUT</t>
  </si>
  <si>
    <t>ميدان لبنان</t>
  </si>
  <si>
    <t>EG380010000100000100054193623</t>
  </si>
  <si>
    <t>Nasr city Hassan El ma'moon</t>
  </si>
  <si>
    <t>المركز الأوليمبي بالمعادي</t>
  </si>
  <si>
    <t>EG300003003350014973207010160</t>
  </si>
  <si>
    <t>عباس العقاد مدينة نصر</t>
  </si>
  <si>
    <t>EG460010010900000100065548172</t>
  </si>
  <si>
    <t>النصر</t>
  </si>
  <si>
    <t>EG150003000230121252486000180</t>
  </si>
  <si>
    <t>0002</t>
  </si>
  <si>
    <t>EG220003009650016432530000120</t>
  </si>
  <si>
    <t>EG030003016350008842161010150</t>
  </si>
  <si>
    <t>0163</t>
  </si>
  <si>
    <t>SHERATON</t>
  </si>
  <si>
    <t>EG330010000400000100066424426</t>
  </si>
  <si>
    <t>EG240003010650021321062000150</t>
  </si>
  <si>
    <t>سنهور</t>
  </si>
  <si>
    <t>EG380009211311000214546101001</t>
  </si>
  <si>
    <t>2113</t>
  </si>
  <si>
    <t xml:space="preserve">صن سيتى مول النهضة </t>
  </si>
  <si>
    <t>EG840002079307930333000056769</t>
  </si>
  <si>
    <t>جامعة القاهرة</t>
  </si>
  <si>
    <t>EG190003016430120223759000130</t>
  </si>
  <si>
    <t>0164</t>
  </si>
  <si>
    <t>EG070003006630519047989000190</t>
  </si>
  <si>
    <t>EG840009211311000398725101015</t>
  </si>
  <si>
    <t>EG260059001500000100015879397</t>
  </si>
  <si>
    <t>0015</t>
  </si>
  <si>
    <t>EG040002013501350333000107924</t>
  </si>
  <si>
    <t>0135</t>
  </si>
  <si>
    <t>ام المصريين</t>
  </si>
  <si>
    <t>EG100003004450017970761000140</t>
  </si>
  <si>
    <t>مصدق</t>
  </si>
  <si>
    <t>EG250002013501350333000088728</t>
  </si>
  <si>
    <t>شبرا الخيمة</t>
  </si>
  <si>
    <t>الفرسان مدينة نصر أمام سيتي ستارز</t>
  </si>
  <si>
    <t>EG790038004000000400001482876</t>
  </si>
  <si>
    <t>امبابة</t>
  </si>
  <si>
    <t>EG620002013601360383000014238</t>
  </si>
  <si>
    <t>البنك الأهلي الكويتي</t>
  </si>
  <si>
    <t>المهندسين شارع سوريا</t>
  </si>
  <si>
    <t>EG190018000600000000013265871</t>
  </si>
  <si>
    <t>0301</t>
  </si>
  <si>
    <t>نزيه خليفه مصر الجديده</t>
  </si>
  <si>
    <t>EG510018000300000000010224750</t>
  </si>
  <si>
    <t>EG070020001600000016513192100</t>
  </si>
  <si>
    <t>التحرير</t>
  </si>
  <si>
    <t>EG140034002000000060010969299</t>
  </si>
  <si>
    <t>EG870003016130110458096010110</t>
  </si>
  <si>
    <t xml:space="preserve">التجاري وفا </t>
  </si>
  <si>
    <t>BCBIEGCXXXX</t>
  </si>
  <si>
    <t>ECBAEGCAXXX</t>
  </si>
  <si>
    <t>EG180003000750010046017000100</t>
  </si>
  <si>
    <t>0519</t>
  </si>
  <si>
    <t>0860</t>
  </si>
  <si>
    <t>EG430002086008600333000005747</t>
  </si>
  <si>
    <t>EG790002050705078031481640325</t>
  </si>
  <si>
    <t>1130070973522</t>
  </si>
  <si>
    <t>EG810037009208181130070973522</t>
  </si>
  <si>
    <t>EG580037002708181020605298535</t>
  </si>
  <si>
    <t>اية رأفت محمد نجيب</t>
  </si>
  <si>
    <t>الماظة</t>
  </si>
  <si>
    <t>5250333000039555</t>
  </si>
  <si>
    <t>EG080002052505250333000039555</t>
  </si>
  <si>
    <t>7800111000012680</t>
  </si>
  <si>
    <t>EG810002078007800111000012680</t>
  </si>
  <si>
    <t>حسن مأمون</t>
  </si>
  <si>
    <t>1130343806549</t>
  </si>
  <si>
    <t>EG070037005408181130343806549</t>
  </si>
  <si>
    <t>7520333000028031</t>
  </si>
  <si>
    <t>0752</t>
  </si>
  <si>
    <t>1002380573262</t>
  </si>
  <si>
    <t>الرئيسى بوسط البلد</t>
  </si>
  <si>
    <t>شارع الطيران</t>
  </si>
  <si>
    <t>1002182125188</t>
  </si>
  <si>
    <t>EG200037005308181002182125188</t>
  </si>
  <si>
    <t>0975000958886201014</t>
  </si>
  <si>
    <t>EG480003009750009588862010140</t>
  </si>
  <si>
    <t>1113011825285200019</t>
  </si>
  <si>
    <t>100038916728</t>
  </si>
  <si>
    <t>عمر بن الخطاب السبع عمارات</t>
  </si>
  <si>
    <t>11305382558</t>
  </si>
  <si>
    <t>1235001209908002023</t>
  </si>
  <si>
    <t>1010303430295</t>
  </si>
  <si>
    <t>يوستينا سعيد حبيب عبد المسيح</t>
  </si>
  <si>
    <t>01904190000673</t>
  </si>
  <si>
    <t>EG520004122000001904190000673</t>
  </si>
  <si>
    <t>Mashreq bank</t>
  </si>
  <si>
    <t>1130322618049</t>
  </si>
  <si>
    <t xml:space="preserve"> السلام  </t>
  </si>
  <si>
    <t xml:space="preserve"> مصر الجديده </t>
  </si>
  <si>
    <t>City Square</t>
  </si>
  <si>
    <t>نادي الشمس</t>
  </si>
  <si>
    <t>100028892448</t>
  </si>
  <si>
    <t>EG920010011800000100028892448</t>
  </si>
  <si>
    <t>100030891222</t>
  </si>
  <si>
    <t>0192</t>
  </si>
  <si>
    <t xml:space="preserve"> بنها</t>
  </si>
  <si>
    <t>3765000835385701017</t>
  </si>
  <si>
    <t>EG570003037650008353857010170</t>
  </si>
  <si>
    <t>0376</t>
  </si>
  <si>
    <t>1160333000060764</t>
  </si>
  <si>
    <t>قويسنا</t>
  </si>
  <si>
    <t>4153002135694600011</t>
  </si>
  <si>
    <t>EG580003041530021356946000110</t>
  </si>
  <si>
    <t>0415</t>
  </si>
  <si>
    <t>4153012136360300017</t>
  </si>
  <si>
    <t>EG680003041530121363603000170</t>
  </si>
  <si>
    <t>100015779116</t>
  </si>
  <si>
    <t>100014521731</t>
  </si>
  <si>
    <t>0325</t>
  </si>
  <si>
    <t>علياء محمد أبوزيد محمد</t>
  </si>
  <si>
    <t>الدقى</t>
  </si>
  <si>
    <t>0002515612100</t>
  </si>
  <si>
    <t>EG390020000200000002515612100</t>
  </si>
  <si>
    <t>1290323000050282</t>
  </si>
  <si>
    <t>Mahmoud Saad Ibrahim Mahmoud (المتوفى )</t>
  </si>
  <si>
    <t xml:space="preserve">علا علاء عيد حسين </t>
  </si>
  <si>
    <t>حدائق حلوان</t>
  </si>
  <si>
    <t>بنك مصر فرع مجمع صالات حسن مصطفى</t>
  </si>
  <si>
    <t>EG340002074607460383000006080</t>
  </si>
  <si>
    <t>100066424426</t>
  </si>
  <si>
    <t>100041518817</t>
  </si>
  <si>
    <t>9825001789093700000</t>
  </si>
  <si>
    <t>EG800003004750020539352000160</t>
  </si>
  <si>
    <t>4750020539352000016</t>
  </si>
  <si>
    <t xml:space="preserve"> ياسمين محمد أحمد علي جاد</t>
  </si>
  <si>
    <t>002</t>
  </si>
  <si>
    <t>EG970003000230121356479000110</t>
  </si>
  <si>
    <t>23012135647900011</t>
  </si>
  <si>
    <t>EG570003000650021364885000140</t>
  </si>
  <si>
    <t>El SHIRIFEIN</t>
  </si>
  <si>
    <t>65002136488500014</t>
  </si>
  <si>
    <t xml:space="preserve">فيصل </t>
  </si>
  <si>
    <t>EG750003018750021393650000140</t>
  </si>
  <si>
    <t>1875002139365000014</t>
  </si>
  <si>
    <t>EG360003011550008836074010150</t>
  </si>
  <si>
    <t xml:space="preserve">محطة حلوان </t>
  </si>
  <si>
    <t>1130187723878</t>
  </si>
  <si>
    <t>EG140003017350021238482000130</t>
  </si>
  <si>
    <t>EG690037020008181130187723878</t>
  </si>
  <si>
    <t>EG710059000600000100015779116</t>
  </si>
  <si>
    <t>External Cash</t>
  </si>
  <si>
    <t>External CASH</t>
  </si>
  <si>
    <t>EG670036000100011248180589124</t>
  </si>
  <si>
    <t>القاهرة الجديد</t>
  </si>
  <si>
    <t>0048</t>
  </si>
  <si>
    <t>2007</t>
  </si>
  <si>
    <t>0218</t>
  </si>
  <si>
    <t>0492</t>
  </si>
  <si>
    <t>0265</t>
  </si>
  <si>
    <t>0216</t>
  </si>
  <si>
    <t>0221</t>
  </si>
  <si>
    <t>5003</t>
  </si>
  <si>
    <t>0525</t>
  </si>
  <si>
    <t>EG080010011800000100060188585</t>
  </si>
  <si>
    <t>EG800003060350018137498000110</t>
  </si>
  <si>
    <t>EG380002057405740333000001886</t>
  </si>
  <si>
    <t>EG750003001450021387310000190</t>
  </si>
  <si>
    <t>0508</t>
  </si>
  <si>
    <t>0065</t>
  </si>
  <si>
    <t>NEW</t>
  </si>
  <si>
    <t>نوران محمد مصطفى كمال نجم</t>
  </si>
  <si>
    <t>كفر عبده</t>
  </si>
  <si>
    <t>EG610010000800000100045479433</t>
  </si>
  <si>
    <t>بولكلى</t>
  </si>
  <si>
    <t>EG340002041004100333000056240</t>
  </si>
  <si>
    <t>0410</t>
  </si>
  <si>
    <t>0704</t>
  </si>
  <si>
    <t>مصطفى كامل</t>
  </si>
  <si>
    <t>الاسماعيلية-فرع الجيش</t>
  </si>
  <si>
    <t>708</t>
  </si>
  <si>
    <t>1220</t>
  </si>
  <si>
    <t>0035</t>
  </si>
  <si>
    <t>هاجر جميل جمال عوض  العدل</t>
  </si>
  <si>
    <t>دمياط الجديدة</t>
  </si>
  <si>
    <t>EG780003043350005130839000130</t>
  </si>
  <si>
    <t>0433</t>
  </si>
  <si>
    <t>ميدان المحافظة</t>
  </si>
  <si>
    <t>EG950037008308181130666263582</t>
  </si>
  <si>
    <t>عبد الرحمن ابوبكر عبدالمقصود كشك</t>
  </si>
  <si>
    <t>محمد عبد الفتاح احمد الحنفى</t>
  </si>
  <si>
    <t>EG780002078407840245000019024</t>
  </si>
  <si>
    <t>0784</t>
  </si>
  <si>
    <t>نادية مجدي محمود شرف</t>
  </si>
  <si>
    <t>سمر عمر عبدالله الجنايني</t>
  </si>
  <si>
    <t>محمود عادل محمود</t>
  </si>
  <si>
    <t>الاورمان</t>
  </si>
  <si>
    <t>EG680002057405740333000041213</t>
  </si>
  <si>
    <t>لوران</t>
  </si>
  <si>
    <t>ميامى</t>
  </si>
  <si>
    <t>EG120037072408181130845426490</t>
  </si>
  <si>
    <t>EG930002075207520333000028031</t>
  </si>
  <si>
    <t>EG220003020330115490129000180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</si>
</sst>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u/>
      <sz val="10"/>
      <color rgb="FF1155CC"/>
      <name val="Roboto"/>
    </font>
    <font>
      <u/>
      <sz val="12"/>
      <color rgb="FF1155CC"/>
      <name val="&quot;Aptos Narrow&quot;, sans-serif"/>
    </font>
    <font>
      <u/>
      <sz val="11"/>
      <color rgb="FF1155CC"/>
      <name val="Calibri, sans-serif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0"/>
      <color theme="1"/>
      <name val="Calibri"/>
      <family val="2"/>
      <scheme val="minor"/>
    </font>
    <font>
      <sz val="11"/>
      <name val="Calibri"/>
      <family val="1"/>
    </font>
    <font>
      <sz val="10"/>
      <color rgb="FF434343"/>
      <name val="Roboto"/>
    </font>
    <font>
      <sz val="11"/>
      <color theme="1"/>
      <name val="Times New Roman"/>
      <family val="1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B050"/>
      </patternFill>
    </fill>
    <fill>
      <patternFill patternType="solid">
        <fgColor theme="3"/>
        <bgColor indexed="64"/>
      </patternFill>
    </fill>
    <fill>
      <patternFill patternType="solid">
        <fgColor theme="3"/>
        <bgColor rgb="FFB4C6E7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rgb="FF00B050"/>
      </patternFill>
    </fill>
    <fill>
      <patternFill patternType="solid">
        <fgColor rgb="FFFF43DB"/>
        <bgColor theme="4" tint="0.79998168889431442"/>
      </patternFill>
    </fill>
    <fill>
      <patternFill patternType="solid">
        <fgColor rgb="FFFF43DB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3939"/>
        <bgColor theme="4" tint="0.79998168889431442"/>
      </patternFill>
    </fill>
    <fill>
      <patternFill patternType="solid">
        <fgColor rgb="FFDC393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rgb="FFFFFF0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8EA9DB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</borders>
  <cellStyleXfs count="4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2" fillId="0" borderId="0"/>
  </cellStyleXfs>
  <cellXfs count="129">
    <xf numFmtId="0" fontId="0" fillId="0" borderId="0" xfId="0"/>
    <xf numFmtId="49" fontId="0" fillId="2" borderId="1" xfId="0" applyNumberFormat="1" applyFill="1" applyBorder="1" applyAlignment="1">
      <alignment horizontal="center" vertical="center"/>
    </xf>
    <xf numFmtId="0" fontId="0" fillId="2" borderId="2" xfId="0" applyFill="1" applyBorder="1"/>
    <xf numFmtId="0" fontId="0" fillId="0" borderId="1" xfId="0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left" vertical="center"/>
    </xf>
    <xf numFmtId="1" fontId="3" fillId="7" borderId="5" xfId="0" applyNumberFormat="1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4" xfId="0" applyFill="1" applyBorder="1"/>
    <xf numFmtId="0" fontId="0" fillId="2" borderId="4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2" borderId="4" xfId="0" applyFill="1" applyBorder="1"/>
    <xf numFmtId="49" fontId="0" fillId="2" borderId="4" xfId="0" applyNumberForma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/>
    <xf numFmtId="0" fontId="0" fillId="2" borderId="2" xfId="0" applyFill="1" applyBorder="1" applyAlignment="1">
      <alignment horizontal="left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0" fontId="0" fillId="4" borderId="1" xfId="0" applyFill="1" applyBorder="1"/>
    <xf numFmtId="49" fontId="0" fillId="3" borderId="4" xfId="0" applyNumberFormat="1" applyFill="1" applyBorder="1" applyAlignment="1">
      <alignment horizontal="left"/>
    </xf>
    <xf numFmtId="0" fontId="0" fillId="0" borderId="9" xfId="0" applyBorder="1"/>
    <xf numFmtId="0" fontId="0" fillId="3" borderId="4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9" fillId="5" borderId="4" xfId="0" applyFont="1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49" fontId="0" fillId="2" borderId="4" xfId="0" applyNumberFormat="1" applyFill="1" applyBorder="1"/>
    <xf numFmtId="0" fontId="0" fillId="0" borderId="4" xfId="0" applyBorder="1"/>
    <xf numFmtId="0" fontId="13" fillId="0" borderId="4" xfId="1" applyFont="1" applyBorder="1" applyAlignment="1">
      <alignment horizontal="left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/>
    <xf numFmtId="0" fontId="0" fillId="10" borderId="4" xfId="0" applyFill="1" applyBorder="1"/>
    <xf numFmtId="49" fontId="0" fillId="10" borderId="4" xfId="0" applyNumberFormat="1" applyFill="1" applyBorder="1"/>
    <xf numFmtId="49" fontId="0" fillId="10" borderId="4" xfId="0" applyNumberFormat="1" applyFill="1" applyBorder="1" applyAlignment="1">
      <alignment horizontal="left"/>
    </xf>
    <xf numFmtId="0" fontId="0" fillId="10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2" borderId="4" xfId="0" applyFill="1" applyBorder="1"/>
    <xf numFmtId="49" fontId="0" fillId="11" borderId="4" xfId="0" applyNumberFormat="1" applyFill="1" applyBorder="1" applyAlignment="1">
      <alignment horizontal="center" vertical="center"/>
    </xf>
    <xf numFmtId="0" fontId="0" fillId="11" borderId="4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49" fontId="0" fillId="8" borderId="4" xfId="0" applyNumberFormat="1" applyFill="1" applyBorder="1" applyAlignment="1">
      <alignment horizontal="center" vertical="center"/>
    </xf>
    <xf numFmtId="0" fontId="0" fillId="8" borderId="4" xfId="0" applyFill="1" applyBorder="1" applyAlignment="1">
      <alignment horizontal="center"/>
    </xf>
    <xf numFmtId="0" fontId="0" fillId="9" borderId="4" xfId="0" applyFill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49" fontId="14" fillId="0" borderId="4" xfId="0" applyNumberFormat="1" applyFont="1" applyBorder="1"/>
    <xf numFmtId="49" fontId="0" fillId="3" borderId="1" xfId="0" applyNumberFormat="1" applyFill="1" applyBorder="1" applyAlignment="1">
      <alignment horizontal="left"/>
    </xf>
    <xf numFmtId="0" fontId="0" fillId="13" borderId="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13" borderId="4" xfId="0" applyFill="1" applyBorder="1"/>
    <xf numFmtId="0" fontId="0" fillId="2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0" fillId="10" borderId="4" xfId="0" applyFill="1" applyBorder="1" applyAlignment="1">
      <alignment horizontal="right"/>
    </xf>
    <xf numFmtId="0" fontId="0" fillId="11" borderId="4" xfId="0" applyFill="1" applyBorder="1" applyAlignment="1">
      <alignment horizontal="left"/>
    </xf>
    <xf numFmtId="0" fontId="0" fillId="15" borderId="4" xfId="0" applyFill="1" applyBorder="1"/>
    <xf numFmtId="0" fontId="0" fillId="16" borderId="4" xfId="0" applyFill="1" applyBorder="1"/>
    <xf numFmtId="0" fontId="0" fillId="16" borderId="4" xfId="0" applyFill="1" applyBorder="1" applyAlignment="1">
      <alignment horizontal="center"/>
    </xf>
    <xf numFmtId="0" fontId="0" fillId="15" borderId="4" xfId="0" applyFill="1" applyBorder="1" applyAlignment="1">
      <alignment horizontal="center" vertical="center"/>
    </xf>
    <xf numFmtId="49" fontId="0" fillId="15" borderId="4" xfId="0" applyNumberFormat="1" applyFill="1" applyBorder="1" applyAlignment="1">
      <alignment horizontal="left"/>
    </xf>
    <xf numFmtId="49" fontId="0" fillId="16" borderId="1" xfId="0" applyNumberFormat="1" applyFill="1" applyBorder="1" applyAlignment="1">
      <alignment horizontal="left"/>
    </xf>
    <xf numFmtId="49" fontId="0" fillId="16" borderId="1" xfId="0" applyNumberFormat="1" applyFill="1" applyBorder="1"/>
    <xf numFmtId="0" fontId="0" fillId="15" borderId="4" xfId="0" applyFill="1" applyBorder="1" applyAlignment="1">
      <alignment horizontal="center"/>
    </xf>
    <xf numFmtId="0" fontId="13" fillId="16" borderId="1" xfId="0" applyFont="1" applyFill="1" applyBorder="1" applyAlignment="1">
      <alignment horizontal="left"/>
    </xf>
    <xf numFmtId="49" fontId="0" fillId="16" borderId="4" xfId="0" applyNumberFormat="1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9" borderId="4" xfId="0" applyFill="1" applyBorder="1"/>
    <xf numFmtId="0" fontId="0" fillId="18" borderId="4" xfId="0" applyFill="1" applyBorder="1"/>
    <xf numFmtId="49" fontId="0" fillId="18" borderId="4" xfId="0" applyNumberFormat="1" applyFill="1" applyBorder="1" applyAlignment="1">
      <alignment horizontal="left"/>
    </xf>
    <xf numFmtId="49" fontId="0" fillId="19" borderId="4" xfId="0" applyNumberFormat="1" applyFill="1" applyBorder="1" applyAlignment="1">
      <alignment horizontal="center" vertical="center"/>
    </xf>
    <xf numFmtId="49" fontId="0" fillId="3" borderId="4" xfId="0" applyNumberFormat="1" applyFill="1" applyBorder="1"/>
    <xf numFmtId="0" fontId="0" fillId="20" borderId="4" xfId="0" applyFill="1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/>
    </xf>
    <xf numFmtId="0" fontId="0" fillId="16" borderId="1" xfId="0" applyFill="1" applyBorder="1" applyAlignment="1">
      <alignment horizontal="left"/>
    </xf>
    <xf numFmtId="0" fontId="0" fillId="3" borderId="0" xfId="0" applyFill="1" applyAlignment="1">
      <alignment horizontal="center" vertical="center"/>
    </xf>
    <xf numFmtId="0" fontId="13" fillId="16" borderId="1" xfId="0" applyFont="1" applyFill="1" applyBorder="1" applyAlignment="1">
      <alignment vertical="center"/>
    </xf>
    <xf numFmtId="0" fontId="0" fillId="16" borderId="1" xfId="0" applyFill="1" applyBorder="1"/>
    <xf numFmtId="0" fontId="13" fillId="16" borderId="1" xfId="0" applyFont="1" applyFill="1" applyBorder="1" applyAlignment="1">
      <alignment horizontal="left" vertical="center"/>
    </xf>
    <xf numFmtId="0" fontId="0" fillId="3" borderId="0" xfId="0" applyFill="1"/>
    <xf numFmtId="49" fontId="0" fillId="3" borderId="0" xfId="0" applyNumberFormat="1" applyFill="1" applyAlignment="1">
      <alignment horizontal="left"/>
    </xf>
    <xf numFmtId="49" fontId="0" fillId="16" borderId="1" xfId="0" applyNumberFormat="1" applyFill="1" applyBorder="1" applyAlignment="1">
      <alignment horizontal="center"/>
    </xf>
    <xf numFmtId="0" fontId="15" fillId="16" borderId="1" xfId="0" applyFont="1" applyFill="1" applyBorder="1" applyAlignment="1">
      <alignment vertical="center"/>
    </xf>
    <xf numFmtId="0" fontId="15" fillId="16" borderId="1" xfId="0" applyFont="1" applyFill="1" applyBorder="1" applyAlignment="1">
      <alignment horizontal="left" vertical="center"/>
    </xf>
    <xf numFmtId="0" fontId="5" fillId="16" borderId="1" xfId="0" applyFont="1" applyFill="1" applyBorder="1"/>
    <xf numFmtId="49" fontId="0" fillId="2" borderId="1" xfId="0" applyNumberFormat="1" applyFill="1" applyBorder="1" applyAlignment="1">
      <alignment horizontal="center"/>
    </xf>
    <xf numFmtId="49" fontId="4" fillId="16" borderId="1" xfId="0" applyNumberFormat="1" applyFont="1" applyFill="1" applyBorder="1" applyAlignment="1">
      <alignment horizontal="center"/>
    </xf>
    <xf numFmtId="0" fontId="0" fillId="16" borderId="1" xfId="0" applyFill="1" applyBorder="1" applyAlignment="1">
      <alignment horizontal="left" vertical="center"/>
    </xf>
    <xf numFmtId="0" fontId="13" fillId="17" borderId="1" xfId="0" applyFont="1" applyFill="1" applyBorder="1" applyAlignment="1">
      <alignment horizontal="left"/>
    </xf>
    <xf numFmtId="0" fontId="16" fillId="16" borderId="1" xfId="0" applyFont="1" applyFill="1" applyBorder="1" applyAlignment="1">
      <alignment horizontal="left"/>
    </xf>
    <xf numFmtId="0" fontId="0" fillId="17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left"/>
    </xf>
    <xf numFmtId="49" fontId="13" fillId="16" borderId="1" xfId="0" applyNumberFormat="1" applyFont="1" applyFill="1" applyBorder="1" applyAlignment="1">
      <alignment horizontal="left" vertical="center"/>
    </xf>
    <xf numFmtId="49" fontId="0" fillId="17" borderId="1" xfId="0" applyNumberFormat="1" applyFill="1" applyBorder="1" applyAlignment="1">
      <alignment horizontal="left"/>
    </xf>
    <xf numFmtId="49" fontId="14" fillId="0" borderId="0" xfId="0" applyNumberFormat="1" applyFont="1"/>
    <xf numFmtId="49" fontId="13" fillId="16" borderId="1" xfId="0" applyNumberFormat="1" applyFont="1" applyFill="1" applyBorder="1" applyAlignment="1">
      <alignment vertical="center"/>
    </xf>
    <xf numFmtId="49" fontId="0" fillId="17" borderId="1" xfId="0" applyNumberFormat="1" applyFill="1" applyBorder="1"/>
    <xf numFmtId="49" fontId="13" fillId="16" borderId="1" xfId="0" applyNumberFormat="1" applyFont="1" applyFill="1" applyBorder="1" applyAlignment="1">
      <alignment horizontal="center"/>
    </xf>
    <xf numFmtId="0" fontId="13" fillId="16" borderId="1" xfId="0" applyFont="1" applyFill="1" applyBorder="1"/>
    <xf numFmtId="0" fontId="5" fillId="16" borderId="1" xfId="0" applyFont="1" applyFill="1" applyBorder="1" applyAlignment="1">
      <alignment horizontal="left"/>
    </xf>
    <xf numFmtId="49" fontId="0" fillId="21" borderId="4" xfId="0" applyNumberFormat="1" applyFill="1" applyBorder="1" applyAlignment="1">
      <alignment horizontal="left"/>
    </xf>
    <xf numFmtId="49" fontId="0" fillId="22" borderId="4" xfId="0" applyNumberFormat="1" applyFill="1" applyBorder="1" applyAlignment="1">
      <alignment horizontal="center" vertical="center"/>
    </xf>
    <xf numFmtId="0" fontId="0" fillId="22" borderId="4" xfId="0" applyFill="1" applyBorder="1"/>
    <xf numFmtId="0" fontId="0" fillId="21" borderId="4" xfId="0" applyFill="1" applyBorder="1"/>
    <xf numFmtId="0" fontId="0" fillId="22" borderId="1" xfId="0" applyFill="1" applyBorder="1" applyAlignment="1">
      <alignment horizontal="left"/>
    </xf>
    <xf numFmtId="49" fontId="0" fillId="22" borderId="1" xfId="0" applyNumberFormat="1" applyFill="1" applyBorder="1"/>
    <xf numFmtId="49" fontId="13" fillId="22" borderId="1" xfId="0" applyNumberFormat="1" applyFont="1" applyFill="1" applyBorder="1" applyAlignment="1">
      <alignment horizontal="left" vertical="center"/>
    </xf>
    <xf numFmtId="49" fontId="0" fillId="22" borderId="1" xfId="0" applyNumberFormat="1" applyFill="1" applyBorder="1" applyAlignment="1">
      <alignment horizontal="center"/>
    </xf>
    <xf numFmtId="0" fontId="0" fillId="21" borderId="4" xfId="0" applyFill="1" applyBorder="1" applyAlignment="1">
      <alignment horizontal="right"/>
    </xf>
    <xf numFmtId="0" fontId="0" fillId="21" borderId="4" xfId="0" applyFill="1" applyBorder="1" applyAlignment="1">
      <alignment horizontal="left"/>
    </xf>
    <xf numFmtId="0" fontId="0" fillId="23" borderId="4" xfId="0" applyFill="1" applyBorder="1"/>
    <xf numFmtId="49" fontId="0" fillId="23" borderId="1" xfId="0" applyNumberFormat="1" applyFill="1" applyBorder="1"/>
    <xf numFmtId="49" fontId="13" fillId="23" borderId="1" xfId="0" applyNumberFormat="1" applyFont="1" applyFill="1" applyBorder="1"/>
    <xf numFmtId="0" fontId="0" fillId="24" borderId="4" xfId="0" applyFill="1" applyBorder="1" applyAlignment="1">
      <alignment horizontal="left"/>
    </xf>
    <xf numFmtId="0" fontId="0" fillId="23" borderId="1" xfId="0" applyFill="1" applyBorder="1"/>
    <xf numFmtId="0" fontId="0" fillId="25" borderId="4" xfId="0" applyFill="1" applyBorder="1" applyAlignment="1">
      <alignment horizontal="right"/>
    </xf>
  </cellXfs>
  <cellStyles count="4">
    <cellStyle name="Hyperlink 2" xfId="2" xr:uid="{0B351037-6013-4202-B132-4599D9ACF253}"/>
    <cellStyle name="Normal" xfId="0" builtinId="0"/>
    <cellStyle name="Normal 2" xfId="1" xr:uid="{19491D9D-3881-47C1-B2E7-332439EF92B6}"/>
    <cellStyle name="Normal 2 2" xfId="3" xr:uid="{724319E1-4AF3-45BE-8A8D-8AB991C87439}"/>
  </cellStyles>
  <dxfs count="8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B050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B050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B050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B050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B050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color rgb="FF000000"/>
      </font>
      <fill>
        <patternFill patternType="solid">
          <fgColor rgb="FF00B050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B4C6E7"/>
          <bgColor theme="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43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804503-F038-4E73-AAC1-E8B2E638B498}" name="Table1" displayName="Table1" ref="A1:AG1007" totalsRowCount="1" headerRowDxfId="84">
  <autoFilter ref="A1:AG1006" xr:uid="{A6804503-F038-4E73-AAC1-E8B2E638B498}"/>
  <sortState xmlns:xlrd2="http://schemas.microsoft.com/office/spreadsheetml/2017/richdata2" ref="A2:AG1006">
    <sortCondition ref="A1:A1006"/>
  </sortState>
  <tableColumns count="33">
    <tableColumn id="1" xr3:uid="{ED26949E-5A34-494C-9AEF-81D12EFEC670}" name="SERIAL" dataDxfId="83" totalsRowDxfId="82"/>
    <tableColumn id="2" xr3:uid="{94C76D8F-2340-4D83-B0ED-FC2083FF6E5E}" name="ROOM EST1" dataDxfId="81" totalsRowDxfId="80"/>
    <tableColumn id="3" xr3:uid="{EE76B253-5352-4B06-A092-D69855FBD539}" name="ROOM EST2" dataDxfId="79" totalsRowDxfId="78"/>
    <tableColumn id="4" xr3:uid="{87C714E4-4FBD-4990-B32D-6794E3E0988D}" name="Division" dataDxfId="77" totalsRowDxfId="76"/>
    <tableColumn id="5" xr3:uid="{6726B3A1-56DB-4A80-855F-0CD89E0259B1}" name="Full English name (at least 4 names)" dataDxfId="75" totalsRowDxfId="74"/>
    <tableColumn id="6" xr3:uid="{F2F1408F-1473-4A2D-96D0-F53B18157850}" name="Arabic Name" dataDxfId="73" totalsRowDxfId="72"/>
    <tableColumn id="7" xr3:uid="{CFA70834-5F7E-4591-9F41-273929F4551A}" name="Email" dataDxfId="71" totalsRowDxfId="70"/>
    <tableColumn id="8" xr3:uid="{DB00D4CD-0B7B-464E-B8F4-526A492C8240}" name="Mobile number" dataDxfId="69" totalsRowDxfId="68"/>
    <tableColumn id="9" xr3:uid="{C01C5120-8EA8-4F67-8CDE-D61EC95E22B9}" name="Employer (School/Organization name)" dataDxfId="67" totalsRowDxfId="66"/>
    <tableColumn id="10" xr3:uid="{69E4D69D-DB9B-4B15-B213-310B3DC46369}" name="Column7" dataDxfId="65" totalsRowDxfId="64"/>
    <tableColumn id="11" xr3:uid="{D3B97CDE-4671-47A3-AF49-A9555058A662}" name="Column8" dataDxfId="63" totalsRowDxfId="62"/>
    <tableColumn id="12" xr3:uid="{E25A7191-8FB7-4FC8-937B-A9BA371E28BA}" name="Insurance number (الرقم التأمينى)" dataDxfId="61" totalsRowDxfId="60"/>
    <tableColumn id="13" xr3:uid="{F9635C17-93FE-49DE-9485-D4B6772CBC13}" name="Institution tax number (الرقم الضريبي للمنشأة أو المدرسة)" dataDxfId="59" totalsRowDxfId="58"/>
    <tableColumn id="14" xr3:uid="{5B8A8F4F-17CE-42FA-9190-583AF9F3689B}" name="National ID number" dataDxfId="57" totalsRowDxfId="56"/>
    <tableColumn id="15" xr3:uid="{446CDF3F-852F-41EE-A95C-24BF713708AE}" name="National ID picture" dataDxfId="55" totalsRowDxfId="54"/>
    <tableColumn id="16" xr3:uid="{0AC105A1-326B-46D3-BE2D-6BBFBC18DCDC}" name="Personal Photo" dataDxfId="53" totalsRowDxfId="52"/>
    <tableColumn id="17" xr3:uid="{40E6423E-1A3F-453D-BEC6-990B9D3BDA37}" name="Preferred proctoring city" dataDxfId="51" totalsRowDxfId="50"/>
    <tableColumn id="18" xr3:uid="{E026BFED-0FCB-4020-9D0A-1F7A80FC514A}" name="Preferred test center" dataDxfId="49" totalsRowDxfId="48"/>
    <tableColumn id="19" xr3:uid="{0FC41B07-58FE-4E82-A6BB-CF4D1A17DAEE}" name="Full name (as per bank account)" dataDxfId="47" totalsRowDxfId="46"/>
    <tableColumn id="20" xr3:uid="{3CABDBAB-771F-47AD-9115-B6E3B3ADC166}" name="Name of bank" dataDxfId="45" totalsRowDxfId="44"/>
    <tableColumn id="21" xr3:uid="{192E39CF-67FE-40BC-A284-CEC49EE03046}" name="branch name" dataDxfId="43" totalsRowDxfId="42"/>
    <tableColumn id="22" xr3:uid="{D2CE4631-D1B2-4609-8428-7C98003920C1}" name="Account number" dataDxfId="41" totalsRowDxfId="40"/>
    <tableColumn id="23" xr3:uid="{C63CE086-93E1-4778-A0F5-C14CD1FE8712}" name="IBAN number (please contact your bank to get it)" dataDxfId="39" totalsRowDxfId="38"/>
    <tableColumn id="24" xr3:uid="{8896A3E0-10BF-46BC-84E1-8614942016B7}" name="Role" dataDxfId="37" totalsRowDxfId="36"/>
    <tableColumn id="25" xr3:uid="{9E4A7753-2C36-4BA2-A995-BF46EF05D7D3}" name="Type" dataDxfId="35" totalsRowDxfId="34"/>
    <tableColumn id="26" xr3:uid="{5DFEC8FB-EB82-49EE-9C5D-E7AD319CB619}" name="Governorate" dataDxfId="33" totalsRowDxfId="32"/>
    <tableColumn id="27" xr3:uid="{D2F8E161-E32C-40D5-98BE-FF948079F1A4}" name="Address In Arabic" dataDxfId="31" totalsRowDxfId="30"/>
    <tableColumn id="28" xr3:uid="{7BE27308-D8BB-405F-AE83-A2C76E0D4768}" name="Building" dataDxfId="29" totalsRowDxfId="28"/>
    <tableColumn id="29" xr3:uid="{E84FD356-1AFC-4073-9834-66842F2669F3}" name="Location" dataDxfId="27" totalsRowDxfId="26"/>
    <tableColumn id="30" xr3:uid="{B89C686A-F158-4EAC-9FCB-9815AC088DD4}" name="bank divid" dataDxfId="25" totalsRowDxfId="24">
      <calculatedColumnFormula>IF(ISNUMBER(SEARCH("EXTERNAL CASH",T2)),
   "EXTERNAL CASH",
   IF(ISNUMBER(SEARCH("شيك من القاهرة",T2)),
      "FUE",
      IF(ISNUMBER(SEARCH("INTERNAL CASH",T2)),
         "INTRNAL CASH",
         IF(Y2="IP",
            "Internal Transfer",
            IF(ISNUMBER(SEARCH("National Bank of Egypt",T2)),
               "External Transfer-NBE",
               "External Transfer-Other banks"
            )
         )
      )
   )
)</calculatedColumnFormula>
    </tableColumn>
    <tableColumn id="31" xr3:uid="{76758D31-0130-4BFD-ACB7-551608F115EA}" name="BANK CODE" dataDxfId="23" totalsRowDxfId="22">
      <calculatedColumnFormula>VLOOKUP(Table1[[#This Row],[Name of bank]],'اكواد البنوك'!$A$2:$B$34,2,0)</calculatedColumnFormula>
    </tableColumn>
    <tableColumn id="32" xr3:uid="{F40A01AD-7C4D-45A0-A091-35DFE0ADDCBC}" name="BRANCH CODE- Emp code" dataDxfId="21" totalsRowDxfId="20"/>
    <tableColumn id="33" xr3:uid="{36497566-00B0-4715-B670-28F62F8639C7}" name="New/OLD" dataDxfId="19" totalsRow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open?id=1ZkRnip2S8U3z97TwNRVOCxtK61JtgBC1" TargetMode="External"/><Relationship Id="rId299" Type="http://schemas.openxmlformats.org/officeDocument/2006/relationships/hyperlink" Target="https://g.page/Future-university-egypt-FUE?share" TargetMode="External"/><Relationship Id="rId21" Type="http://schemas.openxmlformats.org/officeDocument/2006/relationships/hyperlink" Target="https://drive.google.com/open?id=1M-e040-vSFQXUDIZZOvUlN_J_0td59Cv" TargetMode="External"/><Relationship Id="rId63" Type="http://schemas.openxmlformats.org/officeDocument/2006/relationships/hyperlink" Target="https://goo.gl/maps/QpH7dmNahszbVCFM6" TargetMode="External"/><Relationship Id="rId159" Type="http://schemas.openxmlformats.org/officeDocument/2006/relationships/hyperlink" Target="https://drive.google.com/open?id=13J8Tuefp7GxEPYsRV4srRkEMAorEjKTL" TargetMode="External"/><Relationship Id="rId324" Type="http://schemas.openxmlformats.org/officeDocument/2006/relationships/hyperlink" Target="https://g.page/Future-university-egypt-FUE?share" TargetMode="External"/><Relationship Id="rId366" Type="http://schemas.openxmlformats.org/officeDocument/2006/relationships/hyperlink" Target="https://drive.google.com/open?id=1_U-waEmA26Q2DP_0bWYGuJ_9VX1zPNAo" TargetMode="External"/><Relationship Id="rId531" Type="http://schemas.openxmlformats.org/officeDocument/2006/relationships/hyperlink" Target="https://drive.google.com/open?id=16WkcwHfn7AyOY-kpFyWDKNlsJWzXq0cX" TargetMode="External"/><Relationship Id="rId573" Type="http://schemas.openxmlformats.org/officeDocument/2006/relationships/hyperlink" Target="mailto:abdelrahman.hosny@fue.edu.eg" TargetMode="External"/><Relationship Id="rId170" Type="http://schemas.openxmlformats.org/officeDocument/2006/relationships/hyperlink" Target="https://goo.gl/maps/AzRPq8f8ySLrbTXj8" TargetMode="External"/><Relationship Id="rId226" Type="http://schemas.openxmlformats.org/officeDocument/2006/relationships/hyperlink" Target="https://drive.google.com/open?id=1n5xEuhUaIFjTGfjQRp5WyknXwMOWxYM8" TargetMode="External"/><Relationship Id="rId433" Type="http://schemas.openxmlformats.org/officeDocument/2006/relationships/hyperlink" Target="https://drive.google.com/open?id=1kr-LB9dbOyodwKV2EZAXmjnGAuXwfZR9" TargetMode="External"/><Relationship Id="rId268" Type="http://schemas.openxmlformats.org/officeDocument/2006/relationships/hyperlink" Target="https://g.page/Future-university-egypt-FUE?share" TargetMode="External"/><Relationship Id="rId475" Type="http://schemas.openxmlformats.org/officeDocument/2006/relationships/hyperlink" Target="https://drive.google.com/open?id=1L19P5p23qvyJc_MuD3zYDWMUm_f91au8" TargetMode="External"/><Relationship Id="rId32" Type="http://schemas.openxmlformats.org/officeDocument/2006/relationships/hyperlink" Target="https://drive.google.com/open?id=1BRJ7i7FvuvnJSGUoUbmXc89412zCtdgK" TargetMode="External"/><Relationship Id="rId74" Type="http://schemas.openxmlformats.org/officeDocument/2006/relationships/hyperlink" Target="mailto:Makamel@horus.edu.eg" TargetMode="External"/><Relationship Id="rId128" Type="http://schemas.openxmlformats.org/officeDocument/2006/relationships/hyperlink" Target="https://drive.google.com/open?id=1U69zbyBCxcLMUG7Lqzzk_wtaooO0DunJ" TargetMode="External"/><Relationship Id="rId335" Type="http://schemas.openxmlformats.org/officeDocument/2006/relationships/hyperlink" Target="https://g.page/Future-university-egypt-FUE?share" TargetMode="External"/><Relationship Id="rId377" Type="http://schemas.openxmlformats.org/officeDocument/2006/relationships/hyperlink" Target="https://drive.google.com/open?id=1WuME4GudikBH1inLmMJ4it0uzg6wlJTc" TargetMode="External"/><Relationship Id="rId500" Type="http://schemas.openxmlformats.org/officeDocument/2006/relationships/hyperlink" Target="https://drive.google.com/open?id=16Yoa_IKfQJsCb-VC781tXkBFFbFBLivR" TargetMode="External"/><Relationship Id="rId542" Type="http://schemas.openxmlformats.org/officeDocument/2006/relationships/hyperlink" Target="https://drive.google.com/open?id=1haQPEg9TqlgSR-ptTsEtRuLgdHi3gUpg" TargetMode="External"/><Relationship Id="rId584" Type="http://schemas.openxmlformats.org/officeDocument/2006/relationships/hyperlink" Target="https://drive.google.com/open?id=1lnuOkqNa98C5B8Iyp6ri2Z8XvZINhnsd" TargetMode="External"/><Relationship Id="rId5" Type="http://schemas.openxmlformats.org/officeDocument/2006/relationships/hyperlink" Target="https://drive.google.com/open?id=1-4UxIfcpN7xL73cSsDohroNrFg6S7hQa" TargetMode="External"/><Relationship Id="rId181" Type="http://schemas.openxmlformats.org/officeDocument/2006/relationships/hyperlink" Target="https://goo.gl/maps/AzRPq8f8ySLrbTXj8" TargetMode="External"/><Relationship Id="rId237" Type="http://schemas.openxmlformats.org/officeDocument/2006/relationships/hyperlink" Target="https://drive.google.com/open?id=17fcEejQ3X7wPUNUa5clQVKL5KGs-vXB2" TargetMode="External"/><Relationship Id="rId402" Type="http://schemas.openxmlformats.org/officeDocument/2006/relationships/hyperlink" Target="https://drive.google.com/open?id=1m7l2HYlFHIf0pSZ4L05kdlkCEZPazA7s" TargetMode="External"/><Relationship Id="rId279" Type="http://schemas.openxmlformats.org/officeDocument/2006/relationships/hyperlink" Target="https://g.page/Future-university-egypt-FUE?share" TargetMode="External"/><Relationship Id="rId444" Type="http://schemas.openxmlformats.org/officeDocument/2006/relationships/hyperlink" Target="https://drive.google.com/open?id=1LS6aQ0gZm-NLU93RD33tCYHtJBZTemD9" TargetMode="External"/><Relationship Id="rId486" Type="http://schemas.openxmlformats.org/officeDocument/2006/relationships/hyperlink" Target="https://drive.google.com/open?id=1MiHFX5otQRwjxZkuC8IDdKq0087pgL7Y" TargetMode="External"/><Relationship Id="rId43" Type="http://schemas.openxmlformats.org/officeDocument/2006/relationships/hyperlink" Target="https://drive.google.com/open?id=1wzT-oDmHJtGV7JqpNeEczJ5sMcaQJeMh" TargetMode="External"/><Relationship Id="rId139" Type="http://schemas.openxmlformats.org/officeDocument/2006/relationships/hyperlink" Target="https://drive.google.com/open?id=18l84Azr7XxfS-OLhuYV6Oidr4AkAe12V" TargetMode="External"/><Relationship Id="rId290" Type="http://schemas.openxmlformats.org/officeDocument/2006/relationships/hyperlink" Target="https://g.page/Future-university-egypt-FUE?share" TargetMode="External"/><Relationship Id="rId304" Type="http://schemas.openxmlformats.org/officeDocument/2006/relationships/hyperlink" Target="https://g.page/Future-university-egypt-FUE?share" TargetMode="External"/><Relationship Id="rId346" Type="http://schemas.openxmlformats.org/officeDocument/2006/relationships/hyperlink" Target="https://drive.google.com/open?id=1fALsEhtv281F8DrPzNb9GJ-DcPushQA4" TargetMode="External"/><Relationship Id="rId388" Type="http://schemas.openxmlformats.org/officeDocument/2006/relationships/hyperlink" Target="https://drive.google.com/open?id=1-2zstfDFfAopdIxsfesGOj0h7ppGDbsI" TargetMode="External"/><Relationship Id="rId511" Type="http://schemas.openxmlformats.org/officeDocument/2006/relationships/hyperlink" Target="https://drive.google.com/open?id=1C3PRNIjIDMS1NSp9XjnuzMa5x96h2YTP" TargetMode="External"/><Relationship Id="rId553" Type="http://schemas.openxmlformats.org/officeDocument/2006/relationships/hyperlink" Target="https://drive.google.com/open?id=1GaMsEmy2wGDKbJJD9rjZkZxhQtp3euU6" TargetMode="External"/><Relationship Id="rId85" Type="http://schemas.openxmlformats.org/officeDocument/2006/relationships/hyperlink" Target="https://drive.google.com/open?id=19tSio-dUNC6OReH3JvcJOsLw-0IBeY21" TargetMode="External"/><Relationship Id="rId150" Type="http://schemas.openxmlformats.org/officeDocument/2006/relationships/hyperlink" Target="https://drive.google.com/open?id=1lBOPNtEitideEj8cwTssYmaelt9SCatt" TargetMode="External"/><Relationship Id="rId192" Type="http://schemas.openxmlformats.org/officeDocument/2006/relationships/hyperlink" Target="https://goo.gl/maps/AzRPq8f8ySLrbTXj8" TargetMode="External"/><Relationship Id="rId206" Type="http://schemas.openxmlformats.org/officeDocument/2006/relationships/hyperlink" Target="https://drive.google.com/open?id=1x9ByWQ9bx36XTxw9PR8RPKD00tdwDmID" TargetMode="External"/><Relationship Id="rId413" Type="http://schemas.openxmlformats.org/officeDocument/2006/relationships/hyperlink" Target="https://drive.google.com/open?id=136XZqwka1giOUowcNebFTZ-UKHn2bBMC" TargetMode="External"/><Relationship Id="rId248" Type="http://schemas.openxmlformats.org/officeDocument/2006/relationships/hyperlink" Target="https://drive.google.com/open?id=1tyzAhFzEuGoBQ1khW1Bc7007CGqHbLLn" TargetMode="External"/><Relationship Id="rId455" Type="http://schemas.openxmlformats.org/officeDocument/2006/relationships/hyperlink" Target="https://drive.google.com/open?id=1xgDYVoOv7xz3j7iP5Kqh-WWnifg9mDi3" TargetMode="External"/><Relationship Id="rId497" Type="http://schemas.openxmlformats.org/officeDocument/2006/relationships/hyperlink" Target="https://drive.google.com/open?id=10iXuR5Ll_8XYsqbjIGcQ5k8VpYdh14SH" TargetMode="External"/><Relationship Id="rId12" Type="http://schemas.openxmlformats.org/officeDocument/2006/relationships/hyperlink" Target="https://drive.google.com/open?id=1GAI6FJw0miaHfKyhVGLRd5anmWXer5E_" TargetMode="External"/><Relationship Id="rId108" Type="http://schemas.openxmlformats.org/officeDocument/2006/relationships/hyperlink" Target="https://drive.google.com/open?id=1P7Tj-IpiNFAwG4SabeF8_cPDCml-W0Br" TargetMode="External"/><Relationship Id="rId315" Type="http://schemas.openxmlformats.org/officeDocument/2006/relationships/hyperlink" Target="https://g.page/Future-university-egypt-FUE?share" TargetMode="External"/><Relationship Id="rId357" Type="http://schemas.openxmlformats.org/officeDocument/2006/relationships/hyperlink" Target="https://drive.google.com/open?id=1kCcOZnqydrpbF-0Kzs0uoAtbf5EmmU8H" TargetMode="External"/><Relationship Id="rId522" Type="http://schemas.openxmlformats.org/officeDocument/2006/relationships/hyperlink" Target="https://drive.google.com/open?id=1LzyrGR9abnSRgAtzS_08vQPGrawrkb7W" TargetMode="External"/><Relationship Id="rId54" Type="http://schemas.openxmlformats.org/officeDocument/2006/relationships/hyperlink" Target="https://drive.google.com/open?id=15CpvBJw-6wjfv8GQFBhleIVASZUiRNNF" TargetMode="External"/><Relationship Id="rId96" Type="http://schemas.openxmlformats.org/officeDocument/2006/relationships/hyperlink" Target="https://drive.google.com/open?id=1PKuDwjer_OoScaiV0FF5q8FzbZ_TvJqc" TargetMode="External"/><Relationship Id="rId161" Type="http://schemas.openxmlformats.org/officeDocument/2006/relationships/hyperlink" Target="https://drive.google.com/open?id=1kU0M-n81sN2ApOoS6ZFlDrZFEmrq8YRN" TargetMode="External"/><Relationship Id="rId217" Type="http://schemas.openxmlformats.org/officeDocument/2006/relationships/hyperlink" Target="https://drive.google.com/open?id=1TDGoc6em2pMcjhtUSHCq_Y2t36ZeCJZ7" TargetMode="External"/><Relationship Id="rId399" Type="http://schemas.openxmlformats.org/officeDocument/2006/relationships/hyperlink" Target="https://drive.google.com/open?id=1R-qbW2KXOWFKA6VWdPmuN0PBnCbSwoMH" TargetMode="External"/><Relationship Id="rId564" Type="http://schemas.openxmlformats.org/officeDocument/2006/relationships/hyperlink" Target="https://drive.google.com/open?id=1aydOhqmofeB4mSICvyREqU6zb7equ74d" TargetMode="External"/><Relationship Id="rId259" Type="http://schemas.openxmlformats.org/officeDocument/2006/relationships/hyperlink" Target="https://g.page/Future-university-egypt-FUE?share" TargetMode="External"/><Relationship Id="rId424" Type="http://schemas.openxmlformats.org/officeDocument/2006/relationships/hyperlink" Target="https://drive.google.com/open?id=1QqGCFEIpk0Vl_ikSmeaKyr-mvIVxioBf" TargetMode="External"/><Relationship Id="rId466" Type="http://schemas.openxmlformats.org/officeDocument/2006/relationships/hyperlink" Target="https://drive.google.com/open?id=12Klj-qfjlZBo268-CLXx811eopoXL0v8" TargetMode="External"/><Relationship Id="rId23" Type="http://schemas.openxmlformats.org/officeDocument/2006/relationships/hyperlink" Target="https://drive.google.com/open?id=1PQuILhyDS1G8l521gT7fx1y6cuAHn0so" TargetMode="External"/><Relationship Id="rId119" Type="http://schemas.openxmlformats.org/officeDocument/2006/relationships/hyperlink" Target="https://drive.google.com/open?id=1atutEjaUsjqHivMxE4GxtDY9m8geUCKL" TargetMode="External"/><Relationship Id="rId270" Type="http://schemas.openxmlformats.org/officeDocument/2006/relationships/hyperlink" Target="https://g.page/Future-university-egypt-FUE?share" TargetMode="External"/><Relationship Id="rId326" Type="http://schemas.openxmlformats.org/officeDocument/2006/relationships/hyperlink" Target="https://g.page/Future-university-egypt-FUE?share" TargetMode="External"/><Relationship Id="rId533" Type="http://schemas.openxmlformats.org/officeDocument/2006/relationships/hyperlink" Target="https://drive.google.com/open?id=1FCx8XKQN3GsVUG1KYFGqeZQxJB0tmjZe" TargetMode="External"/><Relationship Id="rId65" Type="http://schemas.openxmlformats.org/officeDocument/2006/relationships/hyperlink" Target="mailto:kmohamed@horus.edu.eg" TargetMode="External"/><Relationship Id="rId130" Type="http://schemas.openxmlformats.org/officeDocument/2006/relationships/hyperlink" Target="https://drive.google.com/open?id=11dIT4bJTYdt0K_96jBDb0V0OnFyWvV9Y" TargetMode="External"/><Relationship Id="rId368" Type="http://schemas.openxmlformats.org/officeDocument/2006/relationships/hyperlink" Target="https://drive.google.com/open?id=15-2jh_BHeiy6cIIyQFyH-BBuRHvR0NBf" TargetMode="External"/><Relationship Id="rId575" Type="http://schemas.openxmlformats.org/officeDocument/2006/relationships/hyperlink" Target="https://drive.google.com/open?id=1GHsPY107E6bD6k6g3Tm1hfm1ZHgYHc7h" TargetMode="External"/><Relationship Id="rId172" Type="http://schemas.openxmlformats.org/officeDocument/2006/relationships/hyperlink" Target="https://goo.gl/maps/AzRPq8f8ySLrbTXj8" TargetMode="External"/><Relationship Id="rId228" Type="http://schemas.openxmlformats.org/officeDocument/2006/relationships/hyperlink" Target="https://drive.google.com/open?id=1sHXi73gtBw4NHJlCbdcfZkP476svvio0" TargetMode="External"/><Relationship Id="rId435" Type="http://schemas.openxmlformats.org/officeDocument/2006/relationships/hyperlink" Target="https://drive.google.com/open?id=1V12La-UyzByoNkrkWKa36rB8469drsRj" TargetMode="External"/><Relationship Id="rId477" Type="http://schemas.openxmlformats.org/officeDocument/2006/relationships/hyperlink" Target="https://drive.google.com/open?id=1VgS_-aiVSRAUL5eosfTE3WtBMlboHTL5" TargetMode="External"/><Relationship Id="rId281" Type="http://schemas.openxmlformats.org/officeDocument/2006/relationships/hyperlink" Target="https://g.page/Future-university-egypt-FUE?share" TargetMode="External"/><Relationship Id="rId337" Type="http://schemas.openxmlformats.org/officeDocument/2006/relationships/hyperlink" Target="https://g.page/Future-university-egypt-FUE?share" TargetMode="External"/><Relationship Id="rId502" Type="http://schemas.openxmlformats.org/officeDocument/2006/relationships/hyperlink" Target="https://drive.google.com/open?id=14OMcbjSZOTzZENdfewf02sH91HoGCxZ6" TargetMode="External"/><Relationship Id="rId34" Type="http://schemas.openxmlformats.org/officeDocument/2006/relationships/hyperlink" Target="https://drive.google.com/open?id=1ySTQPBVQqpOXDqw4xvIbT_QJX2IT72wl" TargetMode="External"/><Relationship Id="rId76" Type="http://schemas.openxmlformats.org/officeDocument/2006/relationships/hyperlink" Target="mailto:yeltawhy@horus.edu.eg" TargetMode="External"/><Relationship Id="rId141" Type="http://schemas.openxmlformats.org/officeDocument/2006/relationships/hyperlink" Target="https://drive.google.com/open?id=1odX1dgbk41lX9UHrShQ5nxFb3nTEJRM5" TargetMode="External"/><Relationship Id="rId379" Type="http://schemas.openxmlformats.org/officeDocument/2006/relationships/hyperlink" Target="https://drive.google.com/open?id=1laKm4AzNsy3KgPuN1k4B3GVUX7IptNol" TargetMode="External"/><Relationship Id="rId544" Type="http://schemas.openxmlformats.org/officeDocument/2006/relationships/hyperlink" Target="https://drive.google.com/open?id=1k_Quavrnz4sGVEb2r4yBI-Pt5njcSg10" TargetMode="External"/><Relationship Id="rId586" Type="http://schemas.openxmlformats.org/officeDocument/2006/relationships/hyperlink" Target="https://g.page/Future-university-egypt-FUE?share" TargetMode="External"/><Relationship Id="rId7" Type="http://schemas.openxmlformats.org/officeDocument/2006/relationships/hyperlink" Target="https://drive.google.com/open?id=17EO8H8vBESVoFRchv3oGeG_EcAs9vHjd" TargetMode="External"/><Relationship Id="rId183" Type="http://schemas.openxmlformats.org/officeDocument/2006/relationships/hyperlink" Target="https://goo.gl/maps/AzRPq8f8ySLrbTXj8" TargetMode="External"/><Relationship Id="rId239" Type="http://schemas.openxmlformats.org/officeDocument/2006/relationships/hyperlink" Target="https://drive.google.com/open?id=1terTVEmqg3PmKaMyOCQ_oWW6_wDchkNU" TargetMode="External"/><Relationship Id="rId390" Type="http://schemas.openxmlformats.org/officeDocument/2006/relationships/hyperlink" Target="https://drive.google.com/open?id=1GDXL9dRQzcRS_MYt9MhgL6w7g2B4lNw7" TargetMode="External"/><Relationship Id="rId404" Type="http://schemas.openxmlformats.org/officeDocument/2006/relationships/hyperlink" Target="https://drive.google.com/open?id=1nnwVxY3OsMoyIEFzTRmKUrJsVw9ecOan" TargetMode="External"/><Relationship Id="rId446" Type="http://schemas.openxmlformats.org/officeDocument/2006/relationships/hyperlink" Target="https://drive.google.com/open?id=1iqh-8AWhCwQB6qG7Fk4QAQLCYnyk0Mxr" TargetMode="External"/><Relationship Id="rId250" Type="http://schemas.openxmlformats.org/officeDocument/2006/relationships/hyperlink" Target="https://drive.google.com/open?id=1rw_jOcIEdkbDmtg_b8Qj2I0_nWPcDTsY" TargetMode="External"/><Relationship Id="rId292" Type="http://schemas.openxmlformats.org/officeDocument/2006/relationships/hyperlink" Target="https://g.page/Future-university-egypt-FUE?share" TargetMode="External"/><Relationship Id="rId306" Type="http://schemas.openxmlformats.org/officeDocument/2006/relationships/hyperlink" Target="https://g.page/Future-university-egypt-FUE?share" TargetMode="External"/><Relationship Id="rId488" Type="http://schemas.openxmlformats.org/officeDocument/2006/relationships/hyperlink" Target="https://drive.google.com/open?id=1PP7qkANhvHTfAQ8DGFpMWx-a53Z5ig6T" TargetMode="External"/><Relationship Id="rId45" Type="http://schemas.openxmlformats.org/officeDocument/2006/relationships/hyperlink" Target="https://drive.google.com/open?id=12TKkRecXSSIH7welFmtKpJy7yWENh0lo" TargetMode="External"/><Relationship Id="rId87" Type="http://schemas.openxmlformats.org/officeDocument/2006/relationships/hyperlink" Target="https://drive.google.com/open?id=1Me9PXZ8Pi6palDMV_03VMrBjpi-n6eu4" TargetMode="External"/><Relationship Id="rId110" Type="http://schemas.openxmlformats.org/officeDocument/2006/relationships/hyperlink" Target="https://drive.google.com/open?id=1PkUvWZzyX4lo_uwR1MmaynaiagfC5lzm" TargetMode="External"/><Relationship Id="rId348" Type="http://schemas.openxmlformats.org/officeDocument/2006/relationships/hyperlink" Target="https://drive.google.com/open?id=1yFp5KnnohrFmoSTskqs5pt__ofP7guN_" TargetMode="External"/><Relationship Id="rId513" Type="http://schemas.openxmlformats.org/officeDocument/2006/relationships/hyperlink" Target="https://drive.google.com/open?id=114w8iBVAg1reTVqXzMrEZ6py2dzPlU8J" TargetMode="External"/><Relationship Id="rId555" Type="http://schemas.openxmlformats.org/officeDocument/2006/relationships/hyperlink" Target="https://drive.google.com/open?id=1bo0uQkBU_hWNgryBowQGMIHDikt_p4BJ" TargetMode="External"/><Relationship Id="rId152" Type="http://schemas.openxmlformats.org/officeDocument/2006/relationships/hyperlink" Target="https://drive.google.com/open?id=1BGqIM2_Hq-bnIMNNcWxsjv09xTE0oL3F" TargetMode="External"/><Relationship Id="rId194" Type="http://schemas.openxmlformats.org/officeDocument/2006/relationships/hyperlink" Target="https://goo.gl/maps/AzRPq8f8ySLrbTXj8" TargetMode="External"/><Relationship Id="rId208" Type="http://schemas.openxmlformats.org/officeDocument/2006/relationships/hyperlink" Target="https://goo.gl/maps/QpH7dmNahszbVCFM6" TargetMode="External"/><Relationship Id="rId415" Type="http://schemas.openxmlformats.org/officeDocument/2006/relationships/hyperlink" Target="https://drive.google.com/open?id=1pWSBYm_VAsG0JChTaCPjdQSC0Vt5c5mH" TargetMode="External"/><Relationship Id="rId457" Type="http://schemas.openxmlformats.org/officeDocument/2006/relationships/hyperlink" Target="https://drive.google.com/open?id=1ZlD2lSRf7ZQd4wtqC92lLyXdfqkG2DXo" TargetMode="External"/><Relationship Id="rId261" Type="http://schemas.openxmlformats.org/officeDocument/2006/relationships/hyperlink" Target="https://g.page/Future-university-egypt-FUE?share" TargetMode="External"/><Relationship Id="rId499" Type="http://schemas.openxmlformats.org/officeDocument/2006/relationships/hyperlink" Target="https://drive.google.com/open?id=1bBsieLdNv8-lbF1KHAVMA285qF55PzhV" TargetMode="External"/><Relationship Id="rId14" Type="http://schemas.openxmlformats.org/officeDocument/2006/relationships/hyperlink" Target="https://drive.google.com/open?id=16JcY4wtSPwrbhhUenDpe9MzssCmgj18Q" TargetMode="External"/><Relationship Id="rId56" Type="http://schemas.openxmlformats.org/officeDocument/2006/relationships/hyperlink" Target="https://drive.google.com/open?id=15QNr0LqmASbo-3V5SSsvC4ksadm2tH2W" TargetMode="External"/><Relationship Id="rId317" Type="http://schemas.openxmlformats.org/officeDocument/2006/relationships/hyperlink" Target="https://g.page/Future-university-egypt-FUE?share" TargetMode="External"/><Relationship Id="rId359" Type="http://schemas.openxmlformats.org/officeDocument/2006/relationships/hyperlink" Target="https://drive.google.com/open?id=1H5iBGeYMc5cFQ6tW9H1pTQ4FhMMfoLd_" TargetMode="External"/><Relationship Id="rId524" Type="http://schemas.openxmlformats.org/officeDocument/2006/relationships/hyperlink" Target="https://drive.google.com/open?id=18zFTialV4Wg_3SblDIj0TeQLfsClBvw_" TargetMode="External"/><Relationship Id="rId566" Type="http://schemas.openxmlformats.org/officeDocument/2006/relationships/hyperlink" Target="https://drive.google.com/open?id=1O5Y47pyK0oFoTdm4xRbO47npHCxt8Jke" TargetMode="External"/><Relationship Id="rId98" Type="http://schemas.openxmlformats.org/officeDocument/2006/relationships/hyperlink" Target="https://drive.google.com/open?id=1tzdGAa_wRiSbvZXueu-6Kk2jHJGuAZ0y" TargetMode="External"/><Relationship Id="rId121" Type="http://schemas.openxmlformats.org/officeDocument/2006/relationships/hyperlink" Target="https://drive.google.com/open?id=15wDfbKAYSgZS_QPuz0Eer-5V9Q60qJON" TargetMode="External"/><Relationship Id="rId163" Type="http://schemas.openxmlformats.org/officeDocument/2006/relationships/hyperlink" Target="https://drive.google.com/open?id=1-lucjS9WVDnNM0nBqa7AUgYFJB-TSF_A" TargetMode="External"/><Relationship Id="rId219" Type="http://schemas.openxmlformats.org/officeDocument/2006/relationships/hyperlink" Target="mailto:mohamed.khaled@york-press.com" TargetMode="External"/><Relationship Id="rId370" Type="http://schemas.openxmlformats.org/officeDocument/2006/relationships/hyperlink" Target="https://drive.google.com/open?id=10H3KOwrQebS_kffZJKecWpZj-nGbpAHY" TargetMode="External"/><Relationship Id="rId426" Type="http://schemas.openxmlformats.org/officeDocument/2006/relationships/hyperlink" Target="https://drive.google.com/open?id=11jvTmk6qcicQLpn0uyJnQFY-TrPww1GP" TargetMode="External"/><Relationship Id="rId230" Type="http://schemas.openxmlformats.org/officeDocument/2006/relationships/hyperlink" Target="https://drive.google.com/open?id=1FqYU9YpKQ-NlAxzb7TcyNI3WC-aAHNuW" TargetMode="External"/><Relationship Id="rId468" Type="http://schemas.openxmlformats.org/officeDocument/2006/relationships/hyperlink" Target="https://drive.google.com/open?id=1AKVONfhsFaqxMTv7WFZZUgnppVjnKOnM" TargetMode="External"/><Relationship Id="rId25" Type="http://schemas.openxmlformats.org/officeDocument/2006/relationships/hyperlink" Target="https://drive.google.com/open?id=1k3ab8J_0MWJN4Mv1pZadp7jIlxaH7Hpr" TargetMode="External"/><Relationship Id="rId67" Type="http://schemas.openxmlformats.org/officeDocument/2006/relationships/hyperlink" Target="mailto:mrazek@horus.edu.eg" TargetMode="External"/><Relationship Id="rId272" Type="http://schemas.openxmlformats.org/officeDocument/2006/relationships/hyperlink" Target="https://g.page/Future-university-egypt-FUE?share" TargetMode="External"/><Relationship Id="rId328" Type="http://schemas.openxmlformats.org/officeDocument/2006/relationships/hyperlink" Target="https://g.page/Future-university-egypt-FUE?share" TargetMode="External"/><Relationship Id="rId535" Type="http://schemas.openxmlformats.org/officeDocument/2006/relationships/hyperlink" Target="https://drive.google.com/open?id=1Li9D5hoLwVef0oy_Ft16eQZQOjnptVjd" TargetMode="External"/><Relationship Id="rId577" Type="http://schemas.openxmlformats.org/officeDocument/2006/relationships/hyperlink" Target="https://drive.google.com/open?id=1bI2HXtofXu0Dg1Df05sUUCrSchuHhDzI" TargetMode="External"/><Relationship Id="rId132" Type="http://schemas.openxmlformats.org/officeDocument/2006/relationships/hyperlink" Target="https://drive.google.com/open?id=1UGBjNeyUvLWsl5nB5AUqqxrgQXk5RLuC" TargetMode="External"/><Relationship Id="rId174" Type="http://schemas.openxmlformats.org/officeDocument/2006/relationships/hyperlink" Target="https://goo.gl/maps/AzRPq8f8ySLrbTXj8" TargetMode="External"/><Relationship Id="rId381" Type="http://schemas.openxmlformats.org/officeDocument/2006/relationships/hyperlink" Target="https://drive.google.com/open?id=1XG0vCuzHNC-57wjeXhpfItF-Mx2ca6Ys" TargetMode="External"/><Relationship Id="rId241" Type="http://schemas.openxmlformats.org/officeDocument/2006/relationships/hyperlink" Target="https://drive.google.com/open?id=1GvrqFCEIq6KweUEeQ3eDl7ItmFK4JZZt" TargetMode="External"/><Relationship Id="rId437" Type="http://schemas.openxmlformats.org/officeDocument/2006/relationships/hyperlink" Target="https://drive.google.com/open?id=1whhI3TcM1xlWFv1QNlBlDensfZRTwBqI" TargetMode="External"/><Relationship Id="rId479" Type="http://schemas.openxmlformats.org/officeDocument/2006/relationships/hyperlink" Target="https://drive.google.com/open?id=1Bz0HKJiOILtLRFASyFI00mTLA27eYYi7" TargetMode="External"/><Relationship Id="rId36" Type="http://schemas.openxmlformats.org/officeDocument/2006/relationships/hyperlink" Target="https://drive.google.com/open?id=1qbUdfWEkSW_T6X8OkVXr39C3kiNT-25-" TargetMode="External"/><Relationship Id="rId283" Type="http://schemas.openxmlformats.org/officeDocument/2006/relationships/hyperlink" Target="https://g.page/Future-university-egypt-FUE?share" TargetMode="External"/><Relationship Id="rId339" Type="http://schemas.openxmlformats.org/officeDocument/2006/relationships/hyperlink" Target="https://g.page/Future-university-egypt-FUE?share" TargetMode="External"/><Relationship Id="rId490" Type="http://schemas.openxmlformats.org/officeDocument/2006/relationships/hyperlink" Target="https://drive.google.com/open?id=1LhNRVjy9SHosyvYfAxlM9Wm-OWRGrtDg" TargetMode="External"/><Relationship Id="rId504" Type="http://schemas.openxmlformats.org/officeDocument/2006/relationships/hyperlink" Target="https://drive.google.com/open?id=11WYLW5umEtP-ERKvGBsvVNJKjB8C8gjH" TargetMode="External"/><Relationship Id="rId546" Type="http://schemas.openxmlformats.org/officeDocument/2006/relationships/hyperlink" Target="https://drive.google.com/open?id=1MdYUrKhl2PP6cW4BmOZhMqtObrOgZc-x" TargetMode="External"/><Relationship Id="rId78" Type="http://schemas.openxmlformats.org/officeDocument/2006/relationships/hyperlink" Target="mailto:ali.abdulhamid@york-press.com" TargetMode="External"/><Relationship Id="rId101" Type="http://schemas.openxmlformats.org/officeDocument/2006/relationships/hyperlink" Target="https://drive.google.com/open?id=1Ac6W58k1DJaZQg2WKSnig5i9AoaQX-0q" TargetMode="External"/><Relationship Id="rId143" Type="http://schemas.openxmlformats.org/officeDocument/2006/relationships/hyperlink" Target="https://drive.google.com/open?id=1BtXXtmvah0tf40Dw_zb2wSvbmjHqmy5a" TargetMode="External"/><Relationship Id="rId185" Type="http://schemas.openxmlformats.org/officeDocument/2006/relationships/hyperlink" Target="https://goo.gl/maps/AzRPq8f8ySLrbTXj8" TargetMode="External"/><Relationship Id="rId350" Type="http://schemas.openxmlformats.org/officeDocument/2006/relationships/hyperlink" Target="https://g.page/Future-university-egypt-FUE?share" TargetMode="External"/><Relationship Id="rId406" Type="http://schemas.openxmlformats.org/officeDocument/2006/relationships/hyperlink" Target="https://drive.google.com/open?id=1GXG0aPux6R-OPrRZUyVihfXvKyin6Avp" TargetMode="External"/><Relationship Id="rId588" Type="http://schemas.openxmlformats.org/officeDocument/2006/relationships/vmlDrawing" Target="../drawings/vmlDrawing1.vml"/><Relationship Id="rId9" Type="http://schemas.openxmlformats.org/officeDocument/2006/relationships/hyperlink" Target="https://drive.google.com/open?id=1AgLAdly4axBcH-io5TKfOILZ12N5FECz" TargetMode="External"/><Relationship Id="rId210" Type="http://schemas.openxmlformats.org/officeDocument/2006/relationships/hyperlink" Target="https://drive.google.com/open?id=1jtdNuIuPv8YSaQZirEDdZjNHgZeMBARV" TargetMode="External"/><Relationship Id="rId392" Type="http://schemas.openxmlformats.org/officeDocument/2006/relationships/hyperlink" Target="https://drive.google.com/open?id=1TNhGed2BLgLVucXIeqUqIq4i9Ucj0YmR" TargetMode="External"/><Relationship Id="rId448" Type="http://schemas.openxmlformats.org/officeDocument/2006/relationships/hyperlink" Target="https://drive.google.com/open?id=1dXy9LGCxhYtraX2I0wmvbc8t16wIAYVk" TargetMode="External"/><Relationship Id="rId252" Type="http://schemas.openxmlformats.org/officeDocument/2006/relationships/hyperlink" Target="https://drive.google.com/open?id=1WaEiRWZPuJ2MW8WsfiyAJvQvsEtSZ3JV" TargetMode="External"/><Relationship Id="rId294" Type="http://schemas.openxmlformats.org/officeDocument/2006/relationships/hyperlink" Target="https://g.page/Future-university-egypt-FUE?share" TargetMode="External"/><Relationship Id="rId308" Type="http://schemas.openxmlformats.org/officeDocument/2006/relationships/hyperlink" Target="https://g.page/Future-university-egypt-FUE?share" TargetMode="External"/><Relationship Id="rId515" Type="http://schemas.openxmlformats.org/officeDocument/2006/relationships/hyperlink" Target="https://drive.google.com/open?id=1xQBHd1IGOrPcTLiC_7fync0Qv9Wbv2ox" TargetMode="External"/><Relationship Id="rId47" Type="http://schemas.openxmlformats.org/officeDocument/2006/relationships/hyperlink" Target="https://drive.google.com/open?id=1Ksm9nPxrW-Ncw2-tI2mXl_ne33N8NqUQ" TargetMode="External"/><Relationship Id="rId89" Type="http://schemas.openxmlformats.org/officeDocument/2006/relationships/hyperlink" Target="https://drive.google.com/open?id=1lNeJQn3UsPT8VuAT5KiKrZei17yUf4-j" TargetMode="External"/><Relationship Id="rId112" Type="http://schemas.openxmlformats.org/officeDocument/2006/relationships/hyperlink" Target="https://drive.google.com/open?id=1Geqg7fdUz8JStiaBIRWkUqq0Jg2WNg5v" TargetMode="External"/><Relationship Id="rId154" Type="http://schemas.openxmlformats.org/officeDocument/2006/relationships/hyperlink" Target="https://drive.google.com/open?id=1ecWxG_49MMxY8clGXbOidK-U_mgpRNep" TargetMode="External"/><Relationship Id="rId361" Type="http://schemas.openxmlformats.org/officeDocument/2006/relationships/hyperlink" Target="mailto:m.hassanetman@gmail.com" TargetMode="External"/><Relationship Id="rId557" Type="http://schemas.openxmlformats.org/officeDocument/2006/relationships/hyperlink" Target="https://drive.google.com/open?id=1OWRpVSijMPLmVGQK81Yn_MnxqbjuADx7" TargetMode="External"/><Relationship Id="rId196" Type="http://schemas.openxmlformats.org/officeDocument/2006/relationships/hyperlink" Target="https://goo.gl/maps/AzRPq8f8ySLrbTXj8" TargetMode="External"/><Relationship Id="rId417" Type="http://schemas.openxmlformats.org/officeDocument/2006/relationships/hyperlink" Target="https://drive.google.com/open?id=16iV7tM0kGiLqTSn8GH3QAIRsS2zR4GAq" TargetMode="External"/><Relationship Id="rId459" Type="http://schemas.openxmlformats.org/officeDocument/2006/relationships/hyperlink" Target="https://drive.google.com/open?id=1NbKpYKGfkcwrL63X4BANQnSlkEpE4b9-" TargetMode="External"/><Relationship Id="rId16" Type="http://schemas.openxmlformats.org/officeDocument/2006/relationships/hyperlink" Target="https://drive.google.com/open?id=1BUbPf2mac6Y-mneIJcSN1LgLTfbgcXEu" TargetMode="External"/><Relationship Id="rId221" Type="http://schemas.openxmlformats.org/officeDocument/2006/relationships/hyperlink" Target="https://drive.google.com/open?id=1ZE5FcBC1N_F-LiJs9UjaC4vvU89Zxd3C" TargetMode="External"/><Relationship Id="rId242" Type="http://schemas.openxmlformats.org/officeDocument/2006/relationships/hyperlink" Target="https://drive.google.com/open?id=1jyAtW7RKY0HRSyoHJToqZorSUszG5W5C" TargetMode="External"/><Relationship Id="rId263" Type="http://schemas.openxmlformats.org/officeDocument/2006/relationships/hyperlink" Target="https://g.page/Future-university-egypt-FUE?share" TargetMode="External"/><Relationship Id="rId284" Type="http://schemas.openxmlformats.org/officeDocument/2006/relationships/hyperlink" Target="https://g.page/Future-university-egypt-FUE?share" TargetMode="External"/><Relationship Id="rId319" Type="http://schemas.openxmlformats.org/officeDocument/2006/relationships/hyperlink" Target="https://g.page/Future-university-egypt-FUE?share" TargetMode="External"/><Relationship Id="rId470" Type="http://schemas.openxmlformats.org/officeDocument/2006/relationships/hyperlink" Target="https://drive.google.com/open?id=1obEhNM3tYsNob9ZdPCMl-ZB7jO6VJVyc" TargetMode="External"/><Relationship Id="rId491" Type="http://schemas.openxmlformats.org/officeDocument/2006/relationships/hyperlink" Target="https://drive.google.com/open?id=1rssRIzIfSsdk9L8Y5hUBqT3mEciRrFtN" TargetMode="External"/><Relationship Id="rId505" Type="http://schemas.openxmlformats.org/officeDocument/2006/relationships/hyperlink" Target="https://drive.google.com/open?id=1atqiXO9NW_OnFOnnTuYisUgY9AtlLQUe" TargetMode="External"/><Relationship Id="rId526" Type="http://schemas.openxmlformats.org/officeDocument/2006/relationships/hyperlink" Target="https://drive.google.com/open?id=1XIPgbhMKMKgXtJbsuWr_zuHN8mj5weQn" TargetMode="External"/><Relationship Id="rId37" Type="http://schemas.openxmlformats.org/officeDocument/2006/relationships/hyperlink" Target="https://drive.google.com/open?id=1ALgdyy0exNvuou3t5Zq5p6aGiGiG3BJ7" TargetMode="External"/><Relationship Id="rId58" Type="http://schemas.openxmlformats.org/officeDocument/2006/relationships/hyperlink" Target="https://drive.google.com/open?id=1rUHD7Rm87b0tt00uSA9a9vzRVv3tnE89" TargetMode="External"/><Relationship Id="rId79" Type="http://schemas.openxmlformats.org/officeDocument/2006/relationships/hyperlink" Target="mailto:mahmoud.shawadfy@york-press.com" TargetMode="External"/><Relationship Id="rId102" Type="http://schemas.openxmlformats.org/officeDocument/2006/relationships/hyperlink" Target="https://drive.google.com/open?id=12xr5zWOtYf6-QTCumlR7BWgRsFKccIJ8" TargetMode="External"/><Relationship Id="rId123" Type="http://schemas.openxmlformats.org/officeDocument/2006/relationships/hyperlink" Target="https://drive.google.com/open?id=1i5-0hhxQvryW6f0W1smIlrZNSFeg6qvm" TargetMode="External"/><Relationship Id="rId144" Type="http://schemas.openxmlformats.org/officeDocument/2006/relationships/hyperlink" Target="https://drive.google.com/open?id=1-9bYi4UDmzdiRSts4gGNRfvRjZWDEoaW" TargetMode="External"/><Relationship Id="rId330" Type="http://schemas.openxmlformats.org/officeDocument/2006/relationships/hyperlink" Target="https://g.page/Future-university-egypt-FUE?share" TargetMode="External"/><Relationship Id="rId547" Type="http://schemas.openxmlformats.org/officeDocument/2006/relationships/hyperlink" Target="https://drive.google.com/open?id=1bOydc1hXXyEDFkAE3yQ6Cb08NuqT3824" TargetMode="External"/><Relationship Id="rId568" Type="http://schemas.openxmlformats.org/officeDocument/2006/relationships/hyperlink" Target="https://drive.google.com/open?id=1qpNHHb3zZ2Y2p-XL3TSy_GKo0WWfemjx" TargetMode="External"/><Relationship Id="rId589" Type="http://schemas.openxmlformats.org/officeDocument/2006/relationships/table" Target="../tables/table1.xml"/><Relationship Id="rId90" Type="http://schemas.openxmlformats.org/officeDocument/2006/relationships/hyperlink" Target="https://drive.google.com/open?id=1jho4KUewseOUXie9FNcIxCMIBZXHB-LG" TargetMode="External"/><Relationship Id="rId165" Type="http://schemas.openxmlformats.org/officeDocument/2006/relationships/hyperlink" Target="https://drive.google.com/open?id=1VaEJSM1sHzN4OBQDYPtsMZN6UF0waJuc" TargetMode="External"/><Relationship Id="rId186" Type="http://schemas.openxmlformats.org/officeDocument/2006/relationships/hyperlink" Target="https://goo.gl/maps/AzRPq8f8ySLrbTXj8" TargetMode="External"/><Relationship Id="rId351" Type="http://schemas.openxmlformats.org/officeDocument/2006/relationships/hyperlink" Target="https://g.page/Future-university-egypt-FUE?share" TargetMode="External"/><Relationship Id="rId372" Type="http://schemas.openxmlformats.org/officeDocument/2006/relationships/hyperlink" Target="https://drive.google.com/open?id=1XPitQrdZlBZOKG0DZNH73PbBWcpHr95S" TargetMode="External"/><Relationship Id="rId393" Type="http://schemas.openxmlformats.org/officeDocument/2006/relationships/hyperlink" Target="https://drive.google.com/open?id=1U_Vf0U6gHQ-oK5A6LkPdW4Bk_LPamtyV" TargetMode="External"/><Relationship Id="rId407" Type="http://schemas.openxmlformats.org/officeDocument/2006/relationships/hyperlink" Target="https://drive.google.com/open?id=1AaDtcows10cVCzbByNZYOv3Q_KLpusMi" TargetMode="External"/><Relationship Id="rId428" Type="http://schemas.openxmlformats.org/officeDocument/2006/relationships/hyperlink" Target="https://drive.google.com/open?id=18wxN9p8-pEL1eHE0kRawfIfQ4VN89IMf" TargetMode="External"/><Relationship Id="rId449" Type="http://schemas.openxmlformats.org/officeDocument/2006/relationships/hyperlink" Target="https://drive.google.com/open?id=1TvXvPC6fKT0bxehPoy40S1cPz4QHEBRj" TargetMode="External"/><Relationship Id="rId211" Type="http://schemas.openxmlformats.org/officeDocument/2006/relationships/hyperlink" Target="https://drive.google.com/open?id=14tDnflPAL4nJ4OxQFj2ag4Y3b_7SG6M2" TargetMode="External"/><Relationship Id="rId232" Type="http://schemas.openxmlformats.org/officeDocument/2006/relationships/hyperlink" Target="mailto:mostafa.otafi@york-press.com" TargetMode="External"/><Relationship Id="rId253" Type="http://schemas.openxmlformats.org/officeDocument/2006/relationships/hyperlink" Target="https://drive.google.com/open?id=1eU15Lbn53DvqVLiyK4lDk0wcdT8y7I-b" TargetMode="External"/><Relationship Id="rId274" Type="http://schemas.openxmlformats.org/officeDocument/2006/relationships/hyperlink" Target="https://g.page/Future-university-egypt-FUE?share" TargetMode="External"/><Relationship Id="rId295" Type="http://schemas.openxmlformats.org/officeDocument/2006/relationships/hyperlink" Target="https://g.page/Future-university-egypt-FUE?share" TargetMode="External"/><Relationship Id="rId309" Type="http://schemas.openxmlformats.org/officeDocument/2006/relationships/hyperlink" Target="https://g.page/Future-university-egypt-FUE?share" TargetMode="External"/><Relationship Id="rId460" Type="http://schemas.openxmlformats.org/officeDocument/2006/relationships/hyperlink" Target="https://drive.google.com/open?id=1ZwQDVjvvClFgMAnrfciXy2tvDs-7mubf" TargetMode="External"/><Relationship Id="rId481" Type="http://schemas.openxmlformats.org/officeDocument/2006/relationships/hyperlink" Target="https://drive.google.com/open?id=18TAINEY2nJnO-BJ0E4vEFYhqD-yadfgk" TargetMode="External"/><Relationship Id="rId516" Type="http://schemas.openxmlformats.org/officeDocument/2006/relationships/hyperlink" Target="https://drive.google.com/open?id=1gRo1EauBXpXVFwWv-rW9rWEezVPQZTr-" TargetMode="External"/><Relationship Id="rId27" Type="http://schemas.openxmlformats.org/officeDocument/2006/relationships/hyperlink" Target="https://drive.google.com/open?id=1DxUBwIxAtUmsdfbxz56xhk_8vnNx2DYn" TargetMode="External"/><Relationship Id="rId48" Type="http://schemas.openxmlformats.org/officeDocument/2006/relationships/hyperlink" Target="https://drive.google.com/open?id=1-DV69hvRnZl60-55OEy55bEYQBNecOKQ" TargetMode="External"/><Relationship Id="rId69" Type="http://schemas.openxmlformats.org/officeDocument/2006/relationships/hyperlink" Target="https://goo.gl/maps/QpH7dmNahszbVCFM6" TargetMode="External"/><Relationship Id="rId113" Type="http://schemas.openxmlformats.org/officeDocument/2006/relationships/hyperlink" Target="https://drive.google.com/open?id=1Iq5TvQ88Pik6AERsBiHa9UQXeI_K53UH" TargetMode="External"/><Relationship Id="rId134" Type="http://schemas.openxmlformats.org/officeDocument/2006/relationships/hyperlink" Target="https://drive.google.com/open?id=1cNgS9x0-c19kxXL1T1-JebW9ST4PlwZz" TargetMode="External"/><Relationship Id="rId320" Type="http://schemas.openxmlformats.org/officeDocument/2006/relationships/hyperlink" Target="https://g.page/Future-university-egypt-FUE?share" TargetMode="External"/><Relationship Id="rId537" Type="http://schemas.openxmlformats.org/officeDocument/2006/relationships/hyperlink" Target="https://drive.google.com/open?id=1RW0cFMmES8CCkglzEsfvtY67nxoKlAl7" TargetMode="External"/><Relationship Id="rId558" Type="http://schemas.openxmlformats.org/officeDocument/2006/relationships/hyperlink" Target="https://drive.google.com/open?id=1-5mlNC9wBPc9DPq77vtOzlZKq5OGLQ7-" TargetMode="External"/><Relationship Id="rId579" Type="http://schemas.openxmlformats.org/officeDocument/2006/relationships/hyperlink" Target="https://g.page/Future-university-egypt-FUE?share" TargetMode="External"/><Relationship Id="rId80" Type="http://schemas.openxmlformats.org/officeDocument/2006/relationships/hyperlink" Target="https://maps.app.goo.gl/bMuFgkkjUTpLJ4zN8" TargetMode="External"/><Relationship Id="rId155" Type="http://schemas.openxmlformats.org/officeDocument/2006/relationships/hyperlink" Target="https://drive.google.com/open?id=126C64VPe5F44XzhtzX_ryop8bJEM_A76" TargetMode="External"/><Relationship Id="rId176" Type="http://schemas.openxmlformats.org/officeDocument/2006/relationships/hyperlink" Target="https://goo.gl/maps/AzRPq8f8ySLrbTXj8" TargetMode="External"/><Relationship Id="rId197" Type="http://schemas.openxmlformats.org/officeDocument/2006/relationships/hyperlink" Target="https://drive.google.com/open?id=1GBgE0RVmjJIx4X9z4geIK1brR36yMDGo" TargetMode="External"/><Relationship Id="rId341" Type="http://schemas.openxmlformats.org/officeDocument/2006/relationships/hyperlink" Target="https://g.page/Future-university-egypt-FUE?share" TargetMode="External"/><Relationship Id="rId362" Type="http://schemas.openxmlformats.org/officeDocument/2006/relationships/hyperlink" Target="mailto:mahmoudnermeen60@gmail.com" TargetMode="External"/><Relationship Id="rId383" Type="http://schemas.openxmlformats.org/officeDocument/2006/relationships/hyperlink" Target="https://drive.google.com/open?id=1aMWrtRx_zR6JhHe8vWvB7QbFzdY-yujk" TargetMode="External"/><Relationship Id="rId418" Type="http://schemas.openxmlformats.org/officeDocument/2006/relationships/hyperlink" Target="https://drive.google.com/open?id=1HcR-8jjY16VICErKDMpDULsyM3ooH0eG" TargetMode="External"/><Relationship Id="rId439" Type="http://schemas.openxmlformats.org/officeDocument/2006/relationships/hyperlink" Target="https://drive.google.com/open?id=103TcJofILNPNUYAdOaYfxOzNWSBcv_m_" TargetMode="External"/><Relationship Id="rId590" Type="http://schemas.openxmlformats.org/officeDocument/2006/relationships/comments" Target="../comments1.xml"/><Relationship Id="rId201" Type="http://schemas.openxmlformats.org/officeDocument/2006/relationships/hyperlink" Target="https://drive.google.com/open?id=1nkFALl8GR-b_JcTzLdcbIE4ZY-mzWKG0" TargetMode="External"/><Relationship Id="rId222" Type="http://schemas.openxmlformats.org/officeDocument/2006/relationships/hyperlink" Target="https://drive.google.com/open?id=1bagQ4GdUAT7c98pGeQbPuNA_Qrs5LACr" TargetMode="External"/><Relationship Id="rId243" Type="http://schemas.openxmlformats.org/officeDocument/2006/relationships/hyperlink" Target="https://drive.google.com/open?id=1lMrFEO5KLxAa6_IldOlEvlsY6il6G1GL" TargetMode="External"/><Relationship Id="rId264" Type="http://schemas.openxmlformats.org/officeDocument/2006/relationships/hyperlink" Target="https://g.page/Future-university-egypt-FUE?share" TargetMode="External"/><Relationship Id="rId285" Type="http://schemas.openxmlformats.org/officeDocument/2006/relationships/hyperlink" Target="https://g.page/Future-university-egypt-FUE?share" TargetMode="External"/><Relationship Id="rId450" Type="http://schemas.openxmlformats.org/officeDocument/2006/relationships/hyperlink" Target="https://drive.google.com/open?id=1vr_SOFLWbYtcFxCeo-7BMWpY2VlwpaYe" TargetMode="External"/><Relationship Id="rId471" Type="http://schemas.openxmlformats.org/officeDocument/2006/relationships/hyperlink" Target="https://drive.google.com/open?id=1TQ9lgZh67GtxqVeWQnkqVXRLYymVGF06" TargetMode="External"/><Relationship Id="rId506" Type="http://schemas.openxmlformats.org/officeDocument/2006/relationships/hyperlink" Target="https://drive.google.com/open?id=13nQstgeEmZ5fy5odvyS3s8sLem3X0zYx" TargetMode="External"/><Relationship Id="rId17" Type="http://schemas.openxmlformats.org/officeDocument/2006/relationships/hyperlink" Target="https://drive.google.com/open?id=1uTyilxyfSkITNd5on0vL3c2miTy3Dflx" TargetMode="External"/><Relationship Id="rId38" Type="http://schemas.openxmlformats.org/officeDocument/2006/relationships/hyperlink" Target="https://drive.google.com/open?id=1o3UM_iRzmwvhwGU0KjpCO-BgmL0gPbxD" TargetMode="External"/><Relationship Id="rId59" Type="http://schemas.openxmlformats.org/officeDocument/2006/relationships/hyperlink" Target="https://drive.google.com/open?id=1I8lQtURrFMhVyUQQwKth0eSC8rIwSZoe" TargetMode="External"/><Relationship Id="rId103" Type="http://schemas.openxmlformats.org/officeDocument/2006/relationships/hyperlink" Target="https://drive.google.com/open?id=1N30qx34J92u_6nK2oyMkydPA93a4apWl" TargetMode="External"/><Relationship Id="rId124" Type="http://schemas.openxmlformats.org/officeDocument/2006/relationships/hyperlink" Target="https://drive.google.com/open?id=15oO2qynEHmz9ON7IIntRbdTiJKccQZ7z" TargetMode="External"/><Relationship Id="rId310" Type="http://schemas.openxmlformats.org/officeDocument/2006/relationships/hyperlink" Target="https://g.page/Future-university-egypt-FUE?share" TargetMode="External"/><Relationship Id="rId492" Type="http://schemas.openxmlformats.org/officeDocument/2006/relationships/hyperlink" Target="https://drive.google.com/open?id=1VEDCOjYC1nm8bOr-xgv3SXiZ_kHA2N_Y" TargetMode="External"/><Relationship Id="rId527" Type="http://schemas.openxmlformats.org/officeDocument/2006/relationships/hyperlink" Target="https://drive.google.com/open?id=1IMH6v_AEc70vvrau3ySZAdTau2qYaKRU" TargetMode="External"/><Relationship Id="rId548" Type="http://schemas.openxmlformats.org/officeDocument/2006/relationships/hyperlink" Target="https://drive.google.com/open?id=1onzbj8MEMHiGVEJP4wmC0eQzwH6lD1lu" TargetMode="External"/><Relationship Id="rId569" Type="http://schemas.openxmlformats.org/officeDocument/2006/relationships/hyperlink" Target="https://drive.google.com/open?id=1CrpzR7vOpKHKcoQD44ZZk6d8N8AlPdUb" TargetMode="External"/><Relationship Id="rId70" Type="http://schemas.openxmlformats.org/officeDocument/2006/relationships/hyperlink" Target="https://goo.gl/maps/QpH7dmNahszbVCFM6" TargetMode="External"/><Relationship Id="rId91" Type="http://schemas.openxmlformats.org/officeDocument/2006/relationships/hyperlink" Target="https://drive.google.com/open?id=1eZ2Qa3DT5DBCFLV-4XtpGZ1RfokccwP6" TargetMode="External"/><Relationship Id="rId145" Type="http://schemas.openxmlformats.org/officeDocument/2006/relationships/hyperlink" Target="https://drive.google.com/open?id=1xmFq9J-42TibuZHEq4UZ9I5BP1BPQ3XB" TargetMode="External"/><Relationship Id="rId166" Type="http://schemas.openxmlformats.org/officeDocument/2006/relationships/hyperlink" Target="https://goo.gl/maps/AzRPq8f8ySLrbTXj8" TargetMode="External"/><Relationship Id="rId187" Type="http://schemas.openxmlformats.org/officeDocument/2006/relationships/hyperlink" Target="https://goo.gl/maps/AzRPq8f8ySLrbTXj8" TargetMode="External"/><Relationship Id="rId331" Type="http://schemas.openxmlformats.org/officeDocument/2006/relationships/hyperlink" Target="https://g.page/Future-university-egypt-FUE?share" TargetMode="External"/><Relationship Id="rId352" Type="http://schemas.openxmlformats.org/officeDocument/2006/relationships/hyperlink" Target="https://drive.google.com/open?id=1YcxvfWG52uQwW2bvRcvTjr8kXqRFk9eS" TargetMode="External"/><Relationship Id="rId373" Type="http://schemas.openxmlformats.org/officeDocument/2006/relationships/hyperlink" Target="https://drive.google.com/open?id=1nNjTw1_8vJZLWT5hXycUAfrOcTk-6rsi" TargetMode="External"/><Relationship Id="rId394" Type="http://schemas.openxmlformats.org/officeDocument/2006/relationships/hyperlink" Target="https://drive.google.com/open?id=1eMgSJb19W34nR33zdXjtwim0A3LxTr3d" TargetMode="External"/><Relationship Id="rId408" Type="http://schemas.openxmlformats.org/officeDocument/2006/relationships/hyperlink" Target="https://drive.google.com/open?id=16XZuipBapDzTH8oQEFTSGPqFwbgy2L1s" TargetMode="External"/><Relationship Id="rId429" Type="http://schemas.openxmlformats.org/officeDocument/2006/relationships/hyperlink" Target="https://drive.google.com/open?id=1slvnXXtC_O2cp6SCiDposIvXYvLtu9kA" TargetMode="External"/><Relationship Id="rId580" Type="http://schemas.openxmlformats.org/officeDocument/2006/relationships/hyperlink" Target="https://drive.google.com/open?id=1BfzCk9s6fOTmeR5xqSaVC_U1BN6TIz5l" TargetMode="External"/><Relationship Id="rId1" Type="http://schemas.openxmlformats.org/officeDocument/2006/relationships/hyperlink" Target="https://goo.gl/maps/cewVB2jrAMJy8Bxp6" TargetMode="External"/><Relationship Id="rId212" Type="http://schemas.openxmlformats.org/officeDocument/2006/relationships/hyperlink" Target="https://drive.google.com/open?id=1tLacza3nHN_Q5ZWsc-3S7syKmZrKVC76" TargetMode="External"/><Relationship Id="rId233" Type="http://schemas.openxmlformats.org/officeDocument/2006/relationships/hyperlink" Target="https://drive.google.com/open?id=1mU2UxHkH2U5Oqvhxr1B4C-0KvEZrOsWU" TargetMode="External"/><Relationship Id="rId254" Type="http://schemas.openxmlformats.org/officeDocument/2006/relationships/hyperlink" Target="https://drive.google.com/open?id=1AxkAc-_BOAjbSrTOwXFcnYLJr0y1n4RN" TargetMode="External"/><Relationship Id="rId440" Type="http://schemas.openxmlformats.org/officeDocument/2006/relationships/hyperlink" Target="https://drive.google.com/open?id=10RS7R8q_eGn1ECIJgF4_OllZnWjJXYT5" TargetMode="External"/><Relationship Id="rId28" Type="http://schemas.openxmlformats.org/officeDocument/2006/relationships/hyperlink" Target="https://drive.google.com/open?id=1b17uk8VxRwpeQAPohuI4P65yrH5Bcopy" TargetMode="External"/><Relationship Id="rId49" Type="http://schemas.openxmlformats.org/officeDocument/2006/relationships/hyperlink" Target="https://drive.google.com/open?id=1noaGrSvRvH0xSNGDivhTRl3mHmNhDiN-" TargetMode="External"/><Relationship Id="rId114" Type="http://schemas.openxmlformats.org/officeDocument/2006/relationships/hyperlink" Target="https://drive.google.com/open?id=1bEES6GMJJb5kUyKEnPDzl5SKwaKWj56I" TargetMode="External"/><Relationship Id="rId275" Type="http://schemas.openxmlformats.org/officeDocument/2006/relationships/hyperlink" Target="https://g.page/Future-university-egypt-FUE?share" TargetMode="External"/><Relationship Id="rId296" Type="http://schemas.openxmlformats.org/officeDocument/2006/relationships/hyperlink" Target="https://g.page/Future-university-egypt-FUE?share" TargetMode="External"/><Relationship Id="rId300" Type="http://schemas.openxmlformats.org/officeDocument/2006/relationships/hyperlink" Target="https://g.page/Future-university-egypt-FUE?share" TargetMode="External"/><Relationship Id="rId461" Type="http://schemas.openxmlformats.org/officeDocument/2006/relationships/hyperlink" Target="https://drive.google.com/open?id=1FXx8pc0QQ-tKuszIY37eqPAcUaklb-35" TargetMode="External"/><Relationship Id="rId482" Type="http://schemas.openxmlformats.org/officeDocument/2006/relationships/hyperlink" Target="https://drive.google.com/open?id=1DlQ9akhNn-a_8qmZoqzd0lbqkb8vaVwq" TargetMode="External"/><Relationship Id="rId517" Type="http://schemas.openxmlformats.org/officeDocument/2006/relationships/hyperlink" Target="https://drive.google.com/open?id=1ETdoiP6SlvFgUL3lqHaPBnp5CZWpgj85" TargetMode="External"/><Relationship Id="rId538" Type="http://schemas.openxmlformats.org/officeDocument/2006/relationships/hyperlink" Target="https://drive.google.com/open?id=1cpa7K-9Lw4i8tpgKWraoZsbZlWyiziv7" TargetMode="External"/><Relationship Id="rId559" Type="http://schemas.openxmlformats.org/officeDocument/2006/relationships/hyperlink" Target="https://drive.google.com/open?id=1od5ClExEFRjD24xH0GqpzJoqnjtLxq6i" TargetMode="External"/><Relationship Id="rId60" Type="http://schemas.openxmlformats.org/officeDocument/2006/relationships/hyperlink" Target="https://drive.google.com/open?id=1z7yQeyzoTvtXa3RRdoa5tPCGQfwfFFlN" TargetMode="External"/><Relationship Id="rId81" Type="http://schemas.openxmlformats.org/officeDocument/2006/relationships/hyperlink" Target="https://goo.gl/maps/QpH7dmNahszbVCFM6" TargetMode="External"/><Relationship Id="rId135" Type="http://schemas.openxmlformats.org/officeDocument/2006/relationships/hyperlink" Target="https://drive.google.com/open?id=1ZgbHHRxRW4DU2u2XXtUmWtmuqnHwQpKn" TargetMode="External"/><Relationship Id="rId156" Type="http://schemas.openxmlformats.org/officeDocument/2006/relationships/hyperlink" Target="https://drive.google.com/open?id=1D5xSzqNjXkn3xsSlA1D9B9-9GQ8Y5t1C" TargetMode="External"/><Relationship Id="rId177" Type="http://schemas.openxmlformats.org/officeDocument/2006/relationships/hyperlink" Target="https://goo.gl/maps/AzRPq8f8ySLrbTXj8" TargetMode="External"/><Relationship Id="rId198" Type="http://schemas.openxmlformats.org/officeDocument/2006/relationships/hyperlink" Target="https://drive.google.com/open?id=1sjnNfwt2MJBKu8mOoxBdMIftSbrR0DQR" TargetMode="External"/><Relationship Id="rId321" Type="http://schemas.openxmlformats.org/officeDocument/2006/relationships/hyperlink" Target="https://g.page/Future-university-egypt-FUE?share" TargetMode="External"/><Relationship Id="rId342" Type="http://schemas.openxmlformats.org/officeDocument/2006/relationships/hyperlink" Target="https://g.page/Future-university-egypt-FUE?share" TargetMode="External"/><Relationship Id="rId363" Type="http://schemas.openxmlformats.org/officeDocument/2006/relationships/hyperlink" Target="https://drive.google.com/open?id=1oKVT5fg-n9jOMC2VmbCpb1sPwzTy5fjF" TargetMode="External"/><Relationship Id="rId384" Type="http://schemas.openxmlformats.org/officeDocument/2006/relationships/hyperlink" Target="https://drive.google.com/open?id=1KvS_xj_vbHN5Yj5opa6RwhOSB_TgQhvg" TargetMode="External"/><Relationship Id="rId419" Type="http://schemas.openxmlformats.org/officeDocument/2006/relationships/hyperlink" Target="https://drive.google.com/open?id=1IEmxWM-FsEXwXnabW8zmEQT7nvs2VAyR" TargetMode="External"/><Relationship Id="rId570" Type="http://schemas.openxmlformats.org/officeDocument/2006/relationships/hyperlink" Target="https://drive.google.com/open?id=1Nzbmh26PTnVDvwnHZxV-ChfZ-rjpMGKD" TargetMode="External"/><Relationship Id="rId202" Type="http://schemas.openxmlformats.org/officeDocument/2006/relationships/hyperlink" Target="https://drive.google.com/open?id=1oohHa-KjAmjuQ4Tpoyd3w1j_UXxajvyy" TargetMode="External"/><Relationship Id="rId223" Type="http://schemas.openxmlformats.org/officeDocument/2006/relationships/hyperlink" Target="https://drive.google.com/open?id=1yUUevAvB59uCAxso0NGdZVq86AndMrYX" TargetMode="External"/><Relationship Id="rId244" Type="http://schemas.openxmlformats.org/officeDocument/2006/relationships/hyperlink" Target="https://drive.google.com/open?id=1MM1ym_-JHb3PUMgaTrpmqhnJPPbamYHE" TargetMode="External"/><Relationship Id="rId430" Type="http://schemas.openxmlformats.org/officeDocument/2006/relationships/hyperlink" Target="https://drive.google.com/open?id=1haT0ZPti-Jpy_EiekfBDkRsHY87K5EMe" TargetMode="External"/><Relationship Id="rId18" Type="http://schemas.openxmlformats.org/officeDocument/2006/relationships/hyperlink" Target="https://drive.google.com/open?id=1B7Qr7k2rHjxPQtZF2krXj0BAouG_Q3JJ" TargetMode="External"/><Relationship Id="rId39" Type="http://schemas.openxmlformats.org/officeDocument/2006/relationships/hyperlink" Target="https://drive.google.com/open?id=1VRm3tEWFybz1TnxNih4TTdDvTOn1Hwb1" TargetMode="External"/><Relationship Id="rId265" Type="http://schemas.openxmlformats.org/officeDocument/2006/relationships/hyperlink" Target="https://g.page/Future-university-egypt-FUE?share" TargetMode="External"/><Relationship Id="rId286" Type="http://schemas.openxmlformats.org/officeDocument/2006/relationships/hyperlink" Target="https://g.page/Future-university-egypt-FUE?share" TargetMode="External"/><Relationship Id="rId451" Type="http://schemas.openxmlformats.org/officeDocument/2006/relationships/hyperlink" Target="https://drive.google.com/open?id=1U803mRZfCuaZMJIshMxEekYsNRwCn43Z" TargetMode="External"/><Relationship Id="rId472" Type="http://schemas.openxmlformats.org/officeDocument/2006/relationships/hyperlink" Target="https://drive.google.com/open?id=1VnvLif7OvZQMXYfvlwQq7O2oNNYiCnc0" TargetMode="External"/><Relationship Id="rId493" Type="http://schemas.openxmlformats.org/officeDocument/2006/relationships/hyperlink" Target="https://drive.google.com/open?id=1ZOAUt30wcP0vgqoe6h9j6PA9j5MiaE_2" TargetMode="External"/><Relationship Id="rId507" Type="http://schemas.openxmlformats.org/officeDocument/2006/relationships/hyperlink" Target="https://drive.google.com/open?id=10d_OgeeB6MqKJJefCYS2zCSH8sNzpLmo" TargetMode="External"/><Relationship Id="rId528" Type="http://schemas.openxmlformats.org/officeDocument/2006/relationships/hyperlink" Target="https://drive.google.com/open?id=1rLSlbQCRmL-KkNBK9aqNbbaf233IdLSd" TargetMode="External"/><Relationship Id="rId549" Type="http://schemas.openxmlformats.org/officeDocument/2006/relationships/hyperlink" Target="https://drive.google.com/open?id=1onzbj8MEMHiGVEJP4wmC0eQzwH6lD1lu" TargetMode="External"/><Relationship Id="rId50" Type="http://schemas.openxmlformats.org/officeDocument/2006/relationships/hyperlink" Target="https://drive.google.com/open?id=17Y4RuHIJS-IoPC_QdA3F7PiGuu1JzbIg" TargetMode="External"/><Relationship Id="rId104" Type="http://schemas.openxmlformats.org/officeDocument/2006/relationships/hyperlink" Target="https://drive.google.com/open?id=1F2wHMdg8LpnPZMxLUk-jGT_YZ8YECyYf" TargetMode="External"/><Relationship Id="rId125" Type="http://schemas.openxmlformats.org/officeDocument/2006/relationships/hyperlink" Target="https://drive.google.com/open?id=1c18mzMOzcwtnMr7IwatJrwTjI0OjLH0S" TargetMode="External"/><Relationship Id="rId146" Type="http://schemas.openxmlformats.org/officeDocument/2006/relationships/hyperlink" Target="https://drive.google.com/open?id=1fa1vjuTnSqbF0Q4-8EMMWA8L7ALfblOi" TargetMode="External"/><Relationship Id="rId167" Type="http://schemas.openxmlformats.org/officeDocument/2006/relationships/hyperlink" Target="https://goo.gl/maps/AzRPq8f8ySLrbTXj8" TargetMode="External"/><Relationship Id="rId188" Type="http://schemas.openxmlformats.org/officeDocument/2006/relationships/hyperlink" Target="https://goo.gl/maps/AzRPq8f8ySLrbTXj8" TargetMode="External"/><Relationship Id="rId311" Type="http://schemas.openxmlformats.org/officeDocument/2006/relationships/hyperlink" Target="https://g.page/Future-university-egypt-FUE?share" TargetMode="External"/><Relationship Id="rId332" Type="http://schemas.openxmlformats.org/officeDocument/2006/relationships/hyperlink" Target="https://g.page/Future-university-egypt-FUE?share" TargetMode="External"/><Relationship Id="rId353" Type="http://schemas.openxmlformats.org/officeDocument/2006/relationships/hyperlink" Target="https://drive.google.com/open?id=1Tzh2gyLkugNS1mcOnmVJpthZkpwH0e6-" TargetMode="External"/><Relationship Id="rId374" Type="http://schemas.openxmlformats.org/officeDocument/2006/relationships/hyperlink" Target="https://drive.google.com/open?id=1xRwkbHQy1CURvdWd8YCyE3djwOnpzvWv" TargetMode="External"/><Relationship Id="rId395" Type="http://schemas.openxmlformats.org/officeDocument/2006/relationships/hyperlink" Target="https://drive.google.com/open?id=1UtENrk7JC21tuBEngrf7Hqd9U3M9S7ZJ" TargetMode="External"/><Relationship Id="rId409" Type="http://schemas.openxmlformats.org/officeDocument/2006/relationships/hyperlink" Target="https://drive.google.com/open?id=1TFzRQzhIvqML-jLLxYf8vykVeFx-l_LP" TargetMode="External"/><Relationship Id="rId560" Type="http://schemas.openxmlformats.org/officeDocument/2006/relationships/hyperlink" Target="https://drive.google.com/open?id=16wp1ZLo92bl_MJTyw71Lkctse8Bs73Eo" TargetMode="External"/><Relationship Id="rId581" Type="http://schemas.openxmlformats.org/officeDocument/2006/relationships/hyperlink" Target="https://drive.google.com/open?id=18eB5w5OAKiBPAo_cngzOiA-iV1CGdH-G" TargetMode="External"/><Relationship Id="rId71" Type="http://schemas.openxmlformats.org/officeDocument/2006/relationships/hyperlink" Target="https://goo.gl/maps/QpH7dmNahszbVCFM6" TargetMode="External"/><Relationship Id="rId92" Type="http://schemas.openxmlformats.org/officeDocument/2006/relationships/hyperlink" Target="https://drive.google.com/open?id=1wgKqG4cfDY27MP3Acg7XBYFiOb8FugZt" TargetMode="External"/><Relationship Id="rId213" Type="http://schemas.openxmlformats.org/officeDocument/2006/relationships/hyperlink" Target="https://drive.google.com/open?id=1HGyS332McumaZCPjjc8lmPKOTzLI7J0e" TargetMode="External"/><Relationship Id="rId234" Type="http://schemas.openxmlformats.org/officeDocument/2006/relationships/hyperlink" Target="https://drive.google.com/open?id=1qgXdaPat-PXAZexNueeinAS2oNvKb197" TargetMode="External"/><Relationship Id="rId420" Type="http://schemas.openxmlformats.org/officeDocument/2006/relationships/hyperlink" Target="https://drive.google.com/open?id=1r3bQM_TNyKgZvTZwvdP1nt1tmBO4RJaH" TargetMode="External"/><Relationship Id="rId2" Type="http://schemas.openxmlformats.org/officeDocument/2006/relationships/hyperlink" Target="https://drive.google.com/open?id=1YblRG6lw4zsJjLhBWrzEqc8r0IiGw5Sr" TargetMode="External"/><Relationship Id="rId29" Type="http://schemas.openxmlformats.org/officeDocument/2006/relationships/hyperlink" Target="https://drive.google.com/open?id=1KYfdG07Ays010sG7g-jjNKoWREyoJ1Kz" TargetMode="External"/><Relationship Id="rId255" Type="http://schemas.openxmlformats.org/officeDocument/2006/relationships/hyperlink" Target="https://g.page/Future-university-egypt-FUE?share" TargetMode="External"/><Relationship Id="rId276" Type="http://schemas.openxmlformats.org/officeDocument/2006/relationships/hyperlink" Target="https://g.page/Future-university-egypt-FUE?share" TargetMode="External"/><Relationship Id="rId297" Type="http://schemas.openxmlformats.org/officeDocument/2006/relationships/hyperlink" Target="https://g.page/Future-university-egypt-FUE?share" TargetMode="External"/><Relationship Id="rId441" Type="http://schemas.openxmlformats.org/officeDocument/2006/relationships/hyperlink" Target="https://drive.google.com/open?id=1KpblBnccbP0Mq3lnDhgsDDVZvUEI4C8H" TargetMode="External"/><Relationship Id="rId462" Type="http://schemas.openxmlformats.org/officeDocument/2006/relationships/hyperlink" Target="https://drive.google.com/open?id=1melIocK7VN7EiB5HyFL2Jpn-QI0u1P0H" TargetMode="External"/><Relationship Id="rId483" Type="http://schemas.openxmlformats.org/officeDocument/2006/relationships/hyperlink" Target="https://drive.google.com/open?id=1KOaQotmhNq8plZG4jakPDT5ZCKaIA8s6" TargetMode="External"/><Relationship Id="rId518" Type="http://schemas.openxmlformats.org/officeDocument/2006/relationships/hyperlink" Target="https://drive.google.com/open?id=15yZflQERjw7OOqAd49tW81kT7A8rWCLg" TargetMode="External"/><Relationship Id="rId539" Type="http://schemas.openxmlformats.org/officeDocument/2006/relationships/hyperlink" Target="https://drive.google.com/open?id=1Oe7BDqZUhUIl19J65neUktlGJ4LQsSKE" TargetMode="External"/><Relationship Id="rId40" Type="http://schemas.openxmlformats.org/officeDocument/2006/relationships/hyperlink" Target="https://drive.google.com/open?id=1LFFAn83a3sap_thwZ2RqWDNNjxdS4KEm" TargetMode="External"/><Relationship Id="rId115" Type="http://schemas.openxmlformats.org/officeDocument/2006/relationships/hyperlink" Target="https://drive.google.com/open?id=1JHhRTfCsMmV7ESVoQG7m1bDid35zn2PN" TargetMode="External"/><Relationship Id="rId136" Type="http://schemas.openxmlformats.org/officeDocument/2006/relationships/hyperlink" Target="https://drive.google.com/open?id=19mU1n6CMqSiNnhj9qE84WNsPZ25Vet6i" TargetMode="External"/><Relationship Id="rId157" Type="http://schemas.openxmlformats.org/officeDocument/2006/relationships/hyperlink" Target="https://drive.google.com/open?id=1lZiv7ga5XafN6jHZBEJDukgruqkXkURx" TargetMode="External"/><Relationship Id="rId178" Type="http://schemas.openxmlformats.org/officeDocument/2006/relationships/hyperlink" Target="https://goo.gl/maps/AzRPq8f8ySLrbTXj8" TargetMode="External"/><Relationship Id="rId301" Type="http://schemas.openxmlformats.org/officeDocument/2006/relationships/hyperlink" Target="https://g.page/Future-university-egypt-FUE?share" TargetMode="External"/><Relationship Id="rId322" Type="http://schemas.openxmlformats.org/officeDocument/2006/relationships/hyperlink" Target="https://g.page/Future-university-egypt-FUE?share" TargetMode="External"/><Relationship Id="rId343" Type="http://schemas.openxmlformats.org/officeDocument/2006/relationships/hyperlink" Target="https://g.page/Future-university-egypt-FUE?share" TargetMode="External"/><Relationship Id="rId364" Type="http://schemas.openxmlformats.org/officeDocument/2006/relationships/hyperlink" Target="https://drive.google.com/open?id=17ClmBmc5LL2FRJNaaqY8PGyexZPjFvE2" TargetMode="External"/><Relationship Id="rId550" Type="http://schemas.openxmlformats.org/officeDocument/2006/relationships/hyperlink" Target="https://drive.google.com/open?id=1onzbj8MEMHiGVEJP4wmC0eQzwH6lD1lu" TargetMode="External"/><Relationship Id="rId61" Type="http://schemas.openxmlformats.org/officeDocument/2006/relationships/hyperlink" Target="https://drive.google.com/open?id=1XWDfiBb4Kz-IKYDQ1x-B-RfukhWgISxq" TargetMode="External"/><Relationship Id="rId82" Type="http://schemas.openxmlformats.org/officeDocument/2006/relationships/hyperlink" Target="https://maps.app.goo.gl/X8x8vWTE7HDTvGpD6?g_st=iw" TargetMode="External"/><Relationship Id="rId199" Type="http://schemas.openxmlformats.org/officeDocument/2006/relationships/hyperlink" Target="https://drive.google.com/open?id=1Tcb8eCEzHiEEStwJH3HR1T7RvZDnr92t" TargetMode="External"/><Relationship Id="rId203" Type="http://schemas.openxmlformats.org/officeDocument/2006/relationships/hyperlink" Target="https://goo.gl/maps/AzRPq8f8ySLrbTXj8" TargetMode="External"/><Relationship Id="rId385" Type="http://schemas.openxmlformats.org/officeDocument/2006/relationships/hyperlink" Target="https://drive.google.com/open?id=1BF5UdTBuGlaF33JnIEQCPwbThcdZPRd7" TargetMode="External"/><Relationship Id="rId571" Type="http://schemas.openxmlformats.org/officeDocument/2006/relationships/hyperlink" Target="https://drive.google.com/open?id=1sKYbZb5jTCgDhXgEX1zLQoEdDUn4sM8Z" TargetMode="External"/><Relationship Id="rId19" Type="http://schemas.openxmlformats.org/officeDocument/2006/relationships/hyperlink" Target="https://drive.google.com/open?id=1EWk7v6NsUwZGikFXvJiXUpb6BlOnQg_U" TargetMode="External"/><Relationship Id="rId224" Type="http://schemas.openxmlformats.org/officeDocument/2006/relationships/hyperlink" Target="https://drive.google.com/open?id=1o5k2wElEs6Uxnt-bz-nBUxP8FUFx2SQo" TargetMode="External"/><Relationship Id="rId245" Type="http://schemas.openxmlformats.org/officeDocument/2006/relationships/hyperlink" Target="https://drive.google.com/open?id=1bj4UZ1R09qgQCe6tiZHCxJ8TIspc34VR" TargetMode="External"/><Relationship Id="rId266" Type="http://schemas.openxmlformats.org/officeDocument/2006/relationships/hyperlink" Target="https://g.page/Future-university-egypt-FUE?share" TargetMode="External"/><Relationship Id="rId287" Type="http://schemas.openxmlformats.org/officeDocument/2006/relationships/hyperlink" Target="https://g.page/Future-university-egypt-FUE?share" TargetMode="External"/><Relationship Id="rId410" Type="http://schemas.openxmlformats.org/officeDocument/2006/relationships/hyperlink" Target="https://drive.google.com/open?id=16xb_4ImswQr7qVzzIjf_Gh7vAu6W9l34" TargetMode="External"/><Relationship Id="rId431" Type="http://schemas.openxmlformats.org/officeDocument/2006/relationships/hyperlink" Target="https://drive.google.com/open?id=1h2vXVKfRTyNUPkta0AtSq0-hTSRHaFUs" TargetMode="External"/><Relationship Id="rId452" Type="http://schemas.openxmlformats.org/officeDocument/2006/relationships/hyperlink" Target="https://drive.google.com/open?id=16xTITZ5riW57jR9fk9Be_uAbmgS_6b78" TargetMode="External"/><Relationship Id="rId473" Type="http://schemas.openxmlformats.org/officeDocument/2006/relationships/hyperlink" Target="https://drive.google.com/open?id=18_DpKMJD_epC0VitV1RcK8MVWQ-EZLM9" TargetMode="External"/><Relationship Id="rId494" Type="http://schemas.openxmlformats.org/officeDocument/2006/relationships/hyperlink" Target="https://drive.google.com/open?id=1typA-rNeHd2JcWpU1IqIAB4h4qJ_VtAq" TargetMode="External"/><Relationship Id="rId508" Type="http://schemas.openxmlformats.org/officeDocument/2006/relationships/hyperlink" Target="https://drive.google.com/open?id=1cQ0W2CUwTT-6LV3O3PRP5JWkEu1QNPPB" TargetMode="External"/><Relationship Id="rId529" Type="http://schemas.openxmlformats.org/officeDocument/2006/relationships/hyperlink" Target="https://drive.google.com/open?id=15xheog2NlMCJtxRh6IGGMjnmsAU70gp1" TargetMode="External"/><Relationship Id="rId30" Type="http://schemas.openxmlformats.org/officeDocument/2006/relationships/hyperlink" Target="https://drive.google.com/open?id=1Q3d7z2lGM0-GZpinMMIkUfdQ22d6lqs2" TargetMode="External"/><Relationship Id="rId105" Type="http://schemas.openxmlformats.org/officeDocument/2006/relationships/hyperlink" Target="https://drive.google.com/open?id=1TGLw55xoFeot4a0S-mZx77xU3nNYyFNB" TargetMode="External"/><Relationship Id="rId126" Type="http://schemas.openxmlformats.org/officeDocument/2006/relationships/hyperlink" Target="mailto:hanyMohamed4480@gmail.com" TargetMode="External"/><Relationship Id="rId147" Type="http://schemas.openxmlformats.org/officeDocument/2006/relationships/hyperlink" Target="https://drive.google.com/open?id=1hwWECCklUOI7smULurSJ8DUovQ2szYKy" TargetMode="External"/><Relationship Id="rId168" Type="http://schemas.openxmlformats.org/officeDocument/2006/relationships/hyperlink" Target="https://goo.gl/maps/AzRPq8f8ySLrbTXj8" TargetMode="External"/><Relationship Id="rId312" Type="http://schemas.openxmlformats.org/officeDocument/2006/relationships/hyperlink" Target="https://g.page/Future-university-egypt-FUE?share" TargetMode="External"/><Relationship Id="rId333" Type="http://schemas.openxmlformats.org/officeDocument/2006/relationships/hyperlink" Target="https://g.page/Future-university-egypt-FUE?share" TargetMode="External"/><Relationship Id="rId354" Type="http://schemas.openxmlformats.org/officeDocument/2006/relationships/hyperlink" Target="https://drive.google.com/open?id=1JxJiJNwhSlBnAlWkf6MBYHmD74Y6OYmZ" TargetMode="External"/><Relationship Id="rId540" Type="http://schemas.openxmlformats.org/officeDocument/2006/relationships/hyperlink" Target="https://drive.google.com/open?id=1TdIGygD-kfLPUK78uysJJlza175_YMRX" TargetMode="External"/><Relationship Id="rId51" Type="http://schemas.openxmlformats.org/officeDocument/2006/relationships/hyperlink" Target="https://drive.google.com/open?id=1lkwXSGAk0iucK2NUNneV5tqbmSBRRzLY" TargetMode="External"/><Relationship Id="rId72" Type="http://schemas.openxmlformats.org/officeDocument/2006/relationships/hyperlink" Target="https://goo.gl/maps/QpH7dmNahszbVCFM6" TargetMode="External"/><Relationship Id="rId93" Type="http://schemas.openxmlformats.org/officeDocument/2006/relationships/hyperlink" Target="https://drive.google.com/open?id=1zodOzdYijfJunHcOb67D050xiILZa6xM" TargetMode="External"/><Relationship Id="rId189" Type="http://schemas.openxmlformats.org/officeDocument/2006/relationships/hyperlink" Target="https://goo.gl/maps/AzRPq8f8ySLrbTXj8" TargetMode="External"/><Relationship Id="rId375" Type="http://schemas.openxmlformats.org/officeDocument/2006/relationships/hyperlink" Target="https://drive.google.com/open?id=1HCpGTYW9DgyN_L_KLOWACToqb38AqxAB" TargetMode="External"/><Relationship Id="rId396" Type="http://schemas.openxmlformats.org/officeDocument/2006/relationships/hyperlink" Target="https://drive.google.com/open?id=1cWp96Uwdrj8rsZMR_B7staqZ5HYGwJNw" TargetMode="External"/><Relationship Id="rId561" Type="http://schemas.openxmlformats.org/officeDocument/2006/relationships/hyperlink" Target="https://drive.google.com/open?id=1o6UjTOMi3wmjI58TbHNQQYvWGAvQC-TS" TargetMode="External"/><Relationship Id="rId582" Type="http://schemas.openxmlformats.org/officeDocument/2006/relationships/hyperlink" Target="https://g.page/Future-university-egypt-FUE?share" TargetMode="External"/><Relationship Id="rId3" Type="http://schemas.openxmlformats.org/officeDocument/2006/relationships/hyperlink" Target="https://drive.google.com/open?id=1hPrzApOtqb8EJLJjdWMdekNe7ah2LjgD" TargetMode="External"/><Relationship Id="rId214" Type="http://schemas.openxmlformats.org/officeDocument/2006/relationships/hyperlink" Target="https://drive.google.com/open?id=1FzXL7tkQIeAX5ipN_4O2pEKVfLvROc6C" TargetMode="External"/><Relationship Id="rId235" Type="http://schemas.openxmlformats.org/officeDocument/2006/relationships/hyperlink" Target="https://drive.google.com/open?id=1fSsPddWvnUyngEnuB1Q8S9tppZgnbHtk" TargetMode="External"/><Relationship Id="rId256" Type="http://schemas.openxmlformats.org/officeDocument/2006/relationships/hyperlink" Target="https://g.page/Future-university-egypt-FUE?share" TargetMode="External"/><Relationship Id="rId277" Type="http://schemas.openxmlformats.org/officeDocument/2006/relationships/hyperlink" Target="https://g.page/Future-university-egypt-FUE?share" TargetMode="External"/><Relationship Id="rId298" Type="http://schemas.openxmlformats.org/officeDocument/2006/relationships/hyperlink" Target="https://g.page/Future-university-egypt-FUE?share" TargetMode="External"/><Relationship Id="rId400" Type="http://schemas.openxmlformats.org/officeDocument/2006/relationships/hyperlink" Target="https://drive.google.com/open?id=1R07O2lwrLSIPmUIXPcE6HUtUkS2eOGqF" TargetMode="External"/><Relationship Id="rId421" Type="http://schemas.openxmlformats.org/officeDocument/2006/relationships/hyperlink" Target="https://drive.google.com/open?id=1cshOQoakAA1MxYIQLt7-hFaDd5N6-HJt" TargetMode="External"/><Relationship Id="rId442" Type="http://schemas.openxmlformats.org/officeDocument/2006/relationships/hyperlink" Target="https://drive.google.com/open?id=1FPvsG1cvId6iNBUmCycK9XayXCKmo1Tc" TargetMode="External"/><Relationship Id="rId463" Type="http://schemas.openxmlformats.org/officeDocument/2006/relationships/hyperlink" Target="https://drive.google.com/open?id=1Ug61D8nObxkudS2LLCB1hdD5JfVMHb9V" TargetMode="External"/><Relationship Id="rId484" Type="http://schemas.openxmlformats.org/officeDocument/2006/relationships/hyperlink" Target="https://drive.google.com/open?id=1x04I9BwoSh_NoIHpoLIwA8QUM0KejTOO" TargetMode="External"/><Relationship Id="rId519" Type="http://schemas.openxmlformats.org/officeDocument/2006/relationships/hyperlink" Target="https://drive.google.com/open?id=1j1BZ8h9T_M2PFSf60rcsCs6fYiZ7IhRr" TargetMode="External"/><Relationship Id="rId116" Type="http://schemas.openxmlformats.org/officeDocument/2006/relationships/hyperlink" Target="https://drive.google.com/open?id=1dTc3G9iqerGwnDEqEiIA7JEntv1fbTxu" TargetMode="External"/><Relationship Id="rId137" Type="http://schemas.openxmlformats.org/officeDocument/2006/relationships/hyperlink" Target="https://drive.google.com/open?id=1jFjCkSY9R7GmDji8Xa8glfl0MpMooWhC" TargetMode="External"/><Relationship Id="rId158" Type="http://schemas.openxmlformats.org/officeDocument/2006/relationships/hyperlink" Target="https://drive.google.com/open?id=1A2MWMgVvaJDBm1hYGK9nKCkHGfqsMQLO" TargetMode="External"/><Relationship Id="rId302" Type="http://schemas.openxmlformats.org/officeDocument/2006/relationships/hyperlink" Target="https://g.page/Future-university-egypt-FUE?share" TargetMode="External"/><Relationship Id="rId323" Type="http://schemas.openxmlformats.org/officeDocument/2006/relationships/hyperlink" Target="https://g.page/Future-university-egypt-FUE?share" TargetMode="External"/><Relationship Id="rId344" Type="http://schemas.openxmlformats.org/officeDocument/2006/relationships/hyperlink" Target="https://g.page/Future-university-egypt-FUE?share" TargetMode="External"/><Relationship Id="rId530" Type="http://schemas.openxmlformats.org/officeDocument/2006/relationships/hyperlink" Target="https://drive.google.com/open?id=1waBSAuga20j8NiTfJ9r0PKKz8Sudm-gt" TargetMode="External"/><Relationship Id="rId20" Type="http://schemas.openxmlformats.org/officeDocument/2006/relationships/hyperlink" Target="https://drive.google.com/open?id=15tliDg_F6j18zdwl1JE7utyDnBilFlfg" TargetMode="External"/><Relationship Id="rId41" Type="http://schemas.openxmlformats.org/officeDocument/2006/relationships/hyperlink" Target="https://drive.google.com/open?id=1jY3DmAbFgjj4eaf_UHu40MfyjGbZBjvh" TargetMode="External"/><Relationship Id="rId62" Type="http://schemas.openxmlformats.org/officeDocument/2006/relationships/hyperlink" Target="https://goo.gl/maps/QpH7dmNahszbVCFM6" TargetMode="External"/><Relationship Id="rId83" Type="http://schemas.openxmlformats.org/officeDocument/2006/relationships/hyperlink" Target="mailto:Eslam.wageh@hotmail.com" TargetMode="External"/><Relationship Id="rId179" Type="http://schemas.openxmlformats.org/officeDocument/2006/relationships/hyperlink" Target="https://goo.gl/maps/AzRPq8f8ySLrbTXj8" TargetMode="External"/><Relationship Id="rId365" Type="http://schemas.openxmlformats.org/officeDocument/2006/relationships/hyperlink" Target="https://drive.google.com/open?id=1jKcUkDuvsHTg9HI0YxH-Z8b26TTufY0W" TargetMode="External"/><Relationship Id="rId386" Type="http://schemas.openxmlformats.org/officeDocument/2006/relationships/hyperlink" Target="https://drive.google.com/open?id=1AkTRig1LjTp4ijx1NUBr5FsteQwbAUzl" TargetMode="External"/><Relationship Id="rId551" Type="http://schemas.openxmlformats.org/officeDocument/2006/relationships/hyperlink" Target="https://drive.google.com/open?id=19JCgzn3p4eR2X_rHLyYc4NiNVXeXT1GY" TargetMode="External"/><Relationship Id="rId572" Type="http://schemas.openxmlformats.org/officeDocument/2006/relationships/hyperlink" Target="https://drive.google.com/open?id=1SBIrZ_sbwyMtnmsibbt9Q7zW-C16WnmC" TargetMode="External"/><Relationship Id="rId190" Type="http://schemas.openxmlformats.org/officeDocument/2006/relationships/hyperlink" Target="https://goo.gl/maps/AzRPq8f8ySLrbTXj8" TargetMode="External"/><Relationship Id="rId204" Type="http://schemas.openxmlformats.org/officeDocument/2006/relationships/hyperlink" Target="mailto:abdoshalaby270@gmail.com" TargetMode="External"/><Relationship Id="rId225" Type="http://schemas.openxmlformats.org/officeDocument/2006/relationships/hyperlink" Target="https://drive.google.com/open?id=1EpmjBZR2db_s3xduTThxqO0t0rPMyYAL" TargetMode="External"/><Relationship Id="rId246" Type="http://schemas.openxmlformats.org/officeDocument/2006/relationships/hyperlink" Target="https://drive.google.com/open?id=1cZPOvjNE5TQM9zOpQcVw3xvys8O38Xww" TargetMode="External"/><Relationship Id="rId267" Type="http://schemas.openxmlformats.org/officeDocument/2006/relationships/hyperlink" Target="https://g.page/Future-university-egypt-FUE?share" TargetMode="External"/><Relationship Id="rId288" Type="http://schemas.openxmlformats.org/officeDocument/2006/relationships/hyperlink" Target="https://g.page/Future-university-egypt-FUE?share" TargetMode="External"/><Relationship Id="rId411" Type="http://schemas.openxmlformats.org/officeDocument/2006/relationships/hyperlink" Target="https://drive.google.com/open?id=14pZRqL5yv6AH6QChsnXOlKWVzxfGHCAd" TargetMode="External"/><Relationship Id="rId432" Type="http://schemas.openxmlformats.org/officeDocument/2006/relationships/hyperlink" Target="https://drive.google.com/open?id=1XODZk3SIYGOnWTxAqQUGmIeNr9a9lhf-" TargetMode="External"/><Relationship Id="rId453" Type="http://schemas.openxmlformats.org/officeDocument/2006/relationships/hyperlink" Target="https://drive.google.com/open?id=1ZXOMmSmKfHXB8JfJUWKbCfiYVF6ZW42X" TargetMode="External"/><Relationship Id="rId474" Type="http://schemas.openxmlformats.org/officeDocument/2006/relationships/hyperlink" Target="https://drive.google.com/open?id=1z4r4ZUxK_NlGFVeMPeB5Jsb4Kc0-k074" TargetMode="External"/><Relationship Id="rId509" Type="http://schemas.openxmlformats.org/officeDocument/2006/relationships/hyperlink" Target="https://drive.google.com/open?id=1uh2U1KH1lUC0NXBgnyUa_fL84Qpd0yc1" TargetMode="External"/><Relationship Id="rId106" Type="http://schemas.openxmlformats.org/officeDocument/2006/relationships/hyperlink" Target="https://drive.google.com/open?id=1NTOhnL6bgl5ugXpul_n4l5qZbBQ7KZf2" TargetMode="External"/><Relationship Id="rId127" Type="http://schemas.openxmlformats.org/officeDocument/2006/relationships/hyperlink" Target="mailto:Mustafa26111985@gmail.com" TargetMode="External"/><Relationship Id="rId313" Type="http://schemas.openxmlformats.org/officeDocument/2006/relationships/hyperlink" Target="https://g.page/Future-university-egypt-FUE?share" TargetMode="External"/><Relationship Id="rId495" Type="http://schemas.openxmlformats.org/officeDocument/2006/relationships/hyperlink" Target="https://drive.google.com/open?id=10ZP4hDMow_Kwf1nBOADpfqsaMzkDOBCt" TargetMode="External"/><Relationship Id="rId10" Type="http://schemas.openxmlformats.org/officeDocument/2006/relationships/hyperlink" Target="https://drive.google.com/open?id=19ViIH9MOs-1P5Dq1hioAevd_UWLGePlp" TargetMode="External"/><Relationship Id="rId31" Type="http://schemas.openxmlformats.org/officeDocument/2006/relationships/hyperlink" Target="https://drive.google.com/open?id=1LMt6zWosDOVgSdbh9Ynu24UI1681fZbC" TargetMode="External"/><Relationship Id="rId52" Type="http://schemas.openxmlformats.org/officeDocument/2006/relationships/hyperlink" Target="https://drive.google.com/open?id=1-OZNzTtXjyYvCSmLGH4A-OcCiPQx7J5q" TargetMode="External"/><Relationship Id="rId73" Type="http://schemas.openxmlformats.org/officeDocument/2006/relationships/hyperlink" Target="https://goo.gl/maps/QpH7dmNahszbVCFM6" TargetMode="External"/><Relationship Id="rId94" Type="http://schemas.openxmlformats.org/officeDocument/2006/relationships/hyperlink" Target="https://drive.google.com/open?id=15iac31hN2xhCBwwVuqpkxkxli63Fq08f" TargetMode="External"/><Relationship Id="rId148" Type="http://schemas.openxmlformats.org/officeDocument/2006/relationships/hyperlink" Target="https://drive.google.com/open?id=15dw2xIAa7qQz7uaZBO3B-4jGz4JoO_fa" TargetMode="External"/><Relationship Id="rId169" Type="http://schemas.openxmlformats.org/officeDocument/2006/relationships/hyperlink" Target="https://goo.gl/maps/AzRPq8f8ySLrbTXj8" TargetMode="External"/><Relationship Id="rId334" Type="http://schemas.openxmlformats.org/officeDocument/2006/relationships/hyperlink" Target="https://g.page/Future-university-egypt-FUE?share" TargetMode="External"/><Relationship Id="rId355" Type="http://schemas.openxmlformats.org/officeDocument/2006/relationships/hyperlink" Target="https://drive.google.com/open?id=1HuzM6C7hfugSKzzRoOObdrZmRSYYHDTz" TargetMode="External"/><Relationship Id="rId376" Type="http://schemas.openxmlformats.org/officeDocument/2006/relationships/hyperlink" Target="https://drive.google.com/open?id=1ygR3Xp5Rr4v25tJFls37d54BE2qJ4uVj" TargetMode="External"/><Relationship Id="rId397" Type="http://schemas.openxmlformats.org/officeDocument/2006/relationships/hyperlink" Target="https://drive.google.com/open?id=1RsJ7dFNEn5WjcK43R434fPoZHQWgz5BM" TargetMode="External"/><Relationship Id="rId520" Type="http://schemas.openxmlformats.org/officeDocument/2006/relationships/hyperlink" Target="https://drive.google.com/open?id=1M1h7CvhcQ6ALbvHV4dVfrwQGZTrkDegl" TargetMode="External"/><Relationship Id="rId541" Type="http://schemas.openxmlformats.org/officeDocument/2006/relationships/hyperlink" Target="https://drive.google.com/open?id=1okpSK_bEobox0FRVQ3nYGboWXJKv8Q78" TargetMode="External"/><Relationship Id="rId562" Type="http://schemas.openxmlformats.org/officeDocument/2006/relationships/hyperlink" Target="https://drive.google.com/open?id=1-HG0ZYrlYJ3xm_l7pG2fGpwZvlbEnAeW" TargetMode="External"/><Relationship Id="rId583" Type="http://schemas.openxmlformats.org/officeDocument/2006/relationships/hyperlink" Target="https://drive.google.com/open?id=1r0pWAy30OuZS-Xc1adAhQqJQdLtBTv25" TargetMode="External"/><Relationship Id="rId4" Type="http://schemas.openxmlformats.org/officeDocument/2006/relationships/hyperlink" Target="https://drive.google.com/open?id=1pRcvFNs7w5BXUZ1DAeuwEebGVXkLU_85" TargetMode="External"/><Relationship Id="rId180" Type="http://schemas.openxmlformats.org/officeDocument/2006/relationships/hyperlink" Target="https://goo.gl/maps/AzRPq8f8ySLrbTXj8" TargetMode="External"/><Relationship Id="rId215" Type="http://schemas.openxmlformats.org/officeDocument/2006/relationships/hyperlink" Target="https://drive.google.com/open?id=1BNlcJKbnvXZ8lXgG3EsNvZ-MnYRQLaIi" TargetMode="External"/><Relationship Id="rId236" Type="http://schemas.openxmlformats.org/officeDocument/2006/relationships/hyperlink" Target="https://drive.google.com/open?id=1b2kTrlwsJIWzCaGBfT7Q4RW_6GFZQrKu" TargetMode="External"/><Relationship Id="rId257" Type="http://schemas.openxmlformats.org/officeDocument/2006/relationships/hyperlink" Target="https://g.page/Future-university-egypt-FUE?share" TargetMode="External"/><Relationship Id="rId278" Type="http://schemas.openxmlformats.org/officeDocument/2006/relationships/hyperlink" Target="https://g.page/Future-university-egypt-FUE?share" TargetMode="External"/><Relationship Id="rId401" Type="http://schemas.openxmlformats.org/officeDocument/2006/relationships/hyperlink" Target="https://drive.google.com/open?id=1_a-_AWZvqzAtEm-81LEjEDt7i4OngCID" TargetMode="External"/><Relationship Id="rId422" Type="http://schemas.openxmlformats.org/officeDocument/2006/relationships/hyperlink" Target="https://drive.google.com/open?id=1P1MH1V5OvrlNpgfCVtGlMBmR4p5wTcHL" TargetMode="External"/><Relationship Id="rId443" Type="http://schemas.openxmlformats.org/officeDocument/2006/relationships/hyperlink" Target="https://drive.google.com/open?id=1HKE8HJt5wgjfa_IZNhPKAi2F4q5cpNSL" TargetMode="External"/><Relationship Id="rId464" Type="http://schemas.openxmlformats.org/officeDocument/2006/relationships/hyperlink" Target="https://drive.google.com/open?id=1PJ0sgxG7xXkFBQ3xX3k0AeRl2-StUeNs" TargetMode="External"/><Relationship Id="rId303" Type="http://schemas.openxmlformats.org/officeDocument/2006/relationships/hyperlink" Target="https://g.page/Future-university-egypt-FUE?share" TargetMode="External"/><Relationship Id="rId485" Type="http://schemas.openxmlformats.org/officeDocument/2006/relationships/hyperlink" Target="https://drive.google.com/open?id=1bJ5Vqk7xIS1Kvf06frio6Npvk6HotBw6" TargetMode="External"/><Relationship Id="rId42" Type="http://schemas.openxmlformats.org/officeDocument/2006/relationships/hyperlink" Target="https://drive.google.com/open?id=1GAI6FJw0miaHfKyhVGLRd5anmWXer5E_" TargetMode="External"/><Relationship Id="rId84" Type="http://schemas.openxmlformats.org/officeDocument/2006/relationships/hyperlink" Target="https://drive.google.com/open?id=1BJWi3XF48djqEHbBtq2hIapc46XNKPea" TargetMode="External"/><Relationship Id="rId138" Type="http://schemas.openxmlformats.org/officeDocument/2006/relationships/hyperlink" Target="https://drive.google.com/open?id=1SM2_0x8h9bKlC-neecPca4sCHwu1VOct" TargetMode="External"/><Relationship Id="rId345" Type="http://schemas.openxmlformats.org/officeDocument/2006/relationships/hyperlink" Target="https://g.page/Future-university-egypt-FUE?share" TargetMode="External"/><Relationship Id="rId387" Type="http://schemas.openxmlformats.org/officeDocument/2006/relationships/hyperlink" Target="https://drive.google.com/open?id=1aVf3y0gW70lFIKj_ix1MvfrENwWdymVy" TargetMode="External"/><Relationship Id="rId510" Type="http://schemas.openxmlformats.org/officeDocument/2006/relationships/hyperlink" Target="https://drive.google.com/open?id=1v477oETJeejyXvW-ucGZklHrDLcX8u6p" TargetMode="External"/><Relationship Id="rId552" Type="http://schemas.openxmlformats.org/officeDocument/2006/relationships/hyperlink" Target="https://drive.google.com/open?id=1IWgndfmhL3fUUhz6jPnIwgBT5DpZ-ozG" TargetMode="External"/><Relationship Id="rId191" Type="http://schemas.openxmlformats.org/officeDocument/2006/relationships/hyperlink" Target="https://goo.gl/maps/AzRPq8f8ySLrbTXj8" TargetMode="External"/><Relationship Id="rId205" Type="http://schemas.openxmlformats.org/officeDocument/2006/relationships/hyperlink" Target="https://drive.google.com/open?id=1kU6xhVZrKj63gfQlIktbKmqiVQBU5_13" TargetMode="External"/><Relationship Id="rId247" Type="http://schemas.openxmlformats.org/officeDocument/2006/relationships/hyperlink" Target="https://drive.google.com/open?id=1Phc_DjEAwUcCeZXIKH0qMkgSOf0IVqL7" TargetMode="External"/><Relationship Id="rId412" Type="http://schemas.openxmlformats.org/officeDocument/2006/relationships/hyperlink" Target="https://drive.google.com/open?id=1Hdq_6HQ-F38fo2IPHDxxTtOYAViETuuL" TargetMode="External"/><Relationship Id="rId107" Type="http://schemas.openxmlformats.org/officeDocument/2006/relationships/hyperlink" Target="https://drive.google.com/open?id=1xX6DEB2adKUljE-q-L2k_a9XJVp-K4GF" TargetMode="External"/><Relationship Id="rId289" Type="http://schemas.openxmlformats.org/officeDocument/2006/relationships/hyperlink" Target="https://g.page/Future-university-egypt-FUE?share" TargetMode="External"/><Relationship Id="rId454" Type="http://schemas.openxmlformats.org/officeDocument/2006/relationships/hyperlink" Target="https://drive.google.com/open?id=1t0xXcBO3KztTLoSZhVgEC9I48XFdLGlf" TargetMode="External"/><Relationship Id="rId496" Type="http://schemas.openxmlformats.org/officeDocument/2006/relationships/hyperlink" Target="https://drive.google.com/open?id=1OGdrTvc9emSZ4m92dP-LXJQVPRAbyAJN" TargetMode="External"/><Relationship Id="rId11" Type="http://schemas.openxmlformats.org/officeDocument/2006/relationships/hyperlink" Target="https://drive.google.com/open?id=1cu3vr2-dKewMJOhFz9JgPiS3eyAKAXUz" TargetMode="External"/><Relationship Id="rId53" Type="http://schemas.openxmlformats.org/officeDocument/2006/relationships/hyperlink" Target="https://drive.google.com/open?id=1MiECLpV_ZeVjovNpcTd3UEh6kj966hqr" TargetMode="External"/><Relationship Id="rId149" Type="http://schemas.openxmlformats.org/officeDocument/2006/relationships/hyperlink" Target="https://drive.google.com/open?id=1YlG3Rpce-zl0CT2SMqbLeICAFGcVIcHD" TargetMode="External"/><Relationship Id="rId314" Type="http://schemas.openxmlformats.org/officeDocument/2006/relationships/hyperlink" Target="https://g.page/Future-university-egypt-FUE?share" TargetMode="External"/><Relationship Id="rId356" Type="http://schemas.openxmlformats.org/officeDocument/2006/relationships/hyperlink" Target="https://g.page/Future-university-egypt-FUE?share" TargetMode="External"/><Relationship Id="rId398" Type="http://schemas.openxmlformats.org/officeDocument/2006/relationships/hyperlink" Target="https://drive.google.com/open?id=1FH4p1oBKGrpZmkQd5iKmMuQtU-gMLeq5" TargetMode="External"/><Relationship Id="rId521" Type="http://schemas.openxmlformats.org/officeDocument/2006/relationships/hyperlink" Target="https://drive.google.com/open?id=1InpBPw60mj9k_AXtzrOOdPL0RjNtZMKx" TargetMode="External"/><Relationship Id="rId563" Type="http://schemas.openxmlformats.org/officeDocument/2006/relationships/hyperlink" Target="https://drive.google.com/open?id=1LP_jgBr20qfQOXyPQUeqNDOjEWRcVTln" TargetMode="External"/><Relationship Id="rId95" Type="http://schemas.openxmlformats.org/officeDocument/2006/relationships/hyperlink" Target="https://drive.google.com/open?id=1ZNh129ce3fZq22EIwCauioUlbgtWeKaQ" TargetMode="External"/><Relationship Id="rId160" Type="http://schemas.openxmlformats.org/officeDocument/2006/relationships/hyperlink" Target="https://drive.google.com/open?id=1jBrEc1-B1JoW6t0Q2udDKo5Y2u-msrtI" TargetMode="External"/><Relationship Id="rId216" Type="http://schemas.openxmlformats.org/officeDocument/2006/relationships/hyperlink" Target="https://drive.google.com/open?id=1rKzPdSgxoOofy_xMIotP-Dot4w0SDu9n" TargetMode="External"/><Relationship Id="rId423" Type="http://schemas.openxmlformats.org/officeDocument/2006/relationships/hyperlink" Target="https://drive.google.com/open?id=1hOAgVt9hhZnNz-Gv9puuQNhgmBFYVwur" TargetMode="External"/><Relationship Id="rId258" Type="http://schemas.openxmlformats.org/officeDocument/2006/relationships/hyperlink" Target="https://g.page/Future-university-egypt-FUE?share" TargetMode="External"/><Relationship Id="rId465" Type="http://schemas.openxmlformats.org/officeDocument/2006/relationships/hyperlink" Target="https://drive.google.com/open?id=1flQ421upWBFcJwJKLta6DJw_tp5nH9RE" TargetMode="External"/><Relationship Id="rId22" Type="http://schemas.openxmlformats.org/officeDocument/2006/relationships/hyperlink" Target="https://drive.google.com/open?id=1UuCd4rO9u0f4lAm47IdvO6IQxlMLOfzA" TargetMode="External"/><Relationship Id="rId64" Type="http://schemas.openxmlformats.org/officeDocument/2006/relationships/hyperlink" Target="https://goo.gl/maps/QpH7dmNahszbVCFM6" TargetMode="External"/><Relationship Id="rId118" Type="http://schemas.openxmlformats.org/officeDocument/2006/relationships/hyperlink" Target="https://drive.google.com/open?id=1TPXFQgqmzX9-5ahh9U79e_rB_J9VE08a" TargetMode="External"/><Relationship Id="rId325" Type="http://schemas.openxmlformats.org/officeDocument/2006/relationships/hyperlink" Target="https://g.page/Future-university-egypt-FUE?share" TargetMode="External"/><Relationship Id="rId367" Type="http://schemas.openxmlformats.org/officeDocument/2006/relationships/hyperlink" Target="https://drive.google.com/open?id=1HyMk1-edYsjxMkdibmGtsBWAXht3fDKj" TargetMode="External"/><Relationship Id="rId532" Type="http://schemas.openxmlformats.org/officeDocument/2006/relationships/hyperlink" Target="https://drive.google.com/open?id=1MBbr_iv1Dn5t2T7mz5jAnliqqglYRpNL" TargetMode="External"/><Relationship Id="rId574" Type="http://schemas.openxmlformats.org/officeDocument/2006/relationships/hyperlink" Target="https://drive.google.com/open?id=1nGeWz1v0dbtOmYyS3JYRWWHdjzDa4Gp8" TargetMode="External"/><Relationship Id="rId171" Type="http://schemas.openxmlformats.org/officeDocument/2006/relationships/hyperlink" Target="https://goo.gl/maps/AzRPq8f8ySLrbTXj8" TargetMode="External"/><Relationship Id="rId227" Type="http://schemas.openxmlformats.org/officeDocument/2006/relationships/hyperlink" Target="https://drive.google.com/open?id=1VhqyLpflPfdiZemgty3ql6QqeB9PYIvt" TargetMode="External"/><Relationship Id="rId269" Type="http://schemas.openxmlformats.org/officeDocument/2006/relationships/hyperlink" Target="https://g.page/Future-university-egypt-FUE?share" TargetMode="External"/><Relationship Id="rId434" Type="http://schemas.openxmlformats.org/officeDocument/2006/relationships/hyperlink" Target="https://drive.google.com/open?id=1-WTA9sWaZQiURuEsIrraouHQHYWEOAMK" TargetMode="External"/><Relationship Id="rId476" Type="http://schemas.openxmlformats.org/officeDocument/2006/relationships/hyperlink" Target="https://drive.google.com/open?id=159-sLQ53Qq1rW0UmIW0QvrdPisR7F2yM" TargetMode="External"/><Relationship Id="rId33" Type="http://schemas.openxmlformats.org/officeDocument/2006/relationships/hyperlink" Target="https://drive.google.com/open?id=1UfpnL8ItKl-ZZmtY4UQbaAoAGN8ITKD0" TargetMode="External"/><Relationship Id="rId129" Type="http://schemas.openxmlformats.org/officeDocument/2006/relationships/hyperlink" Target="https://drive.google.com/open?id=1Fs6u_s6sB-wN7aedIXfXcT1_qFj7qY95" TargetMode="External"/><Relationship Id="rId280" Type="http://schemas.openxmlformats.org/officeDocument/2006/relationships/hyperlink" Target="https://g.page/Future-university-egypt-FUE?share" TargetMode="External"/><Relationship Id="rId336" Type="http://schemas.openxmlformats.org/officeDocument/2006/relationships/hyperlink" Target="https://g.page/Future-university-egypt-FUE?share" TargetMode="External"/><Relationship Id="rId501" Type="http://schemas.openxmlformats.org/officeDocument/2006/relationships/hyperlink" Target="https://drive.google.com/open?id=1js8q0nC6adDyB0LiCvyvI7qsP1FaT_Wy" TargetMode="External"/><Relationship Id="rId543" Type="http://schemas.openxmlformats.org/officeDocument/2006/relationships/hyperlink" Target="https://drive.google.com/open?id=1EhBguaYyp9TMJ6D2WkgoouX6pQvolE5r" TargetMode="External"/><Relationship Id="rId75" Type="http://schemas.openxmlformats.org/officeDocument/2006/relationships/hyperlink" Target="mailto:ahisham@horus.edu.eg" TargetMode="External"/><Relationship Id="rId140" Type="http://schemas.openxmlformats.org/officeDocument/2006/relationships/hyperlink" Target="https://drive.google.com/open?id=1tPMHZtlFrteLot29hrCljN9-YInX4oEW" TargetMode="External"/><Relationship Id="rId182" Type="http://schemas.openxmlformats.org/officeDocument/2006/relationships/hyperlink" Target="https://goo.gl/maps/AzRPq8f8ySLrbTXj8" TargetMode="External"/><Relationship Id="rId378" Type="http://schemas.openxmlformats.org/officeDocument/2006/relationships/hyperlink" Target="https://drive.google.com/open?id=1m9VfjnLw0kCboqZmhDMlyy4AbYzERhqj" TargetMode="External"/><Relationship Id="rId403" Type="http://schemas.openxmlformats.org/officeDocument/2006/relationships/hyperlink" Target="https://drive.google.com/open?id=1onzbj8MEMHiGVEJP4wmC0eQzwH6lD1lu" TargetMode="External"/><Relationship Id="rId585" Type="http://schemas.openxmlformats.org/officeDocument/2006/relationships/hyperlink" Target="https://goo.gl/maps/QpH7dmNahszbVCFM6" TargetMode="External"/><Relationship Id="rId6" Type="http://schemas.openxmlformats.org/officeDocument/2006/relationships/hyperlink" Target="https://drive.google.com/open?id=1LmOF7I9RZlNrMGvZIMC6oSAiAnd5fvix" TargetMode="External"/><Relationship Id="rId238" Type="http://schemas.openxmlformats.org/officeDocument/2006/relationships/hyperlink" Target="https://drive.google.com/open?id=1HqBay1WAaflNpZmZsyIu-yqV68Ej_j5z" TargetMode="External"/><Relationship Id="rId445" Type="http://schemas.openxmlformats.org/officeDocument/2006/relationships/hyperlink" Target="https://drive.google.com/open?id=1KatqtJ90t32a8ItmVI-j7aS9WXNOGSWZ" TargetMode="External"/><Relationship Id="rId487" Type="http://schemas.openxmlformats.org/officeDocument/2006/relationships/hyperlink" Target="https://drive.google.com/open?id=1iDWfcSJx1dMBFY2WtPwyDnLw0gduKi1R" TargetMode="External"/><Relationship Id="rId291" Type="http://schemas.openxmlformats.org/officeDocument/2006/relationships/hyperlink" Target="https://g.page/Future-university-egypt-FUE?share" TargetMode="External"/><Relationship Id="rId305" Type="http://schemas.openxmlformats.org/officeDocument/2006/relationships/hyperlink" Target="https://g.page/Future-university-egypt-FUE?share" TargetMode="External"/><Relationship Id="rId347" Type="http://schemas.openxmlformats.org/officeDocument/2006/relationships/hyperlink" Target="https://drive.google.com/open?id=1jIjLpZB78AsxKqrMl8HMMPpzD-fj5BWe" TargetMode="External"/><Relationship Id="rId512" Type="http://schemas.openxmlformats.org/officeDocument/2006/relationships/hyperlink" Target="https://drive.google.com/open?id=1KIjvq59lIkiVkm6PP_OEnx2PQJpdTWSV" TargetMode="External"/><Relationship Id="rId44" Type="http://schemas.openxmlformats.org/officeDocument/2006/relationships/hyperlink" Target="https://drive.google.com/open?id=1-CB2GVAJ0xl5mri6Po0otRc58fIvoyoT" TargetMode="External"/><Relationship Id="rId86" Type="http://schemas.openxmlformats.org/officeDocument/2006/relationships/hyperlink" Target="https://drive.google.com/open?id=1JRqkXy8g7JDk8FpmKWsAn20NCK_K-dqm" TargetMode="External"/><Relationship Id="rId151" Type="http://schemas.openxmlformats.org/officeDocument/2006/relationships/hyperlink" Target="https://drive.google.com/open?id=1vFMFOHu4HxQkEhKqtsuWG87EzrE06BwV" TargetMode="External"/><Relationship Id="rId389" Type="http://schemas.openxmlformats.org/officeDocument/2006/relationships/hyperlink" Target="https://drive.google.com/open?id=1aSE9sN3ygSqjvvAPvomeBY69Rs1lPyH8" TargetMode="External"/><Relationship Id="rId554" Type="http://schemas.openxmlformats.org/officeDocument/2006/relationships/hyperlink" Target="https://drive.google.com/open?id=1AOu4B4SocacZkvjl5QAbEXkFUBQMNa6a" TargetMode="External"/><Relationship Id="rId193" Type="http://schemas.openxmlformats.org/officeDocument/2006/relationships/hyperlink" Target="https://goo.gl/maps/AzRPq8f8ySLrbTXj8" TargetMode="External"/><Relationship Id="rId207" Type="http://schemas.openxmlformats.org/officeDocument/2006/relationships/hyperlink" Target="mailto:a7132312@gmail.com" TargetMode="External"/><Relationship Id="rId249" Type="http://schemas.openxmlformats.org/officeDocument/2006/relationships/hyperlink" Target="https://drive.google.com/open?id=1cG6JKKVamg-nEc1JUsyaPt9_GJINFSz2" TargetMode="External"/><Relationship Id="rId414" Type="http://schemas.openxmlformats.org/officeDocument/2006/relationships/hyperlink" Target="https://drive.google.com/open?id=1KXBIqJeKt0dB1-Nd9UfzaE5Aqtao1xSX" TargetMode="External"/><Relationship Id="rId456" Type="http://schemas.openxmlformats.org/officeDocument/2006/relationships/hyperlink" Target="https://drive.google.com/open?id=1_hH2Pi7H2dVUZepTfDbZ-V2SklTqfT5D" TargetMode="External"/><Relationship Id="rId498" Type="http://schemas.openxmlformats.org/officeDocument/2006/relationships/hyperlink" Target="https://drive.google.com/open?id=1o5QR3uRtW4ry04W944BDrMiOpPhyAyNw" TargetMode="External"/><Relationship Id="rId13" Type="http://schemas.openxmlformats.org/officeDocument/2006/relationships/hyperlink" Target="https://drive.google.com/open?id=1wzT-oDmHJtGV7JqpNeEczJ5sMcaQJeMh" TargetMode="External"/><Relationship Id="rId109" Type="http://schemas.openxmlformats.org/officeDocument/2006/relationships/hyperlink" Target="https://drive.google.com/open?id=14uUyW7aaNRbXY3ATvQJBF1h_HXQUKMn_" TargetMode="External"/><Relationship Id="rId260" Type="http://schemas.openxmlformats.org/officeDocument/2006/relationships/hyperlink" Target="https://g.page/Future-university-egypt-FUE?share" TargetMode="External"/><Relationship Id="rId316" Type="http://schemas.openxmlformats.org/officeDocument/2006/relationships/hyperlink" Target="https://g.page/Future-university-egypt-FUE?share" TargetMode="External"/><Relationship Id="rId523" Type="http://schemas.openxmlformats.org/officeDocument/2006/relationships/hyperlink" Target="https://drive.google.com/open?id=15WD-RxOXgN5OZRFy6DRrBXtE8tvVGE3N" TargetMode="External"/><Relationship Id="rId55" Type="http://schemas.openxmlformats.org/officeDocument/2006/relationships/hyperlink" Target="https://drive.google.com/open?id=1nx-bvjFzKvdtt8Jwrj5CRiycTLJrEPnt" TargetMode="External"/><Relationship Id="rId97" Type="http://schemas.openxmlformats.org/officeDocument/2006/relationships/hyperlink" Target="https://drive.google.com/open?id=1tyAgm5kCvz8b4ehhODYxlc8MHDmjXKL0" TargetMode="External"/><Relationship Id="rId120" Type="http://schemas.openxmlformats.org/officeDocument/2006/relationships/hyperlink" Target="https://drive.google.com/open?id=1P2SxUGQivQ87-oTD0svERc1e--muND7q" TargetMode="External"/><Relationship Id="rId358" Type="http://schemas.openxmlformats.org/officeDocument/2006/relationships/hyperlink" Target="https://drive.google.com/open?id=15mB1BnpbLsnEsdzUfovkUI1REyx4ld8i" TargetMode="External"/><Relationship Id="rId565" Type="http://schemas.openxmlformats.org/officeDocument/2006/relationships/hyperlink" Target="https://drive.google.com/open?id=1DQ447grDLSDSwmIMMknw0A03ZVg8oXoh" TargetMode="External"/><Relationship Id="rId162" Type="http://schemas.openxmlformats.org/officeDocument/2006/relationships/hyperlink" Target="https://drive.google.com/open?id=1Xxz5v88Uz_NiFX-O0ipUxtfkSPp6iMwy" TargetMode="External"/><Relationship Id="rId218" Type="http://schemas.openxmlformats.org/officeDocument/2006/relationships/hyperlink" Target="https://drive.google.com/open?id=1FFh2YKYTxG8pwwcSzt_Ylw8o7EVt7WkB" TargetMode="External"/><Relationship Id="rId425" Type="http://schemas.openxmlformats.org/officeDocument/2006/relationships/hyperlink" Target="https://drive.google.com/open?id=1yByo5nKRRUORr-O4kgKAYGZHSj0spY9-" TargetMode="External"/><Relationship Id="rId467" Type="http://schemas.openxmlformats.org/officeDocument/2006/relationships/hyperlink" Target="https://drive.google.com/open?id=1yr-9YA2pIBCNtOjSjyOU3QdGlS2VXEr4" TargetMode="External"/><Relationship Id="rId271" Type="http://schemas.openxmlformats.org/officeDocument/2006/relationships/hyperlink" Target="https://g.page/Future-university-egypt-FUE?share" TargetMode="External"/><Relationship Id="rId24" Type="http://schemas.openxmlformats.org/officeDocument/2006/relationships/hyperlink" Target="https://drive.google.com/open?id=1_yLYiewwIa94uNezGhki5E9vS1ktPj3C" TargetMode="External"/><Relationship Id="rId66" Type="http://schemas.openxmlformats.org/officeDocument/2006/relationships/hyperlink" Target="https://goo.gl/maps/QpH7dmNahszbVCFM6" TargetMode="External"/><Relationship Id="rId131" Type="http://schemas.openxmlformats.org/officeDocument/2006/relationships/hyperlink" Target="https://drive.google.com/open?id=1ybsFJ26zt8KrocrPXM-L_TZmxtJJhSQC" TargetMode="External"/><Relationship Id="rId327" Type="http://schemas.openxmlformats.org/officeDocument/2006/relationships/hyperlink" Target="https://g.page/Future-university-egypt-FUE?share" TargetMode="External"/><Relationship Id="rId369" Type="http://schemas.openxmlformats.org/officeDocument/2006/relationships/hyperlink" Target="https://drive.google.com/open?id=1-arCuBmBM4Vxq9miUHiINULT3rXXnSkS" TargetMode="External"/><Relationship Id="rId534" Type="http://schemas.openxmlformats.org/officeDocument/2006/relationships/hyperlink" Target="https://drive.google.com/open?id=1F9yih27YdMA1dEY-rWrmKc6zR0bdPdlL" TargetMode="External"/><Relationship Id="rId576" Type="http://schemas.openxmlformats.org/officeDocument/2006/relationships/hyperlink" Target="mailto:maha.alsharif55@yahoo.com" TargetMode="External"/><Relationship Id="rId173" Type="http://schemas.openxmlformats.org/officeDocument/2006/relationships/hyperlink" Target="https://goo.gl/maps/AzRPq8f8ySLrbTXj8" TargetMode="External"/><Relationship Id="rId229" Type="http://schemas.openxmlformats.org/officeDocument/2006/relationships/hyperlink" Target="https://drive.google.com/open?id=1GAwpzs_jq7cOOTH0aydzFgxitok-knyu" TargetMode="External"/><Relationship Id="rId380" Type="http://schemas.openxmlformats.org/officeDocument/2006/relationships/hyperlink" Target="https://drive.google.com/open?id=1gPJ9-B-3XRKjrgr6EWVUVd9RYWhVAABk" TargetMode="External"/><Relationship Id="rId436" Type="http://schemas.openxmlformats.org/officeDocument/2006/relationships/hyperlink" Target="https://drive.google.com/open?id=1AI70DvtEOu1HWXN3irDY5ikcKDzGzhSN" TargetMode="External"/><Relationship Id="rId240" Type="http://schemas.openxmlformats.org/officeDocument/2006/relationships/hyperlink" Target="https://drive.google.com/open?id=1IColAvj4zdFMG7VuxeMGEaz4p3CTWBAK" TargetMode="External"/><Relationship Id="rId478" Type="http://schemas.openxmlformats.org/officeDocument/2006/relationships/hyperlink" Target="https://drive.google.com/open?id=1k8d0y32aDKapCSFK379ZBes12F-WTVy5" TargetMode="External"/><Relationship Id="rId35" Type="http://schemas.openxmlformats.org/officeDocument/2006/relationships/hyperlink" Target="https://drive.google.com/open?id=1LVm-Gq8i2x9MmuvkhLM-IO3ahI_XRELu" TargetMode="External"/><Relationship Id="rId77" Type="http://schemas.openxmlformats.org/officeDocument/2006/relationships/hyperlink" Target="mailto:mzwein@horus.edu.eg" TargetMode="External"/><Relationship Id="rId100" Type="http://schemas.openxmlformats.org/officeDocument/2006/relationships/hyperlink" Target="https://drive.google.com/open?id=1TtwTNqk8YkuBcBuvf5AU-zNRq_7frJOx" TargetMode="External"/><Relationship Id="rId282" Type="http://schemas.openxmlformats.org/officeDocument/2006/relationships/hyperlink" Target="https://g.page/Future-university-egypt-FUE?share" TargetMode="External"/><Relationship Id="rId338" Type="http://schemas.openxmlformats.org/officeDocument/2006/relationships/hyperlink" Target="https://g.page/Future-university-egypt-FUE?share" TargetMode="External"/><Relationship Id="rId503" Type="http://schemas.openxmlformats.org/officeDocument/2006/relationships/hyperlink" Target="https://drive.google.com/open?id=1MtFuFMZzCut7DekFj3UCBKQY_yN-IDdC" TargetMode="External"/><Relationship Id="rId545" Type="http://schemas.openxmlformats.org/officeDocument/2006/relationships/hyperlink" Target="https://drive.google.com/open?id=1vqx4ZKPUA9gEDmTOVr8cxujGtSFKagPg" TargetMode="External"/><Relationship Id="rId587" Type="http://schemas.openxmlformats.org/officeDocument/2006/relationships/hyperlink" Target="https://g.page/Future-university-egypt-FUE?share" TargetMode="External"/><Relationship Id="rId8" Type="http://schemas.openxmlformats.org/officeDocument/2006/relationships/hyperlink" Target="https://drive.google.com/open?id=1OFPvFV9nzmr6k0NqsyWapKb-c0LUtu7Q" TargetMode="External"/><Relationship Id="rId142" Type="http://schemas.openxmlformats.org/officeDocument/2006/relationships/hyperlink" Target="https://drive.google.com/open?id=16fhhpSODd7dvKk0Hr3qE3Sqe-TeJiKBg" TargetMode="External"/><Relationship Id="rId184" Type="http://schemas.openxmlformats.org/officeDocument/2006/relationships/hyperlink" Target="https://goo.gl/maps/AzRPq8f8ySLrbTXj8" TargetMode="External"/><Relationship Id="rId391" Type="http://schemas.openxmlformats.org/officeDocument/2006/relationships/hyperlink" Target="https://drive.google.com/open?id=13CFgR2IP7-RnQa-Rw9_egr3VTMfocPBc" TargetMode="External"/><Relationship Id="rId405" Type="http://schemas.openxmlformats.org/officeDocument/2006/relationships/hyperlink" Target="https://drive.google.com/open?id=15MZz_K_AG7SXN4HQx2hHOflaHpUHL3Ti" TargetMode="External"/><Relationship Id="rId447" Type="http://schemas.openxmlformats.org/officeDocument/2006/relationships/hyperlink" Target="https://drive.google.com/open?id=1ZSUKIF8aijs1dZu6M__aBTTlCnbNF69g" TargetMode="External"/><Relationship Id="rId251" Type="http://schemas.openxmlformats.org/officeDocument/2006/relationships/hyperlink" Target="https://drive.google.com/open?id=1fbiPyJxWL6VHKIwL5FPeUTN8eiewuRAD" TargetMode="External"/><Relationship Id="rId489" Type="http://schemas.openxmlformats.org/officeDocument/2006/relationships/hyperlink" Target="https://drive.google.com/open?id=1Xuffdp-hR-yZ6xMwbdMrRsFigvk9xpJ8" TargetMode="External"/><Relationship Id="rId46" Type="http://schemas.openxmlformats.org/officeDocument/2006/relationships/hyperlink" Target="https://drive.google.com/open?id=1tcLbyihNJPpkIyL6rLVWRUcdEK7L_ILO" TargetMode="External"/><Relationship Id="rId293" Type="http://schemas.openxmlformats.org/officeDocument/2006/relationships/hyperlink" Target="https://g.page/Future-university-egypt-FUE?share" TargetMode="External"/><Relationship Id="rId307" Type="http://schemas.openxmlformats.org/officeDocument/2006/relationships/hyperlink" Target="https://g.page/Future-university-egypt-FUE?share" TargetMode="External"/><Relationship Id="rId349" Type="http://schemas.openxmlformats.org/officeDocument/2006/relationships/hyperlink" Target="https://drive.google.com/open?id=130jI6OOzW8B5mHKiV6YmaAt1EqEBc8V5" TargetMode="External"/><Relationship Id="rId514" Type="http://schemas.openxmlformats.org/officeDocument/2006/relationships/hyperlink" Target="https://drive.google.com/open?id=1x0AcJj6MWuavgIOgZjO99Pl9cJwUiISK" TargetMode="External"/><Relationship Id="rId556" Type="http://schemas.openxmlformats.org/officeDocument/2006/relationships/hyperlink" Target="https://drive.google.com/open?id=1UePb88i7gxiBAGu48BRUD8uIOAFR7aWn" TargetMode="External"/><Relationship Id="rId88" Type="http://schemas.openxmlformats.org/officeDocument/2006/relationships/hyperlink" Target="https://drive.google.com/open?id=1i-UnE4tDOLyfIxhulGez3GAjCnbKbmgS" TargetMode="External"/><Relationship Id="rId111" Type="http://schemas.openxmlformats.org/officeDocument/2006/relationships/hyperlink" Target="https://drive.google.com/open?id=1Tr87PiBTSBIz9AxjVHmAK9WhiqShKZXV" TargetMode="External"/><Relationship Id="rId153" Type="http://schemas.openxmlformats.org/officeDocument/2006/relationships/hyperlink" Target="https://drive.google.com/open?id=1oMasuTkam-6Cj8gC_eT7yeC8JVG-cTzS" TargetMode="External"/><Relationship Id="rId195" Type="http://schemas.openxmlformats.org/officeDocument/2006/relationships/hyperlink" Target="https://goo.gl/maps/AzRPq8f8ySLrbTXj8" TargetMode="External"/><Relationship Id="rId209" Type="http://schemas.openxmlformats.org/officeDocument/2006/relationships/hyperlink" Target="https://drive.google.com/open?id=1ezM6bkJXZzOqCHELzDMH38lpzUez5ADm" TargetMode="External"/><Relationship Id="rId360" Type="http://schemas.openxmlformats.org/officeDocument/2006/relationships/hyperlink" Target="https://drive.google.com/open?id=196DeBkD9bAU0gK3AQv95ONPKZOpAUoHA" TargetMode="External"/><Relationship Id="rId416" Type="http://schemas.openxmlformats.org/officeDocument/2006/relationships/hyperlink" Target="https://drive.google.com/open?id=1fGs-ZBe5qNsWrSx500TfwkxTVNWa410a" TargetMode="External"/><Relationship Id="rId220" Type="http://schemas.openxmlformats.org/officeDocument/2006/relationships/hyperlink" Target="https://drive.google.com/open?id=1vwG3du5pfTCaXKrLj0LyZkJTc5mGn98C" TargetMode="External"/><Relationship Id="rId458" Type="http://schemas.openxmlformats.org/officeDocument/2006/relationships/hyperlink" Target="https://drive.google.com/open?id=16_a6nttEMm_khB_xh8Pw55kZBkNwMRcv" TargetMode="External"/><Relationship Id="rId15" Type="http://schemas.openxmlformats.org/officeDocument/2006/relationships/hyperlink" Target="https://drive.google.com/open?id=1TfRW8tAi-8jU5_xlyeKeUli8ANXgpA7V" TargetMode="External"/><Relationship Id="rId57" Type="http://schemas.openxmlformats.org/officeDocument/2006/relationships/hyperlink" Target="https://drive.google.com/open?id=1I2vqbAZFB5hJP2X6WzzIJEpC27pP9kJl" TargetMode="External"/><Relationship Id="rId262" Type="http://schemas.openxmlformats.org/officeDocument/2006/relationships/hyperlink" Target="https://g.page/Future-university-egypt-FUE?share" TargetMode="External"/><Relationship Id="rId318" Type="http://schemas.openxmlformats.org/officeDocument/2006/relationships/hyperlink" Target="https://g.page/Future-university-egypt-FUE?share" TargetMode="External"/><Relationship Id="rId525" Type="http://schemas.openxmlformats.org/officeDocument/2006/relationships/hyperlink" Target="https://drive.google.com/open?id=1xD3bYDGjarVPd2c0fB-omrx9o99p786J" TargetMode="External"/><Relationship Id="rId567" Type="http://schemas.openxmlformats.org/officeDocument/2006/relationships/hyperlink" Target="https://drive.google.com/open?id=1g_V1WylHgpuQu9QF8lwTZQARr4WFQx3z" TargetMode="External"/><Relationship Id="rId99" Type="http://schemas.openxmlformats.org/officeDocument/2006/relationships/hyperlink" Target="https://drive.google.com/open?id=1O7SUhoDL4aSFGonkTOwM0MVmvtEQLf1j" TargetMode="External"/><Relationship Id="rId122" Type="http://schemas.openxmlformats.org/officeDocument/2006/relationships/hyperlink" Target="https://drive.google.com/open?id=1QDDcp9kYmWHFf8S33_AlVE6vAX952_Qi" TargetMode="External"/><Relationship Id="rId164" Type="http://schemas.openxmlformats.org/officeDocument/2006/relationships/hyperlink" Target="https://drive.google.com/open?id=1NxqyVCWp_HyWozq6jdRdMM037miphx2I" TargetMode="External"/><Relationship Id="rId371" Type="http://schemas.openxmlformats.org/officeDocument/2006/relationships/hyperlink" Target="https://drive.google.com/open?id=1-2b2n5LxuJ2MKfNVS35QRpXzdVoWypCW" TargetMode="External"/><Relationship Id="rId427" Type="http://schemas.openxmlformats.org/officeDocument/2006/relationships/hyperlink" Target="https://drive.google.com/open?id=1hR0oBbX-E8k55AZcy_g1M0t48k8rSC4v" TargetMode="External"/><Relationship Id="rId469" Type="http://schemas.openxmlformats.org/officeDocument/2006/relationships/hyperlink" Target="https://drive.google.com/open?id=1umCPG_5WHOuSeg-dx6TS9z8F5B3hCY48" TargetMode="External"/><Relationship Id="rId26" Type="http://schemas.openxmlformats.org/officeDocument/2006/relationships/hyperlink" Target="https://drive.google.com/open?id=1eYeIy_AhcdHqnxYvR7AwAt-J2bxFfUA4" TargetMode="External"/><Relationship Id="rId231" Type="http://schemas.openxmlformats.org/officeDocument/2006/relationships/hyperlink" Target="https://drive.google.com/open?id=162y5ap4sKLBjGVOWUylpwUiP2vV2q_Sv" TargetMode="External"/><Relationship Id="rId273" Type="http://schemas.openxmlformats.org/officeDocument/2006/relationships/hyperlink" Target="https://g.page/Future-university-egypt-FUE?share" TargetMode="External"/><Relationship Id="rId329" Type="http://schemas.openxmlformats.org/officeDocument/2006/relationships/hyperlink" Target="https://g.page/Future-university-egypt-FUE?share" TargetMode="External"/><Relationship Id="rId480" Type="http://schemas.openxmlformats.org/officeDocument/2006/relationships/hyperlink" Target="https://drive.google.com/open?id=1lVaFZyotfJbgLHKV2afyAZ40XTgsP9J4" TargetMode="External"/><Relationship Id="rId536" Type="http://schemas.openxmlformats.org/officeDocument/2006/relationships/hyperlink" Target="https://drive.google.com/open?id=1ePRCqhVXlZ5IMq6gnvCeS_Pf2RdnfqtV" TargetMode="External"/><Relationship Id="rId68" Type="http://schemas.openxmlformats.org/officeDocument/2006/relationships/hyperlink" Target="https://goo.gl/maps/QpH7dmNahszbVCFM6" TargetMode="External"/><Relationship Id="rId133" Type="http://schemas.openxmlformats.org/officeDocument/2006/relationships/hyperlink" Target="https://drive.google.com/open?id=1EJiIkGt3X5QnCJXsSvxqEHr1f76sZ1IN" TargetMode="External"/><Relationship Id="rId175" Type="http://schemas.openxmlformats.org/officeDocument/2006/relationships/hyperlink" Target="https://goo.gl/maps/AzRPq8f8ySLrbTXj8" TargetMode="External"/><Relationship Id="rId340" Type="http://schemas.openxmlformats.org/officeDocument/2006/relationships/hyperlink" Target="https://g.page/Future-university-egypt-FUE?share" TargetMode="External"/><Relationship Id="rId578" Type="http://schemas.openxmlformats.org/officeDocument/2006/relationships/hyperlink" Target="https://drive.google.com/open?id=100xTg13FXbDf5-TwoYv1i1V02x_mn_rs" TargetMode="External"/><Relationship Id="rId200" Type="http://schemas.openxmlformats.org/officeDocument/2006/relationships/hyperlink" Target="https://drive.google.com/open?id=1_AHu9OFqDLI4rfcmTimExzZNZU16SN-7" TargetMode="External"/><Relationship Id="rId382" Type="http://schemas.openxmlformats.org/officeDocument/2006/relationships/hyperlink" Target="https://drive.google.com/open?id=1Tr8IuReXkK2IERGN64VWj5_xOIg0v4XH" TargetMode="External"/><Relationship Id="rId438" Type="http://schemas.openxmlformats.org/officeDocument/2006/relationships/hyperlink" Target="https://drive.google.com/open?id=1uaRIfyrJ2JLBdJb02uAXWkMApgys1WS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55F7F-D48F-4BC9-8466-9F37F2A24C8E}">
  <sheetPr codeName="Sheet1"/>
  <dimension ref="A1:AR1007"/>
  <sheetViews>
    <sheetView tabSelected="1" zoomScaleNormal="100" workbookViewId="0">
      <pane ySplit="1" topLeftCell="A17" activePane="bottomLeft" state="frozen"/>
      <selection activeCell="B3" sqref="B3"/>
      <selection pane="bottomLeft" activeCell="A25" sqref="A25"/>
    </sheetView>
  </sheetViews>
  <sheetFormatPr defaultColWidth="8.85546875" defaultRowHeight="15"/>
  <cols>
    <col min="1" max="1" width="11.42578125" style="4" bestFit="1" customWidth="1"/>
    <col min="2" max="3" width="19.5703125" style="4" bestFit="1" customWidth="1"/>
    <col min="4" max="4" width="15.7109375" style="4" bestFit="1" customWidth="1"/>
    <col min="5" max="5" width="50.7109375" style="4" bestFit="1" customWidth="1"/>
    <col min="6" max="6" width="32.5703125" style="34" bestFit="1" customWidth="1"/>
    <col min="7" max="7" width="44.42578125" style="4" bestFit="1" customWidth="1"/>
    <col min="8" max="8" width="27.5703125" style="5" bestFit="1" customWidth="1"/>
    <col min="9" max="9" width="131" style="4" bestFit="1" customWidth="1"/>
    <col min="10" max="10" width="47.7109375" style="4" bestFit="1" customWidth="1"/>
    <col min="11" max="11" width="106.5703125" style="4" bestFit="1" customWidth="1"/>
    <col min="12" max="12" width="57.140625" style="4" bestFit="1" customWidth="1"/>
    <col min="13" max="13" width="56.85546875" style="4" bestFit="1" customWidth="1"/>
    <col min="14" max="14" width="39" style="4" bestFit="1" customWidth="1"/>
    <col min="15" max="15" width="107.42578125" style="4" bestFit="1" customWidth="1"/>
    <col min="16" max="16" width="75.85546875" style="4" bestFit="1" customWidth="1"/>
    <col min="17" max="17" width="71.5703125" style="4" bestFit="1" customWidth="1"/>
    <col min="18" max="18" width="80.5703125" style="4" bestFit="1" customWidth="1"/>
    <col min="19" max="19" width="58" style="6" bestFit="1" customWidth="1"/>
    <col min="20" max="20" width="33.85546875" style="6" bestFit="1" customWidth="1"/>
    <col min="21" max="21" width="78.42578125" style="4" bestFit="1" customWidth="1"/>
    <col min="22" max="22" width="31" style="4" bestFit="1" customWidth="1"/>
    <col min="23" max="23" width="53" style="6" bestFit="1" customWidth="1"/>
    <col min="24" max="24" width="21.140625" style="4" bestFit="1" customWidth="1"/>
    <col min="25" max="25" width="10.28515625" style="4" customWidth="1"/>
    <col min="26" max="26" width="18.140625" style="4" bestFit="1" customWidth="1"/>
    <col min="27" max="27" width="74.140625" style="4" bestFit="1" customWidth="1"/>
    <col min="28" max="28" width="70.140625" style="5" bestFit="1" customWidth="1"/>
    <col min="29" max="29" width="51.7109375" style="4" bestFit="1" customWidth="1"/>
    <col min="30" max="30" width="28" style="4" bestFit="1" customWidth="1"/>
    <col min="31" max="31" width="17" style="4" bestFit="1" customWidth="1"/>
    <col min="32" max="32" width="31" style="4" bestFit="1" customWidth="1"/>
    <col min="33" max="33" width="15" style="5" customWidth="1"/>
    <col min="34" max="16384" width="8.85546875" style="4"/>
  </cols>
  <sheetData>
    <row r="1" spans="1:33" ht="21.75" customHeight="1">
      <c r="A1" s="7" t="s">
        <v>10000</v>
      </c>
      <c r="B1" s="7" t="s">
        <v>9997</v>
      </c>
      <c r="C1" s="8" t="s">
        <v>9998</v>
      </c>
      <c r="D1" s="9" t="s">
        <v>0</v>
      </c>
      <c r="E1" s="10" t="s">
        <v>1</v>
      </c>
      <c r="F1" s="11" t="s">
        <v>2</v>
      </c>
      <c r="G1" s="11" t="s">
        <v>3</v>
      </c>
      <c r="H1" s="12" t="s">
        <v>4</v>
      </c>
      <c r="I1" s="10" t="s">
        <v>5</v>
      </c>
      <c r="J1" s="10" t="s">
        <v>6</v>
      </c>
      <c r="K1" s="10" t="s">
        <v>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1" t="s">
        <v>15</v>
      </c>
      <c r="T1" s="11" t="s">
        <v>16</v>
      </c>
      <c r="U1" s="10" t="s">
        <v>17</v>
      </c>
      <c r="V1" s="10" t="s">
        <v>18</v>
      </c>
      <c r="W1" s="11" t="s">
        <v>19</v>
      </c>
      <c r="X1" s="10" t="s">
        <v>20</v>
      </c>
      <c r="Y1" s="10" t="s">
        <v>21</v>
      </c>
      <c r="Z1" s="10" t="s">
        <v>22</v>
      </c>
      <c r="AA1" s="10" t="s">
        <v>23</v>
      </c>
      <c r="AB1" s="10" t="s">
        <v>24</v>
      </c>
      <c r="AC1" s="10" t="s">
        <v>25</v>
      </c>
      <c r="AD1" s="10" t="s">
        <v>26</v>
      </c>
      <c r="AE1" s="10" t="s">
        <v>27</v>
      </c>
      <c r="AF1" s="10" t="s">
        <v>28</v>
      </c>
      <c r="AG1" s="13" t="s">
        <v>29</v>
      </c>
    </row>
    <row r="2" spans="1:33">
      <c r="A2" s="14">
        <v>1</v>
      </c>
      <c r="B2" s="14" t="s">
        <v>33</v>
      </c>
      <c r="C2" s="14" t="s">
        <v>9981</v>
      </c>
      <c r="D2" s="15" t="s">
        <v>34</v>
      </c>
      <c r="E2" s="16" t="s">
        <v>35</v>
      </c>
      <c r="F2" s="32" t="s">
        <v>36</v>
      </c>
      <c r="G2" s="17" t="s">
        <v>37</v>
      </c>
      <c r="H2" s="18" t="s">
        <v>38</v>
      </c>
      <c r="I2" s="16" t="s">
        <v>34</v>
      </c>
      <c r="J2" s="16"/>
      <c r="K2" s="16"/>
      <c r="L2" s="16"/>
      <c r="M2" s="16"/>
      <c r="N2" s="16" t="s">
        <v>39</v>
      </c>
      <c r="O2" s="16"/>
      <c r="P2" s="16"/>
      <c r="Q2" s="16"/>
      <c r="R2" s="16"/>
      <c r="S2" s="19"/>
      <c r="T2" s="20" t="s">
        <v>40</v>
      </c>
      <c r="U2" s="16"/>
      <c r="V2" s="16"/>
      <c r="W2" s="30" t="s">
        <v>41</v>
      </c>
      <c r="X2" s="18" t="s">
        <v>42</v>
      </c>
      <c r="Y2" s="18" t="s">
        <v>43</v>
      </c>
      <c r="Z2" s="18" t="s">
        <v>44</v>
      </c>
      <c r="AA2" s="16" t="s">
        <v>45</v>
      </c>
      <c r="AB2" s="16" t="s">
        <v>46</v>
      </c>
      <c r="AC2" s="16" t="s">
        <v>47</v>
      </c>
      <c r="AD2" s="123" t="str">
        <f t="shared" ref="AD2:AD65" si="0">IF(ISNUMBER(SEARCH("EXTERNAL CASH",T2)),
   "EXTERNAL CASH",
   IF(ISNUMBER(SEARCH("شيك من القاهرة",T2)),
      "FUE",
      IF(ISNUMBER(SEARCH("INTERNAL CASH",T2)),
         "INTRNAL CASH",
         IF(Y2="IP",
            "Internal Transfer",
            IF(ISNUMBER(SEARCH("National Bank of Egypt",T2)),
               "External Transfer-NBE",
               "External Transfer-Other banks"
            )
         )
      )
   )
)</f>
        <v>Internal Transfer</v>
      </c>
      <c r="AE2" s="123" t="str">
        <f>VLOOKUP(Table1[[#This Row],[Name of bank]],'اكواد البنوك'!$A$2:$B$34,2,0)</f>
        <v>NBEGEGCXXXX</v>
      </c>
      <c r="AF2" s="21" t="s">
        <v>41</v>
      </c>
      <c r="AG2" s="15" t="s">
        <v>49</v>
      </c>
    </row>
    <row r="3" spans="1:33">
      <c r="A3" s="14">
        <v>2</v>
      </c>
      <c r="B3" s="14"/>
      <c r="C3" s="14" t="e">
        <v>#N/A</v>
      </c>
      <c r="D3" s="15" t="s">
        <v>34</v>
      </c>
      <c r="E3" s="16" t="s">
        <v>50</v>
      </c>
      <c r="F3" s="32" t="s">
        <v>10108</v>
      </c>
      <c r="G3" s="17" t="s">
        <v>51</v>
      </c>
      <c r="H3" s="18" t="s">
        <v>52</v>
      </c>
      <c r="I3" s="16" t="s">
        <v>34</v>
      </c>
      <c r="J3" s="16"/>
      <c r="K3" s="16"/>
      <c r="L3" s="16"/>
      <c r="M3" s="16"/>
      <c r="N3" s="16" t="s">
        <v>53</v>
      </c>
      <c r="O3" s="16"/>
      <c r="P3" s="16"/>
      <c r="Q3" s="16"/>
      <c r="R3" s="16"/>
      <c r="S3" s="19"/>
      <c r="T3" s="20" t="s">
        <v>40</v>
      </c>
      <c r="U3" s="16"/>
      <c r="V3" s="16"/>
      <c r="W3" s="30" t="s">
        <v>54</v>
      </c>
      <c r="X3" s="18" t="s">
        <v>31</v>
      </c>
      <c r="Y3" s="18" t="s">
        <v>43</v>
      </c>
      <c r="Z3" s="18" t="s">
        <v>44</v>
      </c>
      <c r="AA3" s="16" t="s">
        <v>45</v>
      </c>
      <c r="AB3" s="16" t="s">
        <v>46</v>
      </c>
      <c r="AC3" s="16" t="s">
        <v>47</v>
      </c>
      <c r="AD3" s="123" t="str">
        <f t="shared" si="0"/>
        <v>Internal Transfer</v>
      </c>
      <c r="AE3" s="123" t="str">
        <f>VLOOKUP(Table1[[#This Row],[Name of bank]],'اكواد البنوك'!$A$2:$B$34,2,0)</f>
        <v>NBEGEGCXXXX</v>
      </c>
      <c r="AF3" s="21" t="s">
        <v>54</v>
      </c>
      <c r="AG3" s="15" t="s">
        <v>49</v>
      </c>
    </row>
    <row r="4" spans="1:33">
      <c r="A4" s="14">
        <v>3</v>
      </c>
      <c r="B4" s="14">
        <v>201</v>
      </c>
      <c r="C4" s="14">
        <v>201</v>
      </c>
      <c r="D4" s="15" t="s">
        <v>34</v>
      </c>
      <c r="E4" s="16" t="s">
        <v>55</v>
      </c>
      <c r="F4" s="32" t="s">
        <v>56</v>
      </c>
      <c r="G4" s="17" t="s">
        <v>57</v>
      </c>
      <c r="H4" s="18" t="s">
        <v>58</v>
      </c>
      <c r="I4" s="16" t="s">
        <v>34</v>
      </c>
      <c r="J4" s="16"/>
      <c r="K4" s="16"/>
      <c r="L4" s="16"/>
      <c r="M4" s="16"/>
      <c r="N4" s="16" t="s">
        <v>59</v>
      </c>
      <c r="O4" s="16"/>
      <c r="P4" s="16"/>
      <c r="Q4" s="16"/>
      <c r="R4" s="16"/>
      <c r="S4" s="19"/>
      <c r="T4" s="20" t="s">
        <v>40</v>
      </c>
      <c r="U4" s="16"/>
      <c r="V4" s="16"/>
      <c r="W4" s="30">
        <v>81</v>
      </c>
      <c r="X4" s="18" t="s">
        <v>31</v>
      </c>
      <c r="Y4" s="18" t="s">
        <v>43</v>
      </c>
      <c r="Z4" s="18" t="s">
        <v>44</v>
      </c>
      <c r="AA4" s="16" t="s">
        <v>45</v>
      </c>
      <c r="AB4" s="16" t="s">
        <v>46</v>
      </c>
      <c r="AC4" s="16" t="s">
        <v>47</v>
      </c>
      <c r="AD4" s="123" t="str">
        <f t="shared" si="0"/>
        <v>Internal Transfer</v>
      </c>
      <c r="AE4" s="123" t="str">
        <f>VLOOKUP(Table1[[#This Row],[Name of bank]],'اكواد البنوك'!$A$2:$B$34,2,0)</f>
        <v>NBEGEGCXXXX</v>
      </c>
      <c r="AF4" s="21" t="s">
        <v>60</v>
      </c>
      <c r="AG4" s="15" t="s">
        <v>49</v>
      </c>
    </row>
    <row r="5" spans="1:33">
      <c r="A5" s="14">
        <v>4</v>
      </c>
      <c r="B5" s="14">
        <v>201</v>
      </c>
      <c r="C5" s="14">
        <v>201</v>
      </c>
      <c r="D5" s="15" t="s">
        <v>34</v>
      </c>
      <c r="E5" s="16" t="s">
        <v>61</v>
      </c>
      <c r="F5" s="32" t="s">
        <v>62</v>
      </c>
      <c r="G5" s="17" t="s">
        <v>63</v>
      </c>
      <c r="H5" s="18" t="s">
        <v>64</v>
      </c>
      <c r="I5" s="16" t="s">
        <v>34</v>
      </c>
      <c r="J5" s="16"/>
      <c r="K5" s="16"/>
      <c r="L5" s="16"/>
      <c r="M5" s="16"/>
      <c r="N5" s="16" t="s">
        <v>65</v>
      </c>
      <c r="O5" s="16"/>
      <c r="P5" s="16"/>
      <c r="Q5" s="16"/>
      <c r="R5" s="16"/>
      <c r="S5" s="19"/>
      <c r="T5" s="20" t="s">
        <v>40</v>
      </c>
      <c r="U5" s="16"/>
      <c r="V5" s="16"/>
      <c r="W5" s="30">
        <v>80</v>
      </c>
      <c r="X5" s="18" t="s">
        <v>66</v>
      </c>
      <c r="Y5" s="18" t="s">
        <v>43</v>
      </c>
      <c r="Z5" s="18" t="s">
        <v>44</v>
      </c>
      <c r="AA5" s="16" t="s">
        <v>45</v>
      </c>
      <c r="AB5" s="16" t="s">
        <v>46</v>
      </c>
      <c r="AC5" s="16" t="s">
        <v>47</v>
      </c>
      <c r="AD5" s="123" t="str">
        <f t="shared" si="0"/>
        <v>Internal Transfer</v>
      </c>
      <c r="AE5" s="123" t="str">
        <f>VLOOKUP(Table1[[#This Row],[Name of bank]],'اكواد البنوك'!$A$2:$B$34,2,0)</f>
        <v>NBEGEGCXXXX</v>
      </c>
      <c r="AF5" s="21" t="s">
        <v>67</v>
      </c>
      <c r="AG5" s="15" t="s">
        <v>49</v>
      </c>
    </row>
    <row r="6" spans="1:33">
      <c r="A6" s="14">
        <v>5</v>
      </c>
      <c r="B6" s="14">
        <v>201</v>
      </c>
      <c r="C6" s="14" t="e">
        <v>#N/A</v>
      </c>
      <c r="D6" s="15" t="s">
        <v>34</v>
      </c>
      <c r="E6" s="16" t="s">
        <v>68</v>
      </c>
      <c r="F6" s="32" t="s">
        <v>69</v>
      </c>
      <c r="G6" s="17" t="s">
        <v>70</v>
      </c>
      <c r="H6" s="18" t="s">
        <v>71</v>
      </c>
      <c r="I6" s="16" t="s">
        <v>34</v>
      </c>
      <c r="J6" s="16"/>
      <c r="K6" s="16"/>
      <c r="L6" s="16"/>
      <c r="M6" s="16"/>
      <c r="N6" s="16"/>
      <c r="O6" s="16"/>
      <c r="P6" s="16"/>
      <c r="Q6" s="16"/>
      <c r="R6" s="16"/>
      <c r="S6" s="19"/>
      <c r="T6" s="20" t="s">
        <v>40</v>
      </c>
      <c r="U6" s="16"/>
      <c r="V6" s="16"/>
      <c r="W6" s="30">
        <v>83</v>
      </c>
      <c r="X6" s="18" t="s">
        <v>66</v>
      </c>
      <c r="Y6" s="18" t="s">
        <v>43</v>
      </c>
      <c r="Z6" s="18" t="s">
        <v>44</v>
      </c>
      <c r="AA6" s="16" t="s">
        <v>45</v>
      </c>
      <c r="AB6" s="16" t="s">
        <v>46</v>
      </c>
      <c r="AC6" s="16" t="s">
        <v>47</v>
      </c>
      <c r="AD6" s="123" t="str">
        <f t="shared" si="0"/>
        <v>Internal Transfer</v>
      </c>
      <c r="AE6" s="123" t="str">
        <f>VLOOKUP(Table1[[#This Row],[Name of bank]],'اكواد البنوك'!$A$2:$B$34,2,0)</f>
        <v>NBEGEGCXXXX</v>
      </c>
      <c r="AF6" s="21" t="s">
        <v>72</v>
      </c>
      <c r="AG6" s="15" t="s">
        <v>49</v>
      </c>
    </row>
    <row r="7" spans="1:33">
      <c r="A7" s="14">
        <v>6</v>
      </c>
      <c r="B7" s="14" t="s">
        <v>73</v>
      </c>
      <c r="C7" s="14" t="s">
        <v>73</v>
      </c>
      <c r="D7" s="15" t="s">
        <v>34</v>
      </c>
      <c r="E7" s="16" t="s">
        <v>74</v>
      </c>
      <c r="F7" s="32" t="s">
        <v>75</v>
      </c>
      <c r="G7" s="17" t="s">
        <v>76</v>
      </c>
      <c r="H7" s="18" t="s">
        <v>77</v>
      </c>
      <c r="I7" s="16" t="s">
        <v>34</v>
      </c>
      <c r="J7" s="16"/>
      <c r="K7" s="16"/>
      <c r="L7" s="16"/>
      <c r="M7" s="16"/>
      <c r="N7" s="16">
        <v>28404190200514</v>
      </c>
      <c r="O7" s="16"/>
      <c r="P7" s="16"/>
      <c r="Q7" s="16"/>
      <c r="R7" s="16"/>
      <c r="S7" s="19"/>
      <c r="T7" s="20" t="s">
        <v>40</v>
      </c>
      <c r="U7" s="16"/>
      <c r="V7" s="16"/>
      <c r="W7" s="30">
        <v>86</v>
      </c>
      <c r="X7" s="18" t="s">
        <v>78</v>
      </c>
      <c r="Y7" s="18" t="s">
        <v>43</v>
      </c>
      <c r="Z7" s="18" t="s">
        <v>44</v>
      </c>
      <c r="AA7" s="16" t="s">
        <v>45</v>
      </c>
      <c r="AB7" s="16" t="s">
        <v>46</v>
      </c>
      <c r="AC7" s="16" t="s">
        <v>47</v>
      </c>
      <c r="AD7" s="123" t="str">
        <f t="shared" si="0"/>
        <v>Internal Transfer</v>
      </c>
      <c r="AE7" s="123" t="str">
        <f>VLOOKUP(Table1[[#This Row],[Name of bank]],'اكواد البنوك'!$A$2:$B$34,2,0)</f>
        <v>NBEGEGCXXXX</v>
      </c>
      <c r="AF7" s="21" t="s">
        <v>79</v>
      </c>
      <c r="AG7" s="15" t="s">
        <v>49</v>
      </c>
    </row>
    <row r="8" spans="1:33">
      <c r="A8" s="14">
        <v>7</v>
      </c>
      <c r="B8" s="14" t="s">
        <v>73</v>
      </c>
      <c r="C8" s="14" t="s">
        <v>409</v>
      </c>
      <c r="D8" s="15" t="s">
        <v>80</v>
      </c>
      <c r="E8" s="16" t="s">
        <v>81</v>
      </c>
      <c r="F8" s="32" t="s">
        <v>82</v>
      </c>
      <c r="G8" s="17" t="s">
        <v>83</v>
      </c>
      <c r="H8" s="18" t="s">
        <v>84</v>
      </c>
      <c r="I8" s="16" t="s">
        <v>85</v>
      </c>
      <c r="J8" s="16" t="s">
        <v>86</v>
      </c>
      <c r="K8" s="16" t="s">
        <v>87</v>
      </c>
      <c r="L8" s="16">
        <v>34714375</v>
      </c>
      <c r="M8" s="16">
        <v>0</v>
      </c>
      <c r="N8" s="16" t="s">
        <v>88</v>
      </c>
      <c r="O8" s="16" t="s">
        <v>89</v>
      </c>
      <c r="P8" s="16" t="s">
        <v>90</v>
      </c>
      <c r="Q8" s="16" t="s">
        <v>44</v>
      </c>
      <c r="R8" s="16" t="s">
        <v>91</v>
      </c>
      <c r="S8" s="19" t="s">
        <v>92</v>
      </c>
      <c r="T8" s="20" t="s">
        <v>93</v>
      </c>
      <c r="U8" s="16" t="s">
        <v>94</v>
      </c>
      <c r="V8" s="16" t="s">
        <v>95</v>
      </c>
      <c r="W8" s="30" t="s">
        <v>96</v>
      </c>
      <c r="X8" s="18" t="s">
        <v>97</v>
      </c>
      <c r="Y8" s="18" t="s">
        <v>98</v>
      </c>
      <c r="Z8" s="18" t="s">
        <v>44</v>
      </c>
      <c r="AA8" s="16" t="s">
        <v>45</v>
      </c>
      <c r="AB8" s="16" t="s">
        <v>46</v>
      </c>
      <c r="AC8" s="16" t="s">
        <v>47</v>
      </c>
      <c r="AD8" s="123" t="str">
        <f t="shared" si="0"/>
        <v>External Transfer-Other banks</v>
      </c>
      <c r="AE8" s="123" t="str">
        <f>VLOOKUP(Table1[[#This Row],[Name of bank]],'اكواد البنوك'!$A$2:$B$34,2,0)</f>
        <v>QNBAEGCXXXX</v>
      </c>
      <c r="AF8" s="21" t="s">
        <v>100</v>
      </c>
      <c r="AG8" s="15" t="s">
        <v>49</v>
      </c>
    </row>
    <row r="9" spans="1:33">
      <c r="A9" s="14">
        <v>8</v>
      </c>
      <c r="B9" s="14" t="s">
        <v>73</v>
      </c>
      <c r="C9" s="14" t="s">
        <v>206</v>
      </c>
      <c r="D9" s="15" t="s">
        <v>80</v>
      </c>
      <c r="E9" s="16" t="s">
        <v>101</v>
      </c>
      <c r="F9" s="32" t="s">
        <v>102</v>
      </c>
      <c r="G9" s="17" t="s">
        <v>103</v>
      </c>
      <c r="H9" s="18" t="s">
        <v>104</v>
      </c>
      <c r="I9" s="16" t="s">
        <v>105</v>
      </c>
      <c r="J9" s="16" t="s">
        <v>86</v>
      </c>
      <c r="K9" s="16" t="s">
        <v>106</v>
      </c>
      <c r="L9" s="16">
        <v>50737735</v>
      </c>
      <c r="M9" s="16">
        <v>213301792</v>
      </c>
      <c r="N9" s="16">
        <v>27708300200731</v>
      </c>
      <c r="O9" s="16" t="s">
        <v>107</v>
      </c>
      <c r="P9" s="16" t="s">
        <v>108</v>
      </c>
      <c r="Q9" s="16" t="s">
        <v>44</v>
      </c>
      <c r="R9" s="16" t="s">
        <v>91</v>
      </c>
      <c r="S9" s="19" t="s">
        <v>109</v>
      </c>
      <c r="T9" s="20" t="s">
        <v>40</v>
      </c>
      <c r="U9" s="16" t="s">
        <v>110</v>
      </c>
      <c r="V9" s="16" t="s">
        <v>111</v>
      </c>
      <c r="W9" s="30" t="s">
        <v>112</v>
      </c>
      <c r="X9" s="18" t="s">
        <v>97</v>
      </c>
      <c r="Y9" s="18" t="s">
        <v>98</v>
      </c>
      <c r="Z9" s="18" t="s">
        <v>44</v>
      </c>
      <c r="AA9" s="16" t="s">
        <v>45</v>
      </c>
      <c r="AB9" s="16" t="s">
        <v>46</v>
      </c>
      <c r="AC9" s="16" t="s">
        <v>47</v>
      </c>
      <c r="AD9" s="123" t="str">
        <f t="shared" si="0"/>
        <v>External Transfer-NBE</v>
      </c>
      <c r="AE9" s="123" t="str">
        <f>VLOOKUP(Table1[[#This Row],[Name of bank]],'اكواد البنوك'!$A$2:$B$34,2,0)</f>
        <v>NBEGEGCXXXX</v>
      </c>
      <c r="AF9" s="21">
        <v>208</v>
      </c>
      <c r="AG9" s="15" t="s">
        <v>49</v>
      </c>
    </row>
    <row r="10" spans="1:33">
      <c r="A10" s="14">
        <v>9</v>
      </c>
      <c r="B10" s="14">
        <v>204</v>
      </c>
      <c r="C10" s="14">
        <v>302</v>
      </c>
      <c r="D10" s="15" t="s">
        <v>80</v>
      </c>
      <c r="E10" s="16" t="s">
        <v>113</v>
      </c>
      <c r="F10" s="32" t="s">
        <v>114</v>
      </c>
      <c r="G10" s="17" t="s">
        <v>115</v>
      </c>
      <c r="H10" s="18" t="s">
        <v>116</v>
      </c>
      <c r="I10" s="16" t="s">
        <v>117</v>
      </c>
      <c r="J10" s="16" t="s">
        <v>86</v>
      </c>
      <c r="K10" s="16" t="s">
        <v>118</v>
      </c>
      <c r="L10" s="16">
        <v>80820287</v>
      </c>
      <c r="M10" s="16" t="s">
        <v>119</v>
      </c>
      <c r="N10" s="16" t="s">
        <v>120</v>
      </c>
      <c r="O10" s="16" t="s">
        <v>121</v>
      </c>
      <c r="P10" s="16" t="s">
        <v>122</v>
      </c>
      <c r="Q10" s="16" t="s">
        <v>44</v>
      </c>
      <c r="R10" s="16" t="s">
        <v>91</v>
      </c>
      <c r="S10" s="19" t="s">
        <v>113</v>
      </c>
      <c r="T10" s="20" t="s">
        <v>123</v>
      </c>
      <c r="U10" s="16" t="s">
        <v>124</v>
      </c>
      <c r="V10" s="16" t="s">
        <v>125</v>
      </c>
      <c r="W10" s="30" t="s">
        <v>126</v>
      </c>
      <c r="X10" s="18" t="s">
        <v>127</v>
      </c>
      <c r="Y10" s="18" t="s">
        <v>98</v>
      </c>
      <c r="Z10" s="18" t="s">
        <v>44</v>
      </c>
      <c r="AA10" s="16" t="s">
        <v>45</v>
      </c>
      <c r="AB10" s="16" t="s">
        <v>46</v>
      </c>
      <c r="AC10" s="16" t="s">
        <v>47</v>
      </c>
      <c r="AD10" s="123" t="str">
        <f t="shared" si="0"/>
        <v>External Transfer-Other banks</v>
      </c>
      <c r="AE10" s="123" t="str">
        <f>VLOOKUP(Table1[[#This Row],[Name of bank]],'اكواد البنوك'!$A$2:$B$34,2,0)</f>
        <v>EXDEEGCXXXX</v>
      </c>
      <c r="AF10" s="21" t="s">
        <v>129</v>
      </c>
      <c r="AG10" s="15" t="s">
        <v>49</v>
      </c>
    </row>
    <row r="11" spans="1:33">
      <c r="A11" s="14">
        <v>10</v>
      </c>
      <c r="B11" s="14">
        <v>204</v>
      </c>
      <c r="C11" s="14">
        <v>216</v>
      </c>
      <c r="D11" s="15" t="s">
        <v>80</v>
      </c>
      <c r="E11" s="16" t="s">
        <v>130</v>
      </c>
      <c r="F11" s="32" t="s">
        <v>131</v>
      </c>
      <c r="G11" s="17" t="s">
        <v>132</v>
      </c>
      <c r="H11" s="18" t="s">
        <v>133</v>
      </c>
      <c r="I11" s="16" t="s">
        <v>134</v>
      </c>
      <c r="J11" s="16" t="s">
        <v>86</v>
      </c>
      <c r="K11" s="16" t="s">
        <v>135</v>
      </c>
      <c r="L11" s="16">
        <v>52716306</v>
      </c>
      <c r="M11" s="16" t="s">
        <v>136</v>
      </c>
      <c r="N11" s="16">
        <v>28010298800188</v>
      </c>
      <c r="O11" s="16" t="s">
        <v>137</v>
      </c>
      <c r="P11" s="16" t="s">
        <v>138</v>
      </c>
      <c r="Q11" s="16" t="s">
        <v>44</v>
      </c>
      <c r="R11" s="16" t="s">
        <v>91</v>
      </c>
      <c r="S11" s="19" t="s">
        <v>139</v>
      </c>
      <c r="T11" s="20" t="s">
        <v>40</v>
      </c>
      <c r="U11" s="16" t="s">
        <v>140</v>
      </c>
      <c r="V11" s="16" t="s">
        <v>141</v>
      </c>
      <c r="W11" s="30" t="s">
        <v>142</v>
      </c>
      <c r="X11" s="18" t="s">
        <v>127</v>
      </c>
      <c r="Y11" s="18" t="s">
        <v>98</v>
      </c>
      <c r="Z11" s="18" t="s">
        <v>44</v>
      </c>
      <c r="AA11" s="16" t="s">
        <v>45</v>
      </c>
      <c r="AB11" s="16" t="s">
        <v>46</v>
      </c>
      <c r="AC11" s="16" t="s">
        <v>47</v>
      </c>
      <c r="AD11" s="123" t="str">
        <f t="shared" si="0"/>
        <v>External Transfer-NBE</v>
      </c>
      <c r="AE11" s="123" t="str">
        <f>VLOOKUP(Table1[[#This Row],[Name of bank]],'اكواد البنوك'!$A$2:$B$34,2,0)</f>
        <v>NBEGEGCXXXX</v>
      </c>
      <c r="AF11" s="21" t="s">
        <v>143</v>
      </c>
      <c r="AG11" s="15" t="s">
        <v>49</v>
      </c>
    </row>
    <row r="12" spans="1:33">
      <c r="A12" s="14">
        <v>11</v>
      </c>
      <c r="B12" s="14">
        <v>204</v>
      </c>
      <c r="C12" s="14">
        <v>204</v>
      </c>
      <c r="D12" s="15" t="s">
        <v>80</v>
      </c>
      <c r="E12" s="16" t="s">
        <v>144</v>
      </c>
      <c r="F12" s="32" t="s">
        <v>10382</v>
      </c>
      <c r="G12" s="17" t="s">
        <v>145</v>
      </c>
      <c r="H12" s="18" t="s">
        <v>146</v>
      </c>
      <c r="I12" s="16" t="s">
        <v>147</v>
      </c>
      <c r="J12" s="16" t="s">
        <v>86</v>
      </c>
      <c r="K12" s="16" t="s">
        <v>148</v>
      </c>
      <c r="L12" s="16">
        <v>48122099</v>
      </c>
      <c r="M12" s="16" t="s">
        <v>136</v>
      </c>
      <c r="N12" s="16">
        <v>29308020202207</v>
      </c>
      <c r="O12" s="16" t="s">
        <v>149</v>
      </c>
      <c r="P12" s="16" t="s">
        <v>150</v>
      </c>
      <c r="Q12" s="16" t="s">
        <v>44</v>
      </c>
      <c r="R12" s="16" t="s">
        <v>91</v>
      </c>
      <c r="S12" s="19" t="s">
        <v>151</v>
      </c>
      <c r="T12" s="20" t="s">
        <v>307</v>
      </c>
      <c r="U12" s="16" t="s">
        <v>10383</v>
      </c>
      <c r="V12" s="16">
        <v>100030391645</v>
      </c>
      <c r="W12" s="113" t="s">
        <v>10384</v>
      </c>
      <c r="X12" s="18" t="s">
        <v>127</v>
      </c>
      <c r="Y12" s="18" t="s">
        <v>98</v>
      </c>
      <c r="Z12" s="18" t="s">
        <v>44</v>
      </c>
      <c r="AA12" s="16" t="s">
        <v>45</v>
      </c>
      <c r="AB12" s="16" t="s">
        <v>46</v>
      </c>
      <c r="AC12" s="16" t="s">
        <v>47</v>
      </c>
      <c r="AD12" s="123" t="str">
        <f t="shared" si="0"/>
        <v>External Transfer-Other banks</v>
      </c>
      <c r="AE12" s="123" t="str">
        <f>VLOOKUP(Table1[[#This Row],[Name of bank]],'اكواد البنوك'!$A$2:$B$34,2,0)</f>
        <v>CIBEEGCXXXX</v>
      </c>
      <c r="AF12" s="114" t="s">
        <v>467</v>
      </c>
      <c r="AG12" s="15" t="s">
        <v>167</v>
      </c>
    </row>
    <row r="13" spans="1:33">
      <c r="A13" s="14">
        <v>12</v>
      </c>
      <c r="B13" s="14">
        <v>205</v>
      </c>
      <c r="C13" s="14" t="e">
        <v>#N/A</v>
      </c>
      <c r="D13" s="15" t="s">
        <v>80</v>
      </c>
      <c r="E13" s="16" t="s">
        <v>155</v>
      </c>
      <c r="F13" s="32" t="s">
        <v>156</v>
      </c>
      <c r="G13" s="17" t="s">
        <v>157</v>
      </c>
      <c r="H13" s="18" t="s">
        <v>158</v>
      </c>
      <c r="I13" s="16" t="s">
        <v>159</v>
      </c>
      <c r="J13" s="16" t="s">
        <v>86</v>
      </c>
      <c r="K13" s="16" t="s">
        <v>160</v>
      </c>
      <c r="L13" s="16">
        <v>23439075</v>
      </c>
      <c r="M13" s="16">
        <v>432781498</v>
      </c>
      <c r="N13" s="16">
        <v>28811260200783</v>
      </c>
      <c r="O13" s="16" t="s">
        <v>161</v>
      </c>
      <c r="P13" s="16" t="s">
        <v>162</v>
      </c>
      <c r="Q13" s="16" t="s">
        <v>44</v>
      </c>
      <c r="R13" s="16" t="s">
        <v>91</v>
      </c>
      <c r="S13" s="19" t="s">
        <v>163</v>
      </c>
      <c r="T13" s="20" t="s">
        <v>223</v>
      </c>
      <c r="U13" s="16" t="s">
        <v>164</v>
      </c>
      <c r="V13" s="16" t="s">
        <v>165</v>
      </c>
      <c r="W13" s="30" t="s">
        <v>166</v>
      </c>
      <c r="X13" s="18" t="s">
        <v>127</v>
      </c>
      <c r="Y13" s="18" t="s">
        <v>98</v>
      </c>
      <c r="Z13" s="18" t="s">
        <v>44</v>
      </c>
      <c r="AA13" s="16" t="s">
        <v>45</v>
      </c>
      <c r="AB13" s="16" t="s">
        <v>46</v>
      </c>
      <c r="AC13" s="16" t="s">
        <v>47</v>
      </c>
      <c r="AD13" s="123" t="str">
        <f t="shared" si="0"/>
        <v>External Transfer-Other banks</v>
      </c>
      <c r="AE13" s="123" t="str">
        <f>VLOOKUP(Table1[[#This Row],[Name of bank]],'اكواد البنوك'!$A$2:$B$34,2,0)</f>
        <v>NBADEGCAXXX</v>
      </c>
      <c r="AF13" s="21" t="s">
        <v>227</v>
      </c>
      <c r="AG13" s="15" t="s">
        <v>167</v>
      </c>
    </row>
    <row r="14" spans="1:33">
      <c r="A14" s="14">
        <v>13</v>
      </c>
      <c r="B14" s="14">
        <v>205</v>
      </c>
      <c r="C14" s="14">
        <v>206</v>
      </c>
      <c r="D14" s="15" t="s">
        <v>80</v>
      </c>
      <c r="E14" s="16" t="s">
        <v>168</v>
      </c>
      <c r="F14" s="32" t="s">
        <v>169</v>
      </c>
      <c r="G14" s="17" t="s">
        <v>170</v>
      </c>
      <c r="H14" s="18" t="s">
        <v>171</v>
      </c>
      <c r="I14" s="16" t="s">
        <v>172</v>
      </c>
      <c r="J14" s="16" t="s">
        <v>173</v>
      </c>
      <c r="K14" s="16" t="s">
        <v>160</v>
      </c>
      <c r="L14" s="16" t="s">
        <v>136</v>
      </c>
      <c r="M14" s="16" t="s">
        <v>136</v>
      </c>
      <c r="N14" s="16">
        <v>28101020104861</v>
      </c>
      <c r="O14" s="16" t="s">
        <v>174</v>
      </c>
      <c r="P14" s="16" t="s">
        <v>175</v>
      </c>
      <c r="Q14" s="16" t="s">
        <v>44</v>
      </c>
      <c r="R14" s="16" t="s">
        <v>91</v>
      </c>
      <c r="S14" s="19" t="s">
        <v>169</v>
      </c>
      <c r="T14" s="20" t="s">
        <v>176</v>
      </c>
      <c r="U14" s="16" t="s">
        <v>177</v>
      </c>
      <c r="V14" s="16" t="s">
        <v>178</v>
      </c>
      <c r="W14" s="30" t="s">
        <v>179</v>
      </c>
      <c r="X14" s="18" t="s">
        <v>127</v>
      </c>
      <c r="Y14" s="18" t="s">
        <v>98</v>
      </c>
      <c r="Z14" s="18" t="s">
        <v>44</v>
      </c>
      <c r="AA14" s="16" t="s">
        <v>45</v>
      </c>
      <c r="AB14" s="16" t="s">
        <v>46</v>
      </c>
      <c r="AC14" s="16" t="s">
        <v>47</v>
      </c>
      <c r="AD14" s="123" t="str">
        <f t="shared" si="0"/>
        <v>External Transfer-Other banks</v>
      </c>
      <c r="AE14" s="123" t="str">
        <f>VLOOKUP(Table1[[#This Row],[Name of bank]],'اكواد البنوك'!$A$2:$B$34,2,0)</f>
        <v>BMISEGCXXXX</v>
      </c>
      <c r="AF14" s="21" t="s">
        <v>181</v>
      </c>
      <c r="AG14" s="15" t="s">
        <v>49</v>
      </c>
    </row>
    <row r="15" spans="1:33">
      <c r="A15" s="14">
        <v>14</v>
      </c>
      <c r="B15" s="14">
        <v>219</v>
      </c>
      <c r="C15" s="14">
        <v>202</v>
      </c>
      <c r="D15" s="15" t="s">
        <v>80</v>
      </c>
      <c r="E15" s="16" t="s">
        <v>182</v>
      </c>
      <c r="F15" s="32" t="s">
        <v>183</v>
      </c>
      <c r="G15" s="17" t="s">
        <v>184</v>
      </c>
      <c r="H15" s="18" t="s">
        <v>185</v>
      </c>
      <c r="I15" s="16" t="s">
        <v>186</v>
      </c>
      <c r="J15" s="16" t="s">
        <v>173</v>
      </c>
      <c r="K15" s="16" t="s">
        <v>160</v>
      </c>
      <c r="L15" s="16">
        <v>5728963</v>
      </c>
      <c r="M15" s="16" t="s">
        <v>136</v>
      </c>
      <c r="N15" s="16" t="s">
        <v>187</v>
      </c>
      <c r="O15" s="16" t="s">
        <v>188</v>
      </c>
      <c r="P15" s="16" t="s">
        <v>189</v>
      </c>
      <c r="Q15" s="16" t="s">
        <v>44</v>
      </c>
      <c r="R15" s="16" t="s">
        <v>91</v>
      </c>
      <c r="S15" s="19" t="s">
        <v>183</v>
      </c>
      <c r="T15" s="20" t="s">
        <v>40</v>
      </c>
      <c r="U15" s="16" t="s">
        <v>190</v>
      </c>
      <c r="V15" s="16" t="s">
        <v>191</v>
      </c>
      <c r="W15" s="30" t="s">
        <v>192</v>
      </c>
      <c r="X15" s="18" t="s">
        <v>127</v>
      </c>
      <c r="Y15" s="18" t="s">
        <v>98</v>
      </c>
      <c r="Z15" s="18" t="s">
        <v>44</v>
      </c>
      <c r="AA15" s="16" t="s">
        <v>45</v>
      </c>
      <c r="AB15" s="16" t="s">
        <v>46</v>
      </c>
      <c r="AC15" s="16" t="s">
        <v>47</v>
      </c>
      <c r="AD15" s="123" t="str">
        <f t="shared" si="0"/>
        <v>External Transfer-NBE</v>
      </c>
      <c r="AE15" s="123" t="str">
        <f>VLOOKUP(Table1[[#This Row],[Name of bank]],'اكواد البنوك'!$A$2:$B$34,2,0)</f>
        <v>NBEGEGCXXXX</v>
      </c>
      <c r="AF15" s="21" t="s">
        <v>193</v>
      </c>
      <c r="AG15" s="15" t="s">
        <v>49</v>
      </c>
    </row>
    <row r="16" spans="1:33">
      <c r="A16" s="14">
        <v>15</v>
      </c>
      <c r="B16" s="14">
        <v>219</v>
      </c>
      <c r="C16" s="14">
        <v>214</v>
      </c>
      <c r="D16" s="15" t="s">
        <v>80</v>
      </c>
      <c r="E16" s="16" t="s">
        <v>194</v>
      </c>
      <c r="F16" s="32" t="s">
        <v>195</v>
      </c>
      <c r="G16" s="17" t="s">
        <v>196</v>
      </c>
      <c r="H16" s="18" t="s">
        <v>197</v>
      </c>
      <c r="I16" s="16" t="s">
        <v>198</v>
      </c>
      <c r="J16" s="16" t="s">
        <v>173</v>
      </c>
      <c r="K16" s="16" t="s">
        <v>199</v>
      </c>
      <c r="L16" s="16">
        <v>47546634</v>
      </c>
      <c r="M16" s="16" t="s">
        <v>136</v>
      </c>
      <c r="N16" s="16">
        <v>29302030200425</v>
      </c>
      <c r="O16" s="16" t="s">
        <v>200</v>
      </c>
      <c r="P16" s="16" t="s">
        <v>201</v>
      </c>
      <c r="Q16" s="16" t="s">
        <v>44</v>
      </c>
      <c r="R16" s="16" t="s">
        <v>91</v>
      </c>
      <c r="S16" s="19" t="s">
        <v>202</v>
      </c>
      <c r="T16" s="20" t="s">
        <v>40</v>
      </c>
      <c r="U16" s="16" t="s">
        <v>203</v>
      </c>
      <c r="V16" s="16" t="s">
        <v>204</v>
      </c>
      <c r="W16" s="113" t="s">
        <v>205</v>
      </c>
      <c r="X16" s="18" t="s">
        <v>127</v>
      </c>
      <c r="Y16" s="18" t="s">
        <v>98</v>
      </c>
      <c r="Z16" s="18" t="s">
        <v>44</v>
      </c>
      <c r="AA16" s="16" t="s">
        <v>45</v>
      </c>
      <c r="AB16" s="16" t="s">
        <v>46</v>
      </c>
      <c r="AC16" s="16" t="s">
        <v>47</v>
      </c>
      <c r="AD16" s="123" t="str">
        <f t="shared" si="0"/>
        <v>External Transfer-NBE</v>
      </c>
      <c r="AE16" s="123" t="str">
        <f>VLOOKUP(Table1[[#This Row],[Name of bank]],'اكواد البنوك'!$A$2:$B$34,2,0)</f>
        <v>NBEGEGCXXXX</v>
      </c>
      <c r="AF16" s="114" t="s">
        <v>751</v>
      </c>
      <c r="AG16" s="15" t="s">
        <v>167</v>
      </c>
    </row>
    <row r="17" spans="1:33">
      <c r="A17" s="14">
        <v>16</v>
      </c>
      <c r="B17" s="14" t="s">
        <v>206</v>
      </c>
      <c r="C17" s="14" t="s">
        <v>206</v>
      </c>
      <c r="D17" s="15" t="s">
        <v>34</v>
      </c>
      <c r="E17" s="16" t="s">
        <v>207</v>
      </c>
      <c r="F17" s="32" t="s">
        <v>208</v>
      </c>
      <c r="G17" s="17" t="s">
        <v>209</v>
      </c>
      <c r="H17" s="18" t="s">
        <v>210</v>
      </c>
      <c r="I17" s="16" t="s">
        <v>34</v>
      </c>
      <c r="J17" s="16"/>
      <c r="K17" s="16"/>
      <c r="L17" s="16"/>
      <c r="M17" s="16"/>
      <c r="N17" s="16" t="s">
        <v>211</v>
      </c>
      <c r="O17" s="16"/>
      <c r="P17" s="16"/>
      <c r="Q17" s="16"/>
      <c r="R17" s="16"/>
      <c r="S17" s="19"/>
      <c r="T17" s="20" t="s">
        <v>40</v>
      </c>
      <c r="U17" s="16"/>
      <c r="V17" s="16"/>
      <c r="W17" s="30">
        <v>87</v>
      </c>
      <c r="X17" s="18" t="s">
        <v>78</v>
      </c>
      <c r="Y17" s="18" t="s">
        <v>43</v>
      </c>
      <c r="Z17" s="18" t="s">
        <v>44</v>
      </c>
      <c r="AA17" s="16" t="s">
        <v>45</v>
      </c>
      <c r="AB17" s="16" t="s">
        <v>46</v>
      </c>
      <c r="AC17" s="16" t="s">
        <v>47</v>
      </c>
      <c r="AD17" s="123" t="str">
        <f t="shared" si="0"/>
        <v>Internal Transfer</v>
      </c>
      <c r="AE17" s="123" t="str">
        <f>VLOOKUP(Table1[[#This Row],[Name of bank]],'اكواد البنوك'!$A$2:$B$34,2,0)</f>
        <v>NBEGEGCXXXX</v>
      </c>
      <c r="AF17" s="21" t="s">
        <v>212</v>
      </c>
      <c r="AG17" s="15" t="s">
        <v>49</v>
      </c>
    </row>
    <row r="18" spans="1:33">
      <c r="A18" s="14">
        <v>17</v>
      </c>
      <c r="B18" s="14" t="s">
        <v>206</v>
      </c>
      <c r="C18" s="14" t="s">
        <v>409</v>
      </c>
      <c r="D18" s="15" t="s">
        <v>80</v>
      </c>
      <c r="E18" s="16" t="s">
        <v>213</v>
      </c>
      <c r="F18" s="32" t="s">
        <v>214</v>
      </c>
      <c r="G18" s="17" t="s">
        <v>215</v>
      </c>
      <c r="H18" s="18" t="s">
        <v>216</v>
      </c>
      <c r="I18" s="16" t="s">
        <v>217</v>
      </c>
      <c r="J18" s="16" t="s">
        <v>86</v>
      </c>
      <c r="K18" s="16" t="s">
        <v>218</v>
      </c>
      <c r="L18" s="16">
        <v>20253740</v>
      </c>
      <c r="M18" s="16">
        <v>432781498</v>
      </c>
      <c r="N18" s="16" t="s">
        <v>219</v>
      </c>
      <c r="O18" s="16" t="s">
        <v>220</v>
      </c>
      <c r="P18" s="16" t="s">
        <v>221</v>
      </c>
      <c r="Q18" s="16" t="s">
        <v>44</v>
      </c>
      <c r="R18" s="16" t="s">
        <v>91</v>
      </c>
      <c r="S18" s="19" t="s">
        <v>222</v>
      </c>
      <c r="T18" s="20" t="s">
        <v>223</v>
      </c>
      <c r="U18" s="16" t="s">
        <v>164</v>
      </c>
      <c r="V18" s="16" t="s">
        <v>224</v>
      </c>
      <c r="W18" s="30" t="s">
        <v>225</v>
      </c>
      <c r="X18" s="18" t="s">
        <v>97</v>
      </c>
      <c r="Y18" s="18" t="s">
        <v>98</v>
      </c>
      <c r="Z18" s="18" t="s">
        <v>44</v>
      </c>
      <c r="AA18" s="16" t="s">
        <v>45</v>
      </c>
      <c r="AB18" s="16" t="s">
        <v>46</v>
      </c>
      <c r="AC18" s="16" t="s">
        <v>47</v>
      </c>
      <c r="AD18" s="123" t="str">
        <f t="shared" si="0"/>
        <v>External Transfer-Other banks</v>
      </c>
      <c r="AE18" s="123" t="str">
        <f>VLOOKUP(Table1[[#This Row],[Name of bank]],'اكواد البنوك'!$A$2:$B$34,2,0)</f>
        <v>NBADEGCAXXX</v>
      </c>
      <c r="AF18" s="21" t="s">
        <v>227</v>
      </c>
      <c r="AG18" s="15" t="s">
        <v>49</v>
      </c>
    </row>
    <row r="19" spans="1:33">
      <c r="A19" s="14">
        <v>18</v>
      </c>
      <c r="B19" s="14">
        <v>304</v>
      </c>
      <c r="C19" s="14">
        <v>204</v>
      </c>
      <c r="D19" s="15" t="s">
        <v>80</v>
      </c>
      <c r="E19" s="16" t="s">
        <v>228</v>
      </c>
      <c r="F19" s="32" t="s">
        <v>229</v>
      </c>
      <c r="G19" s="17" t="s">
        <v>230</v>
      </c>
      <c r="H19" s="18" t="s">
        <v>231</v>
      </c>
      <c r="I19" s="16" t="s">
        <v>232</v>
      </c>
      <c r="J19" s="16" t="s">
        <v>173</v>
      </c>
      <c r="K19" s="16" t="s">
        <v>233</v>
      </c>
      <c r="L19" s="16">
        <v>15406577</v>
      </c>
      <c r="M19" s="16" t="s">
        <v>234</v>
      </c>
      <c r="N19" s="16" t="s">
        <v>235</v>
      </c>
      <c r="O19" s="16" t="s">
        <v>236</v>
      </c>
      <c r="P19" s="16" t="s">
        <v>237</v>
      </c>
      <c r="Q19" s="16" t="s">
        <v>44</v>
      </c>
      <c r="R19" s="16" t="s">
        <v>91</v>
      </c>
      <c r="S19" s="19" t="s">
        <v>228</v>
      </c>
      <c r="T19" s="20" t="s">
        <v>40</v>
      </c>
      <c r="U19" s="16" t="s">
        <v>238</v>
      </c>
      <c r="V19" s="16" t="s">
        <v>239</v>
      </c>
      <c r="W19" s="30" t="s">
        <v>240</v>
      </c>
      <c r="X19" s="18" t="s">
        <v>127</v>
      </c>
      <c r="Y19" s="18" t="s">
        <v>98</v>
      </c>
      <c r="Z19" s="18" t="s">
        <v>44</v>
      </c>
      <c r="AA19" s="16" t="s">
        <v>45</v>
      </c>
      <c r="AB19" s="16" t="s">
        <v>46</v>
      </c>
      <c r="AC19" s="16" t="s">
        <v>47</v>
      </c>
      <c r="AD19" s="123" t="str">
        <f t="shared" si="0"/>
        <v>External Transfer-NBE</v>
      </c>
      <c r="AE19" s="123" t="str">
        <f>VLOOKUP(Table1[[#This Row],[Name of bank]],'اكواد البنوك'!$A$2:$B$34,2,0)</f>
        <v>NBEGEGCXXXX</v>
      </c>
      <c r="AF19" s="21" t="s">
        <v>241</v>
      </c>
      <c r="AG19" s="15" t="s">
        <v>49</v>
      </c>
    </row>
    <row r="20" spans="1:33">
      <c r="A20" s="14">
        <v>19</v>
      </c>
      <c r="B20" s="14">
        <v>304</v>
      </c>
      <c r="C20" s="14">
        <v>208</v>
      </c>
      <c r="D20" s="15" t="s">
        <v>80</v>
      </c>
      <c r="E20" s="16" t="s">
        <v>242</v>
      </c>
      <c r="F20" s="32" t="s">
        <v>243</v>
      </c>
      <c r="G20" s="17" t="s">
        <v>244</v>
      </c>
      <c r="H20" s="18" t="s">
        <v>245</v>
      </c>
      <c r="I20" s="16" t="s">
        <v>246</v>
      </c>
      <c r="J20" s="16" t="s">
        <v>86</v>
      </c>
      <c r="K20" s="16" t="s">
        <v>106</v>
      </c>
      <c r="L20" s="16">
        <v>34070964</v>
      </c>
      <c r="M20" s="16">
        <v>382122240</v>
      </c>
      <c r="N20" s="16">
        <v>29001050201746</v>
      </c>
      <c r="O20" s="16" t="s">
        <v>247</v>
      </c>
      <c r="P20" s="16" t="s">
        <v>248</v>
      </c>
      <c r="Q20" s="16" t="s">
        <v>44</v>
      </c>
      <c r="R20" s="16" t="s">
        <v>91</v>
      </c>
      <c r="S20" s="19" t="s">
        <v>249</v>
      </c>
      <c r="T20" s="20" t="s">
        <v>40</v>
      </c>
      <c r="U20" s="16" t="s">
        <v>250</v>
      </c>
      <c r="V20" s="16" t="s">
        <v>251</v>
      </c>
      <c r="W20" s="30" t="s">
        <v>252</v>
      </c>
      <c r="X20" s="18" t="s">
        <v>127</v>
      </c>
      <c r="Y20" s="18" t="s">
        <v>98</v>
      </c>
      <c r="Z20" s="18" t="s">
        <v>44</v>
      </c>
      <c r="AA20" s="16" t="s">
        <v>45</v>
      </c>
      <c r="AB20" s="16" t="s">
        <v>46</v>
      </c>
      <c r="AC20" s="16" t="s">
        <v>47</v>
      </c>
      <c r="AD20" s="123" t="str">
        <f t="shared" si="0"/>
        <v>External Transfer-NBE</v>
      </c>
      <c r="AE20" s="123" t="str">
        <f>VLOOKUP(Table1[[#This Row],[Name of bank]],'اكواد البنوك'!$A$2:$B$34,2,0)</f>
        <v>NBEGEGCXXXX</v>
      </c>
      <c r="AF20" s="21" t="s">
        <v>3174</v>
      </c>
      <c r="AG20" s="15" t="s">
        <v>167</v>
      </c>
    </row>
    <row r="21" spans="1:33">
      <c r="A21" s="14">
        <v>20</v>
      </c>
      <c r="B21" s="14">
        <v>304</v>
      </c>
      <c r="C21" s="14" t="e">
        <v>#N/A</v>
      </c>
      <c r="D21" s="15" t="s">
        <v>80</v>
      </c>
      <c r="E21" s="16" t="s">
        <v>253</v>
      </c>
      <c r="F21" s="32" t="s">
        <v>10099</v>
      </c>
      <c r="G21" s="17" t="s">
        <v>254</v>
      </c>
      <c r="H21" s="18" t="s">
        <v>255</v>
      </c>
      <c r="I21" s="16" t="s">
        <v>256</v>
      </c>
      <c r="J21" s="16" t="s">
        <v>173</v>
      </c>
      <c r="K21" s="16" t="s">
        <v>257</v>
      </c>
      <c r="L21" s="16">
        <v>73948481</v>
      </c>
      <c r="M21" s="16" t="s">
        <v>136</v>
      </c>
      <c r="N21" s="16">
        <v>29307080200304</v>
      </c>
      <c r="O21" s="16" t="s">
        <v>258</v>
      </c>
      <c r="P21" s="16" t="s">
        <v>259</v>
      </c>
      <c r="Q21" s="16" t="s">
        <v>44</v>
      </c>
      <c r="R21" s="16" t="s">
        <v>91</v>
      </c>
      <c r="S21" s="19" t="s">
        <v>260</v>
      </c>
      <c r="T21" s="20" t="s">
        <v>176</v>
      </c>
      <c r="U21" s="16" t="s">
        <v>261</v>
      </c>
      <c r="V21" s="16" t="s">
        <v>262</v>
      </c>
      <c r="W21" s="30" t="s">
        <v>263</v>
      </c>
      <c r="X21" s="18" t="s">
        <v>127</v>
      </c>
      <c r="Y21" s="18" t="s">
        <v>98</v>
      </c>
      <c r="Z21" s="18" t="s">
        <v>44</v>
      </c>
      <c r="AA21" s="16"/>
      <c r="AB21" s="16"/>
      <c r="AC21" s="16"/>
      <c r="AD21" s="123" t="str">
        <f t="shared" si="0"/>
        <v>External Transfer-Other banks</v>
      </c>
      <c r="AE21" s="123" t="str">
        <f>VLOOKUP(Table1[[#This Row],[Name of bank]],'اكواد البنوك'!$A$2:$B$34,2,0)</f>
        <v>BMISEGCXXXX</v>
      </c>
      <c r="AF21" s="21" t="s">
        <v>378</v>
      </c>
      <c r="AG21" s="15" t="s">
        <v>167</v>
      </c>
    </row>
    <row r="22" spans="1:33">
      <c r="A22" s="14">
        <v>21</v>
      </c>
      <c r="B22" s="14">
        <v>305</v>
      </c>
      <c r="C22" s="14">
        <v>210</v>
      </c>
      <c r="D22" s="15" t="s">
        <v>80</v>
      </c>
      <c r="E22" s="16" t="s">
        <v>264</v>
      </c>
      <c r="F22" s="32" t="s">
        <v>265</v>
      </c>
      <c r="G22" s="17" t="s">
        <v>266</v>
      </c>
      <c r="H22" s="18" t="s">
        <v>267</v>
      </c>
      <c r="I22" s="16" t="s">
        <v>268</v>
      </c>
      <c r="J22" s="16" t="s">
        <v>86</v>
      </c>
      <c r="K22" s="16" t="s">
        <v>269</v>
      </c>
      <c r="L22" s="16">
        <v>76316194</v>
      </c>
      <c r="M22" s="16" t="s">
        <v>136</v>
      </c>
      <c r="N22" s="16" t="s">
        <v>270</v>
      </c>
      <c r="O22" s="16" t="s">
        <v>271</v>
      </c>
      <c r="P22" s="16" t="s">
        <v>272</v>
      </c>
      <c r="Q22" s="16" t="s">
        <v>44</v>
      </c>
      <c r="R22" s="16" t="s">
        <v>91</v>
      </c>
      <c r="S22" s="19" t="s">
        <v>273</v>
      </c>
      <c r="T22" s="20" t="s">
        <v>274</v>
      </c>
      <c r="U22" s="16" t="s">
        <v>275</v>
      </c>
      <c r="V22" s="16" t="s">
        <v>276</v>
      </c>
      <c r="W22" s="30" t="s">
        <v>277</v>
      </c>
      <c r="X22" s="18" t="s">
        <v>127</v>
      </c>
      <c r="Y22" s="18" t="s">
        <v>98</v>
      </c>
      <c r="Z22" s="18" t="s">
        <v>44</v>
      </c>
      <c r="AA22" s="16" t="s">
        <v>45</v>
      </c>
      <c r="AB22" s="16" t="s">
        <v>46</v>
      </c>
      <c r="AC22" s="16" t="s">
        <v>47</v>
      </c>
      <c r="AD22" s="123" t="str">
        <f t="shared" si="0"/>
        <v>External Transfer-Other banks</v>
      </c>
      <c r="AE22" s="123" t="str">
        <f>VLOOKUP(Table1[[#This Row],[Name of bank]],'اكواد البنوك'!$A$2:$B$34,2,0)</f>
        <v>BCAIEGCXXXX</v>
      </c>
      <c r="AF22" s="21" t="s">
        <v>279</v>
      </c>
      <c r="AG22" s="15" t="s">
        <v>49</v>
      </c>
    </row>
    <row r="23" spans="1:33">
      <c r="A23" s="14">
        <v>22</v>
      </c>
      <c r="B23" s="14">
        <v>305</v>
      </c>
      <c r="C23" s="14" t="e">
        <v>#N/A</v>
      </c>
      <c r="D23" s="15" t="s">
        <v>80</v>
      </c>
      <c r="E23" s="16" t="s">
        <v>280</v>
      </c>
      <c r="F23" s="32" t="s">
        <v>281</v>
      </c>
      <c r="G23" s="17" t="s">
        <v>282</v>
      </c>
      <c r="H23" s="18" t="s">
        <v>283</v>
      </c>
      <c r="I23" s="16" t="s">
        <v>284</v>
      </c>
      <c r="J23" s="16" t="s">
        <v>86</v>
      </c>
      <c r="K23" s="16" t="s">
        <v>285</v>
      </c>
      <c r="L23" s="16">
        <v>50068973</v>
      </c>
      <c r="M23" s="16" t="s">
        <v>136</v>
      </c>
      <c r="N23" s="16">
        <v>29608040200981</v>
      </c>
      <c r="O23" s="16" t="s">
        <v>286</v>
      </c>
      <c r="P23" s="16" t="s">
        <v>287</v>
      </c>
      <c r="Q23" s="16" t="s">
        <v>44</v>
      </c>
      <c r="R23" s="16" t="s">
        <v>91</v>
      </c>
      <c r="S23" s="19" t="s">
        <v>288</v>
      </c>
      <c r="T23" s="20" t="s">
        <v>40</v>
      </c>
      <c r="U23" s="16" t="s">
        <v>289</v>
      </c>
      <c r="V23" s="16" t="s">
        <v>290</v>
      </c>
      <c r="W23" s="113" t="s">
        <v>291</v>
      </c>
      <c r="X23" s="18" t="s">
        <v>127</v>
      </c>
      <c r="Y23" s="18" t="s">
        <v>98</v>
      </c>
      <c r="Z23" s="18" t="s">
        <v>44</v>
      </c>
      <c r="AA23" s="16" t="s">
        <v>45</v>
      </c>
      <c r="AB23" s="16" t="s">
        <v>46</v>
      </c>
      <c r="AC23" s="16" t="s">
        <v>47</v>
      </c>
      <c r="AD23" s="123" t="str">
        <f t="shared" si="0"/>
        <v>External Transfer-NBE</v>
      </c>
      <c r="AE23" s="123" t="str">
        <f>VLOOKUP(Table1[[#This Row],[Name of bank]],'اكواد البنوك'!$A$2:$B$34,2,0)</f>
        <v>NBEGEGCXXXX</v>
      </c>
      <c r="AF23" s="114" t="s">
        <v>10368</v>
      </c>
      <c r="AG23" s="15" t="s">
        <v>167</v>
      </c>
    </row>
    <row r="24" spans="1:33">
      <c r="A24" s="14">
        <v>23</v>
      </c>
      <c r="B24" s="14">
        <v>319</v>
      </c>
      <c r="C24" s="14" t="e">
        <v>#N/A</v>
      </c>
      <c r="D24" s="15" t="s">
        <v>80</v>
      </c>
      <c r="E24" s="16" t="s">
        <v>292</v>
      </c>
      <c r="F24" s="32" t="s">
        <v>293</v>
      </c>
      <c r="G24" s="17" t="s">
        <v>294</v>
      </c>
      <c r="H24" s="18" t="s">
        <v>295</v>
      </c>
      <c r="I24" s="16" t="s">
        <v>296</v>
      </c>
      <c r="J24" s="16" t="s">
        <v>148</v>
      </c>
      <c r="K24" s="16" t="s">
        <v>136</v>
      </c>
      <c r="L24" s="16" t="s">
        <v>136</v>
      </c>
      <c r="M24" s="16"/>
      <c r="N24" s="16">
        <v>28404070200782</v>
      </c>
      <c r="O24" s="16" t="s">
        <v>297</v>
      </c>
      <c r="P24" s="16" t="s">
        <v>298</v>
      </c>
      <c r="Q24" s="16" t="s">
        <v>44</v>
      </c>
      <c r="R24" s="16" t="s">
        <v>91</v>
      </c>
      <c r="S24" s="19" t="s">
        <v>292</v>
      </c>
      <c r="T24" s="20" t="s">
        <v>307</v>
      </c>
      <c r="U24" s="16" t="s">
        <v>299</v>
      </c>
      <c r="V24" s="16">
        <v>100030385467</v>
      </c>
      <c r="W24" s="30" t="s">
        <v>300</v>
      </c>
      <c r="X24" s="18" t="s">
        <v>127</v>
      </c>
      <c r="Y24" s="18" t="s">
        <v>98</v>
      </c>
      <c r="Z24" s="18" t="s">
        <v>44</v>
      </c>
      <c r="AA24" s="16" t="s">
        <v>45</v>
      </c>
      <c r="AB24" s="16" t="s">
        <v>46</v>
      </c>
      <c r="AC24" s="16" t="s">
        <v>47</v>
      </c>
      <c r="AD24" s="123" t="str">
        <f t="shared" si="0"/>
        <v>External Transfer-Other banks</v>
      </c>
      <c r="AE24" s="123" t="str">
        <f>VLOOKUP(Table1[[#This Row],[Name of bank]],'اكواد البنوك'!$A$2:$B$34,2,0)</f>
        <v>CIBEEGCXXXX</v>
      </c>
      <c r="AF24" s="21" t="s">
        <v>311</v>
      </c>
      <c r="AG24" s="15" t="s">
        <v>167</v>
      </c>
    </row>
    <row r="25" spans="1:33">
      <c r="A25" s="14">
        <v>24</v>
      </c>
      <c r="B25" s="14">
        <v>319</v>
      </c>
      <c r="C25" s="14">
        <v>208</v>
      </c>
      <c r="D25" s="15" t="s">
        <v>80</v>
      </c>
      <c r="E25" s="16" t="s">
        <v>301</v>
      </c>
      <c r="F25" s="32" t="s">
        <v>302</v>
      </c>
      <c r="G25" s="17" t="s">
        <v>303</v>
      </c>
      <c r="H25" s="18" t="s">
        <v>304</v>
      </c>
      <c r="I25" s="16" t="s">
        <v>296</v>
      </c>
      <c r="J25" s="16" t="s">
        <v>86</v>
      </c>
      <c r="K25" s="16" t="s">
        <v>269</v>
      </c>
      <c r="L25" s="16">
        <v>24619911</v>
      </c>
      <c r="M25" s="16">
        <v>213301792</v>
      </c>
      <c r="N25" s="16">
        <v>28211102500187</v>
      </c>
      <c r="O25" s="16" t="s">
        <v>305</v>
      </c>
      <c r="P25" s="16" t="s">
        <v>306</v>
      </c>
      <c r="Q25" s="16" t="s">
        <v>44</v>
      </c>
      <c r="R25" s="16" t="s">
        <v>91</v>
      </c>
      <c r="S25" s="19" t="s">
        <v>301</v>
      </c>
      <c r="T25" s="20" t="s">
        <v>307</v>
      </c>
      <c r="U25" s="16" t="s">
        <v>308</v>
      </c>
      <c r="V25" s="16" t="s">
        <v>309</v>
      </c>
      <c r="W25" s="30" t="s">
        <v>310</v>
      </c>
      <c r="X25" s="18" t="s">
        <v>127</v>
      </c>
      <c r="Y25" s="18" t="s">
        <v>98</v>
      </c>
      <c r="Z25" s="18" t="s">
        <v>44</v>
      </c>
      <c r="AA25" s="16" t="s">
        <v>45</v>
      </c>
      <c r="AB25" s="16" t="s">
        <v>46</v>
      </c>
      <c r="AC25" s="16" t="s">
        <v>47</v>
      </c>
      <c r="AD25" s="123" t="str">
        <f t="shared" si="0"/>
        <v>External Transfer-Other banks</v>
      </c>
      <c r="AE25" s="123" t="str">
        <f>VLOOKUP(Table1[[#This Row],[Name of bank]],'اكواد البنوك'!$A$2:$B$34,2,0)</f>
        <v>CIBEEGCXXXX</v>
      </c>
      <c r="AF25" s="21" t="s">
        <v>311</v>
      </c>
      <c r="AG25" s="15" t="s">
        <v>49</v>
      </c>
    </row>
    <row r="26" spans="1:33">
      <c r="A26" s="14">
        <v>25</v>
      </c>
      <c r="B26" s="14" t="s">
        <v>312</v>
      </c>
      <c r="C26" s="14" t="s">
        <v>73</v>
      </c>
      <c r="D26" s="15" t="s">
        <v>34</v>
      </c>
      <c r="E26" s="16" t="s">
        <v>313</v>
      </c>
      <c r="F26" s="32" t="s">
        <v>314</v>
      </c>
      <c r="G26" s="17" t="s">
        <v>315</v>
      </c>
      <c r="H26" s="18" t="s">
        <v>316</v>
      </c>
      <c r="I26" s="16" t="s">
        <v>34</v>
      </c>
      <c r="J26" s="16"/>
      <c r="K26" s="16"/>
      <c r="L26" s="16"/>
      <c r="M26" s="16"/>
      <c r="N26" s="16">
        <v>28405290201255</v>
      </c>
      <c r="O26" s="16"/>
      <c r="P26" s="16"/>
      <c r="Q26" s="16"/>
      <c r="R26" s="16"/>
      <c r="S26" s="19"/>
      <c r="T26" s="20" t="s">
        <v>40</v>
      </c>
      <c r="U26" s="16"/>
      <c r="V26" s="16"/>
      <c r="W26" s="30">
        <v>79</v>
      </c>
      <c r="X26" s="18" t="s">
        <v>78</v>
      </c>
      <c r="Y26" s="18" t="s">
        <v>43</v>
      </c>
      <c r="Z26" s="18" t="s">
        <v>44</v>
      </c>
      <c r="AA26" s="16" t="s">
        <v>45</v>
      </c>
      <c r="AB26" s="16" t="s">
        <v>46</v>
      </c>
      <c r="AC26" s="16" t="s">
        <v>47</v>
      </c>
      <c r="AD26" s="123" t="str">
        <f t="shared" si="0"/>
        <v>Internal Transfer</v>
      </c>
      <c r="AE26" s="123" t="str">
        <f>VLOOKUP(Table1[[#This Row],[Name of bank]],'اكواد البنوك'!$A$2:$B$34,2,0)</f>
        <v>NBEGEGCXXXX</v>
      </c>
      <c r="AF26" s="21" t="s">
        <v>317</v>
      </c>
      <c r="AG26" s="15" t="s">
        <v>49</v>
      </c>
    </row>
    <row r="27" spans="1:33">
      <c r="A27" s="14">
        <v>26</v>
      </c>
      <c r="B27" s="14" t="s">
        <v>312</v>
      </c>
      <c r="C27" s="14">
        <v>202</v>
      </c>
      <c r="D27" s="15" t="s">
        <v>80</v>
      </c>
      <c r="E27" s="16" t="s">
        <v>318</v>
      </c>
      <c r="F27" s="32" t="s">
        <v>319</v>
      </c>
      <c r="G27" s="17" t="s">
        <v>320</v>
      </c>
      <c r="H27" s="18" t="s">
        <v>321</v>
      </c>
      <c r="I27" s="16" t="s">
        <v>134</v>
      </c>
      <c r="J27" s="16" t="s">
        <v>86</v>
      </c>
      <c r="K27" s="16" t="s">
        <v>322</v>
      </c>
      <c r="L27" s="16">
        <v>16043883</v>
      </c>
      <c r="M27" s="16" t="s">
        <v>136</v>
      </c>
      <c r="N27" s="16" t="s">
        <v>323</v>
      </c>
      <c r="O27" s="16" t="s">
        <v>324</v>
      </c>
      <c r="P27" s="16" t="s">
        <v>325</v>
      </c>
      <c r="Q27" s="16" t="s">
        <v>44</v>
      </c>
      <c r="R27" s="16" t="s">
        <v>91</v>
      </c>
      <c r="S27" s="19" t="s">
        <v>326</v>
      </c>
      <c r="T27" s="20" t="s">
        <v>40</v>
      </c>
      <c r="U27" s="16" t="s">
        <v>327</v>
      </c>
      <c r="V27" s="16" t="s">
        <v>328</v>
      </c>
      <c r="W27" s="30" t="s">
        <v>329</v>
      </c>
      <c r="X27" s="18" t="s">
        <v>97</v>
      </c>
      <c r="Y27" s="18" t="s">
        <v>98</v>
      </c>
      <c r="Z27" s="18" t="s">
        <v>44</v>
      </c>
      <c r="AA27" s="16" t="s">
        <v>45</v>
      </c>
      <c r="AB27" s="16" t="s">
        <v>46</v>
      </c>
      <c r="AC27" s="16" t="s">
        <v>47</v>
      </c>
      <c r="AD27" s="123" t="str">
        <f t="shared" si="0"/>
        <v>External Transfer-NBE</v>
      </c>
      <c r="AE27" s="123" t="str">
        <f>VLOOKUP(Table1[[#This Row],[Name of bank]],'اكواد البنوك'!$A$2:$B$34,2,0)</f>
        <v>NBEGEGCXXXX</v>
      </c>
      <c r="AF27" s="21" t="s">
        <v>330</v>
      </c>
      <c r="AG27" s="15" t="s">
        <v>49</v>
      </c>
    </row>
    <row r="28" spans="1:33">
      <c r="A28" s="14">
        <v>27</v>
      </c>
      <c r="B28" s="14">
        <v>404</v>
      </c>
      <c r="C28" s="14">
        <v>304</v>
      </c>
      <c r="D28" s="15" t="s">
        <v>80</v>
      </c>
      <c r="E28" s="16" t="s">
        <v>331</v>
      </c>
      <c r="F28" s="32" t="s">
        <v>332</v>
      </c>
      <c r="G28" s="17" t="s">
        <v>333</v>
      </c>
      <c r="H28" s="18" t="s">
        <v>334</v>
      </c>
      <c r="I28" s="16" t="s">
        <v>335</v>
      </c>
      <c r="J28" s="16" t="s">
        <v>86</v>
      </c>
      <c r="K28" s="16" t="s">
        <v>336</v>
      </c>
      <c r="L28" s="16">
        <v>56613469</v>
      </c>
      <c r="M28" s="16" t="s">
        <v>337</v>
      </c>
      <c r="N28" s="16">
        <v>27801120201756</v>
      </c>
      <c r="O28" s="16" t="s">
        <v>338</v>
      </c>
      <c r="P28" s="16" t="s">
        <v>339</v>
      </c>
      <c r="Q28" s="16" t="s">
        <v>44</v>
      </c>
      <c r="R28" s="16" t="s">
        <v>91</v>
      </c>
      <c r="S28" s="19" t="s">
        <v>340</v>
      </c>
      <c r="T28" s="20" t="s">
        <v>341</v>
      </c>
      <c r="U28" s="16" t="s">
        <v>342</v>
      </c>
      <c r="V28" s="16" t="s">
        <v>343</v>
      </c>
      <c r="W28" s="30" t="s">
        <v>344</v>
      </c>
      <c r="X28" s="18" t="s">
        <v>127</v>
      </c>
      <c r="Y28" s="18" t="s">
        <v>98</v>
      </c>
      <c r="Z28" s="18" t="s">
        <v>44</v>
      </c>
      <c r="AA28" s="16" t="s">
        <v>45</v>
      </c>
      <c r="AB28" s="16" t="s">
        <v>46</v>
      </c>
      <c r="AC28" s="16" t="s">
        <v>47</v>
      </c>
      <c r="AD28" s="123" t="str">
        <f t="shared" si="0"/>
        <v>External Transfer-Other banks</v>
      </c>
      <c r="AE28" s="123" t="str">
        <f>VLOOKUP(Table1[[#This Row],[Name of bank]],'اكواد البنوك'!$A$2:$B$34,2,0)</f>
        <v>AGRIEGCXXXX</v>
      </c>
      <c r="AF28" s="21" t="s">
        <v>346</v>
      </c>
      <c r="AG28" s="15" t="s">
        <v>49</v>
      </c>
    </row>
    <row r="29" spans="1:33">
      <c r="A29" s="14">
        <v>28</v>
      </c>
      <c r="B29" s="14">
        <v>404</v>
      </c>
      <c r="C29" s="14" t="e">
        <v>#N/A</v>
      </c>
      <c r="D29" s="15" t="s">
        <v>80</v>
      </c>
      <c r="E29" s="16" t="s">
        <v>347</v>
      </c>
      <c r="F29" s="32" t="s">
        <v>354</v>
      </c>
      <c r="G29" s="17" t="s">
        <v>348</v>
      </c>
      <c r="H29" s="18" t="s">
        <v>349</v>
      </c>
      <c r="I29" s="16" t="s">
        <v>350</v>
      </c>
      <c r="J29" s="16" t="s">
        <v>86</v>
      </c>
      <c r="K29" s="16" t="s">
        <v>351</v>
      </c>
      <c r="L29" s="16">
        <v>31052337</v>
      </c>
      <c r="M29" s="16">
        <v>123456</v>
      </c>
      <c r="N29" s="16">
        <v>28504040202599</v>
      </c>
      <c r="O29" s="16" t="s">
        <v>352</v>
      </c>
      <c r="P29" s="16" t="s">
        <v>353</v>
      </c>
      <c r="Q29" s="16" t="s">
        <v>44</v>
      </c>
      <c r="R29" s="16" t="s">
        <v>91</v>
      </c>
      <c r="S29" s="19" t="s">
        <v>354</v>
      </c>
      <c r="T29" s="115" t="s">
        <v>93</v>
      </c>
      <c r="U29" s="116" t="s">
        <v>10410</v>
      </c>
      <c r="V29" s="16">
        <v>100015552253</v>
      </c>
      <c r="W29" s="113" t="s">
        <v>10411</v>
      </c>
      <c r="X29" s="18" t="s">
        <v>127</v>
      </c>
      <c r="Y29" s="18" t="s">
        <v>98</v>
      </c>
      <c r="Z29" s="18" t="s">
        <v>44</v>
      </c>
      <c r="AA29" s="16" t="s">
        <v>45</v>
      </c>
      <c r="AB29" s="16" t="s">
        <v>46</v>
      </c>
      <c r="AC29" s="16" t="s">
        <v>47</v>
      </c>
      <c r="AD29" s="123" t="str">
        <f t="shared" si="0"/>
        <v>External Transfer-Other banks</v>
      </c>
      <c r="AE29" s="123" t="str">
        <f>VLOOKUP(Table1[[#This Row],[Name of bank]],'اكواد البنوك'!$A$2:$B$34,2,0)</f>
        <v>QNBAEGCXXXX</v>
      </c>
      <c r="AF29" s="114" t="s">
        <v>100</v>
      </c>
      <c r="AG29" s="15" t="s">
        <v>167</v>
      </c>
    </row>
    <row r="30" spans="1:33">
      <c r="A30" s="14">
        <v>29</v>
      </c>
      <c r="B30" s="14">
        <v>404</v>
      </c>
      <c r="C30" s="14">
        <v>206</v>
      </c>
      <c r="D30" s="15" t="s">
        <v>80</v>
      </c>
      <c r="E30" s="16" t="s">
        <v>355</v>
      </c>
      <c r="F30" s="32" t="s">
        <v>356</v>
      </c>
      <c r="G30" s="17" t="s">
        <v>357</v>
      </c>
      <c r="H30" s="18" t="s">
        <v>358</v>
      </c>
      <c r="I30" s="16" t="s">
        <v>359</v>
      </c>
      <c r="J30" s="16" t="s">
        <v>86</v>
      </c>
      <c r="K30" s="16" t="s">
        <v>360</v>
      </c>
      <c r="L30" s="16">
        <v>4618532</v>
      </c>
      <c r="M30" s="16">
        <v>432781498</v>
      </c>
      <c r="N30" s="16" t="s">
        <v>361</v>
      </c>
      <c r="O30" s="16" t="s">
        <v>362</v>
      </c>
      <c r="P30" s="16" t="s">
        <v>363</v>
      </c>
      <c r="Q30" s="16" t="s">
        <v>44</v>
      </c>
      <c r="R30" s="16" t="s">
        <v>91</v>
      </c>
      <c r="S30" s="19" t="s">
        <v>364</v>
      </c>
      <c r="T30" s="20" t="s">
        <v>223</v>
      </c>
      <c r="U30" s="16" t="s">
        <v>365</v>
      </c>
      <c r="V30" s="16" t="s">
        <v>366</v>
      </c>
      <c r="W30" s="30" t="s">
        <v>367</v>
      </c>
      <c r="X30" s="18" t="s">
        <v>127</v>
      </c>
      <c r="Y30" s="18" t="s">
        <v>98</v>
      </c>
      <c r="Z30" s="18" t="s">
        <v>44</v>
      </c>
      <c r="AA30" s="16" t="s">
        <v>45</v>
      </c>
      <c r="AB30" s="16" t="s">
        <v>46</v>
      </c>
      <c r="AC30" s="16" t="s">
        <v>47</v>
      </c>
      <c r="AD30" s="123" t="str">
        <f t="shared" si="0"/>
        <v>External Transfer-Other banks</v>
      </c>
      <c r="AE30" s="123" t="str">
        <f>VLOOKUP(Table1[[#This Row],[Name of bank]],'اكواد البنوك'!$A$2:$B$34,2,0)</f>
        <v>NBADEGCAXXX</v>
      </c>
      <c r="AF30" s="21" t="s">
        <v>227</v>
      </c>
      <c r="AG30" s="15" t="s">
        <v>49</v>
      </c>
    </row>
    <row r="31" spans="1:33">
      <c r="A31" s="14">
        <v>30</v>
      </c>
      <c r="B31" s="14">
        <v>405</v>
      </c>
      <c r="C31" s="14">
        <v>302</v>
      </c>
      <c r="D31" s="15" t="s">
        <v>80</v>
      </c>
      <c r="E31" s="16" t="s">
        <v>368</v>
      </c>
      <c r="F31" s="32" t="s">
        <v>369</v>
      </c>
      <c r="G31" s="17" t="s">
        <v>370</v>
      </c>
      <c r="H31" s="18" t="s">
        <v>371</v>
      </c>
      <c r="I31" s="16" t="s">
        <v>159</v>
      </c>
      <c r="J31" s="16" t="s">
        <v>86</v>
      </c>
      <c r="K31" s="16" t="s">
        <v>269</v>
      </c>
      <c r="L31" s="16">
        <v>28309786</v>
      </c>
      <c r="M31" s="16">
        <v>432781498</v>
      </c>
      <c r="N31" s="16">
        <v>28707120200749</v>
      </c>
      <c r="O31" s="16" t="s">
        <v>372</v>
      </c>
      <c r="P31" s="16" t="s">
        <v>373</v>
      </c>
      <c r="Q31" s="16" t="s">
        <v>44</v>
      </c>
      <c r="R31" s="16" t="s">
        <v>91</v>
      </c>
      <c r="S31" s="19" t="s">
        <v>374</v>
      </c>
      <c r="T31" s="20" t="s">
        <v>176</v>
      </c>
      <c r="U31" s="16" t="s">
        <v>375</v>
      </c>
      <c r="V31" s="16" t="s">
        <v>376</v>
      </c>
      <c r="W31" s="30" t="s">
        <v>377</v>
      </c>
      <c r="X31" s="18" t="s">
        <v>127</v>
      </c>
      <c r="Y31" s="18" t="s">
        <v>98</v>
      </c>
      <c r="Z31" s="18" t="s">
        <v>44</v>
      </c>
      <c r="AA31" s="16" t="s">
        <v>45</v>
      </c>
      <c r="AB31" s="16" t="s">
        <v>46</v>
      </c>
      <c r="AC31" s="16" t="s">
        <v>47</v>
      </c>
      <c r="AD31" s="123" t="str">
        <f t="shared" si="0"/>
        <v>External Transfer-Other banks</v>
      </c>
      <c r="AE31" s="123" t="str">
        <f>VLOOKUP(Table1[[#This Row],[Name of bank]],'اكواد البنوك'!$A$2:$B$34,2,0)</f>
        <v>BMISEGCXXXX</v>
      </c>
      <c r="AF31" s="21" t="s">
        <v>378</v>
      </c>
      <c r="AG31" s="15" t="s">
        <v>49</v>
      </c>
    </row>
    <row r="32" spans="1:33">
      <c r="A32" s="14">
        <v>31</v>
      </c>
      <c r="B32" s="14">
        <v>405</v>
      </c>
      <c r="C32" s="14" t="e">
        <v>#N/A</v>
      </c>
      <c r="D32" s="15" t="s">
        <v>80</v>
      </c>
      <c r="E32" s="16" t="s">
        <v>379</v>
      </c>
      <c r="F32" s="32" t="s">
        <v>380</v>
      </c>
      <c r="G32" s="17" t="s">
        <v>381</v>
      </c>
      <c r="H32" s="18" t="s">
        <v>382</v>
      </c>
      <c r="I32" s="16" t="s">
        <v>383</v>
      </c>
      <c r="J32" s="16" t="s">
        <v>86</v>
      </c>
      <c r="K32" s="16" t="s">
        <v>384</v>
      </c>
      <c r="L32" s="16" t="s">
        <v>136</v>
      </c>
      <c r="M32" s="16" t="s">
        <v>136</v>
      </c>
      <c r="N32" s="16">
        <v>29503240200041</v>
      </c>
      <c r="O32" s="16" t="s">
        <v>385</v>
      </c>
      <c r="P32" s="16" t="s">
        <v>386</v>
      </c>
      <c r="Q32" s="16" t="s">
        <v>44</v>
      </c>
      <c r="R32" s="16" t="s">
        <v>91</v>
      </c>
      <c r="S32" s="19" t="s">
        <v>379</v>
      </c>
      <c r="T32" s="20" t="s">
        <v>93</v>
      </c>
      <c r="U32" s="16" t="s">
        <v>387</v>
      </c>
      <c r="V32" s="16">
        <v>1130867700158</v>
      </c>
      <c r="W32" s="30" t="s">
        <v>388</v>
      </c>
      <c r="X32" s="18" t="s">
        <v>127</v>
      </c>
      <c r="Y32" s="18" t="s">
        <v>98</v>
      </c>
      <c r="Z32" s="18" t="s">
        <v>44</v>
      </c>
      <c r="AA32" s="16" t="s">
        <v>45</v>
      </c>
      <c r="AB32" s="16" t="s">
        <v>46</v>
      </c>
      <c r="AC32" s="16" t="s">
        <v>47</v>
      </c>
      <c r="AD32" s="123" t="str">
        <f t="shared" si="0"/>
        <v>External Transfer-Other banks</v>
      </c>
      <c r="AE32" s="123" t="str">
        <f>VLOOKUP(Table1[[#This Row],[Name of bank]],'اكواد البنوك'!$A$2:$B$34,2,0)</f>
        <v>QNBAEGCXXXX</v>
      </c>
      <c r="AF32" s="21" t="s">
        <v>1414</v>
      </c>
      <c r="AG32" s="15" t="s">
        <v>167</v>
      </c>
    </row>
    <row r="33" spans="1:33">
      <c r="A33" s="14">
        <v>32</v>
      </c>
      <c r="B33" s="14">
        <v>424</v>
      </c>
      <c r="C33" s="14">
        <v>404</v>
      </c>
      <c r="D33" s="15" t="s">
        <v>80</v>
      </c>
      <c r="E33" s="16" t="s">
        <v>389</v>
      </c>
      <c r="F33" s="32" t="s">
        <v>10122</v>
      </c>
      <c r="G33" s="17" t="s">
        <v>390</v>
      </c>
      <c r="H33" s="18" t="s">
        <v>391</v>
      </c>
      <c r="I33" s="16" t="s">
        <v>392</v>
      </c>
      <c r="J33" s="16" t="s">
        <v>173</v>
      </c>
      <c r="K33" s="16" t="s">
        <v>106</v>
      </c>
      <c r="L33" s="16" t="s">
        <v>136</v>
      </c>
      <c r="M33" s="16" t="s">
        <v>234</v>
      </c>
      <c r="N33" s="16">
        <v>29804100201144</v>
      </c>
      <c r="O33" s="16" t="s">
        <v>393</v>
      </c>
      <c r="P33" s="16" t="s">
        <v>394</v>
      </c>
      <c r="Q33" s="16" t="s">
        <v>44</v>
      </c>
      <c r="R33" s="16" t="s">
        <v>91</v>
      </c>
      <c r="S33" s="19" t="s">
        <v>395</v>
      </c>
      <c r="T33" s="20" t="s">
        <v>40</v>
      </c>
      <c r="U33" s="16" t="s">
        <v>327</v>
      </c>
      <c r="V33" s="16" t="s">
        <v>396</v>
      </c>
      <c r="W33" s="30" t="s">
        <v>397</v>
      </c>
      <c r="X33" s="18" t="s">
        <v>127</v>
      </c>
      <c r="Y33" s="18" t="s">
        <v>98</v>
      </c>
      <c r="Z33" s="18" t="s">
        <v>44</v>
      </c>
      <c r="AA33" s="16" t="s">
        <v>45</v>
      </c>
      <c r="AB33" s="16" t="s">
        <v>46</v>
      </c>
      <c r="AC33" s="16" t="s">
        <v>47</v>
      </c>
      <c r="AD33" s="123" t="str">
        <f t="shared" si="0"/>
        <v>External Transfer-NBE</v>
      </c>
      <c r="AE33" s="123" t="str">
        <f>VLOOKUP(Table1[[#This Row],[Name of bank]],'اكواد البنوك'!$A$2:$B$34,2,0)</f>
        <v>NBEGEGCXXXX</v>
      </c>
      <c r="AF33" s="21" t="s">
        <v>330</v>
      </c>
      <c r="AG33" s="15" t="s">
        <v>49</v>
      </c>
    </row>
    <row r="34" spans="1:33">
      <c r="A34" s="14">
        <v>33</v>
      </c>
      <c r="B34" s="14">
        <v>424</v>
      </c>
      <c r="C34" s="14" t="e">
        <v>#N/A</v>
      </c>
      <c r="D34" s="15" t="s">
        <v>80</v>
      </c>
      <c r="E34" s="16" t="s">
        <v>398</v>
      </c>
      <c r="F34" s="32" t="s">
        <v>399</v>
      </c>
      <c r="G34" s="17" t="s">
        <v>400</v>
      </c>
      <c r="H34" s="18" t="s">
        <v>401</v>
      </c>
      <c r="I34" s="16" t="s">
        <v>402</v>
      </c>
      <c r="J34" s="16" t="s">
        <v>86</v>
      </c>
      <c r="K34" s="16" t="s">
        <v>403</v>
      </c>
      <c r="L34" s="16">
        <v>17843559</v>
      </c>
      <c r="M34" s="16">
        <v>432781498</v>
      </c>
      <c r="N34" s="16">
        <v>28202170200184</v>
      </c>
      <c r="O34" s="16" t="s">
        <v>404</v>
      </c>
      <c r="P34" s="16" t="s">
        <v>405</v>
      </c>
      <c r="Q34" s="16" t="s">
        <v>44</v>
      </c>
      <c r="R34" s="16" t="s">
        <v>91</v>
      </c>
      <c r="S34" s="19" t="s">
        <v>398</v>
      </c>
      <c r="T34" s="20" t="s">
        <v>176</v>
      </c>
      <c r="U34" s="16" t="s">
        <v>406</v>
      </c>
      <c r="V34" s="16" t="s">
        <v>407</v>
      </c>
      <c r="W34" s="113" t="s">
        <v>408</v>
      </c>
      <c r="X34" s="18" t="s">
        <v>127</v>
      </c>
      <c r="Y34" s="18" t="s">
        <v>98</v>
      </c>
      <c r="Z34" s="18" t="s">
        <v>44</v>
      </c>
      <c r="AA34" s="16" t="s">
        <v>45</v>
      </c>
      <c r="AB34" s="16" t="s">
        <v>46</v>
      </c>
      <c r="AC34" s="16" t="s">
        <v>47</v>
      </c>
      <c r="AD34" s="123" t="str">
        <f t="shared" si="0"/>
        <v>External Transfer-Other banks</v>
      </c>
      <c r="AE34" s="123" t="str">
        <f>VLOOKUP(Table1[[#This Row],[Name of bank]],'اكواد البنوك'!$A$2:$B$34,2,0)</f>
        <v>BMISEGCXXXX</v>
      </c>
      <c r="AF34" s="114" t="s">
        <v>10369</v>
      </c>
      <c r="AG34" s="15" t="s">
        <v>167</v>
      </c>
    </row>
    <row r="35" spans="1:33">
      <c r="A35" s="14">
        <v>34</v>
      </c>
      <c r="B35" s="14" t="s">
        <v>409</v>
      </c>
      <c r="C35" s="14" t="s">
        <v>409</v>
      </c>
      <c r="D35" s="15" t="s">
        <v>34</v>
      </c>
      <c r="E35" s="16" t="s">
        <v>410</v>
      </c>
      <c r="F35" s="32" t="s">
        <v>411</v>
      </c>
      <c r="G35" s="17" t="s">
        <v>412</v>
      </c>
      <c r="H35" s="18" t="s">
        <v>413</v>
      </c>
      <c r="I35" s="16" t="s">
        <v>34</v>
      </c>
      <c r="J35" s="16"/>
      <c r="K35" s="16"/>
      <c r="L35" s="16"/>
      <c r="M35" s="16"/>
      <c r="N35" s="16" t="s">
        <v>414</v>
      </c>
      <c r="O35" s="16"/>
      <c r="P35" s="16"/>
      <c r="Q35" s="16"/>
      <c r="R35" s="16"/>
      <c r="S35" s="19"/>
      <c r="T35" s="20" t="s">
        <v>40</v>
      </c>
      <c r="U35" s="16"/>
      <c r="V35" s="16"/>
      <c r="W35" s="30">
        <v>98</v>
      </c>
      <c r="X35" s="18" t="s">
        <v>78</v>
      </c>
      <c r="Y35" s="18" t="s">
        <v>43</v>
      </c>
      <c r="Z35" s="18" t="s">
        <v>44</v>
      </c>
      <c r="AA35" s="16" t="s">
        <v>45</v>
      </c>
      <c r="AB35" s="16" t="s">
        <v>46</v>
      </c>
      <c r="AC35" s="16" t="s">
        <v>47</v>
      </c>
      <c r="AD35" s="123" t="str">
        <f t="shared" si="0"/>
        <v>Internal Transfer</v>
      </c>
      <c r="AE35" s="123" t="str">
        <f>VLOOKUP(Table1[[#This Row],[Name of bank]],'اكواد البنوك'!$A$2:$B$34,2,0)</f>
        <v>NBEGEGCXXXX</v>
      </c>
      <c r="AF35" s="21" t="s">
        <v>415</v>
      </c>
      <c r="AG35" s="15" t="s">
        <v>49</v>
      </c>
    </row>
    <row r="36" spans="1:33">
      <c r="A36" s="14">
        <v>35</v>
      </c>
      <c r="B36" s="14" t="s">
        <v>409</v>
      </c>
      <c r="C36" s="14">
        <v>201</v>
      </c>
      <c r="D36" s="15" t="s">
        <v>34</v>
      </c>
      <c r="E36" s="16" t="s">
        <v>416</v>
      </c>
      <c r="F36" s="32" t="s">
        <v>417</v>
      </c>
      <c r="G36" s="17" t="s">
        <v>418</v>
      </c>
      <c r="H36" s="18" t="s">
        <v>419</v>
      </c>
      <c r="I36" s="16" t="s">
        <v>34</v>
      </c>
      <c r="J36" s="16"/>
      <c r="K36" s="16"/>
      <c r="L36" s="16"/>
      <c r="M36" s="16"/>
      <c r="N36" s="16" t="s">
        <v>420</v>
      </c>
      <c r="O36" s="16"/>
      <c r="P36" s="16"/>
      <c r="Q36" s="16"/>
      <c r="R36" s="16"/>
      <c r="S36" s="19"/>
      <c r="T36" s="20" t="s">
        <v>40</v>
      </c>
      <c r="U36" s="16"/>
      <c r="V36" s="16"/>
      <c r="W36" s="30">
        <v>144</v>
      </c>
      <c r="X36" s="18" t="s">
        <v>97</v>
      </c>
      <c r="Y36" s="18" t="s">
        <v>43</v>
      </c>
      <c r="Z36" s="18" t="s">
        <v>44</v>
      </c>
      <c r="AA36" s="16" t="s">
        <v>45</v>
      </c>
      <c r="AB36" s="16" t="s">
        <v>46</v>
      </c>
      <c r="AC36" s="16" t="s">
        <v>47</v>
      </c>
      <c r="AD36" s="123" t="str">
        <f t="shared" si="0"/>
        <v>Internal Transfer</v>
      </c>
      <c r="AE36" s="123" t="str">
        <f>VLOOKUP(Table1[[#This Row],[Name of bank]],'اكواد البنوك'!$A$2:$B$34,2,0)</f>
        <v>NBEGEGCXXXX</v>
      </c>
      <c r="AF36" s="21" t="s">
        <v>421</v>
      </c>
      <c r="AG36" s="15" t="s">
        <v>49</v>
      </c>
    </row>
    <row r="37" spans="1:33">
      <c r="A37" s="14">
        <v>36</v>
      </c>
      <c r="B37" s="14" t="s">
        <v>409</v>
      </c>
      <c r="C37" s="14">
        <v>302</v>
      </c>
      <c r="D37" s="15" t="s">
        <v>80</v>
      </c>
      <c r="E37" s="16" t="s">
        <v>422</v>
      </c>
      <c r="F37" s="32" t="s">
        <v>10080</v>
      </c>
      <c r="G37" s="17" t="s">
        <v>423</v>
      </c>
      <c r="H37" s="18" t="s">
        <v>424</v>
      </c>
      <c r="I37" s="16" t="s">
        <v>425</v>
      </c>
      <c r="J37" s="16" t="s">
        <v>86</v>
      </c>
      <c r="K37" s="16" t="s">
        <v>426</v>
      </c>
      <c r="L37" s="16">
        <v>65957852</v>
      </c>
      <c r="M37" s="16" t="s">
        <v>427</v>
      </c>
      <c r="N37" s="16">
        <v>29003010204371</v>
      </c>
      <c r="O37" s="16" t="s">
        <v>428</v>
      </c>
      <c r="P37" s="16" t="s">
        <v>429</v>
      </c>
      <c r="Q37" s="16" t="s">
        <v>44</v>
      </c>
      <c r="R37" s="16" t="s">
        <v>91</v>
      </c>
      <c r="S37" s="19" t="s">
        <v>430</v>
      </c>
      <c r="T37" s="20" t="s">
        <v>307</v>
      </c>
      <c r="U37" s="16" t="s">
        <v>431</v>
      </c>
      <c r="V37" s="16" t="s">
        <v>432</v>
      </c>
      <c r="W37" s="30" t="s">
        <v>433</v>
      </c>
      <c r="X37" s="18" t="s">
        <v>97</v>
      </c>
      <c r="Y37" s="18" t="s">
        <v>98</v>
      </c>
      <c r="Z37" s="18" t="s">
        <v>44</v>
      </c>
      <c r="AA37" s="16" t="s">
        <v>45</v>
      </c>
      <c r="AB37" s="16" t="s">
        <v>46</v>
      </c>
      <c r="AC37" s="16" t="s">
        <v>47</v>
      </c>
      <c r="AD37" s="123" t="str">
        <f t="shared" si="0"/>
        <v>External Transfer-Other banks</v>
      </c>
      <c r="AE37" s="123" t="str">
        <f>VLOOKUP(Table1[[#This Row],[Name of bank]],'اكواد البنوك'!$A$2:$B$34,2,0)</f>
        <v>CIBEEGCXXXX</v>
      </c>
      <c r="AF37" s="21" t="s">
        <v>154</v>
      </c>
      <c r="AG37" s="15" t="s">
        <v>49</v>
      </c>
    </row>
    <row r="38" spans="1:33">
      <c r="A38" s="14">
        <v>37</v>
      </c>
      <c r="B38" s="14">
        <v>504</v>
      </c>
      <c r="C38" s="14" t="e">
        <v>#N/A</v>
      </c>
      <c r="D38" s="15" t="s">
        <v>80</v>
      </c>
      <c r="E38" s="16" t="s">
        <v>434</v>
      </c>
      <c r="F38" s="32" t="s">
        <v>10124</v>
      </c>
      <c r="G38" s="17" t="s">
        <v>435</v>
      </c>
      <c r="H38" s="18" t="s">
        <v>436</v>
      </c>
      <c r="I38" s="16" t="s">
        <v>437</v>
      </c>
      <c r="J38" s="16" t="s">
        <v>173</v>
      </c>
      <c r="K38" s="16" t="s">
        <v>438</v>
      </c>
      <c r="L38" s="16">
        <v>78925251</v>
      </c>
      <c r="M38" s="16" t="s">
        <v>136</v>
      </c>
      <c r="N38" s="16">
        <v>30008180202647</v>
      </c>
      <c r="O38" s="16" t="s">
        <v>439</v>
      </c>
      <c r="P38" s="16" t="s">
        <v>440</v>
      </c>
      <c r="Q38" s="16" t="s">
        <v>44</v>
      </c>
      <c r="R38" s="16" t="s">
        <v>91</v>
      </c>
      <c r="S38" s="19" t="s">
        <v>441</v>
      </c>
      <c r="T38" s="115" t="s">
        <v>176</v>
      </c>
      <c r="U38" s="116" t="s">
        <v>10385</v>
      </c>
      <c r="V38" s="16" t="s">
        <v>442</v>
      </c>
      <c r="W38" s="113" t="s">
        <v>10386</v>
      </c>
      <c r="X38" s="18" t="s">
        <v>127</v>
      </c>
      <c r="Y38" s="18" t="s">
        <v>98</v>
      </c>
      <c r="Z38" s="18" t="s">
        <v>44</v>
      </c>
      <c r="AA38" s="16" t="s">
        <v>45</v>
      </c>
      <c r="AB38" s="16" t="s">
        <v>46</v>
      </c>
      <c r="AC38" s="16" t="s">
        <v>47</v>
      </c>
      <c r="AD38" s="123" t="str">
        <f t="shared" si="0"/>
        <v>External Transfer-Other banks</v>
      </c>
      <c r="AE38" s="123" t="str">
        <f>VLOOKUP(Table1[[#This Row],[Name of bank]],'اكواد البنوك'!$A$2:$B$34,2,0)</f>
        <v>BMISEGCXXXX</v>
      </c>
      <c r="AF38" s="114" t="s">
        <v>10387</v>
      </c>
      <c r="AG38" s="15" t="s">
        <v>167</v>
      </c>
    </row>
    <row r="39" spans="1:33">
      <c r="A39" s="14">
        <v>38</v>
      </c>
      <c r="B39" s="14">
        <v>504</v>
      </c>
      <c r="C39" s="14">
        <v>304</v>
      </c>
      <c r="D39" s="15" t="s">
        <v>80</v>
      </c>
      <c r="E39" s="16" t="s">
        <v>443</v>
      </c>
      <c r="F39" s="32" t="s">
        <v>444</v>
      </c>
      <c r="G39" s="17" t="s">
        <v>445</v>
      </c>
      <c r="H39" s="18" t="s">
        <v>446</v>
      </c>
      <c r="I39" s="16" t="s">
        <v>447</v>
      </c>
      <c r="J39" s="16" t="s">
        <v>86</v>
      </c>
      <c r="K39" s="16" t="s">
        <v>448</v>
      </c>
      <c r="L39" s="16">
        <v>35421628</v>
      </c>
      <c r="M39" s="16" t="s">
        <v>136</v>
      </c>
      <c r="N39" s="16">
        <v>289110601461</v>
      </c>
      <c r="O39" s="16" t="s">
        <v>449</v>
      </c>
      <c r="P39" s="16" t="s">
        <v>450</v>
      </c>
      <c r="Q39" s="16" t="s">
        <v>44</v>
      </c>
      <c r="R39" s="16" t="s">
        <v>91</v>
      </c>
      <c r="S39" s="19" t="s">
        <v>451</v>
      </c>
      <c r="T39" s="20" t="s">
        <v>307</v>
      </c>
      <c r="U39" s="16" t="s">
        <v>452</v>
      </c>
      <c r="V39" s="16" t="s">
        <v>453</v>
      </c>
      <c r="W39" s="30" t="s">
        <v>454</v>
      </c>
      <c r="X39" s="18" t="s">
        <v>127</v>
      </c>
      <c r="Y39" s="18" t="s">
        <v>98</v>
      </c>
      <c r="Z39" s="18" t="s">
        <v>44</v>
      </c>
      <c r="AA39" s="16" t="s">
        <v>45</v>
      </c>
      <c r="AB39" s="16" t="s">
        <v>46</v>
      </c>
      <c r="AC39" s="16" t="s">
        <v>47</v>
      </c>
      <c r="AD39" s="123" t="str">
        <f t="shared" si="0"/>
        <v>External Transfer-Other banks</v>
      </c>
      <c r="AE39" s="123" t="str">
        <f>VLOOKUP(Table1[[#This Row],[Name of bank]],'اكواد البنوك'!$A$2:$B$34,2,0)</f>
        <v>CIBEEGCXXXX</v>
      </c>
      <c r="AF39" s="21" t="s">
        <v>455</v>
      </c>
      <c r="AG39" s="15" t="s">
        <v>49</v>
      </c>
    </row>
    <row r="40" spans="1:33">
      <c r="A40" s="14">
        <v>39</v>
      </c>
      <c r="B40" s="14">
        <v>504</v>
      </c>
      <c r="C40" s="14">
        <v>214</v>
      </c>
      <c r="D40" s="15" t="s">
        <v>80</v>
      </c>
      <c r="E40" s="16" t="s">
        <v>456</v>
      </c>
      <c r="F40" s="32" t="s">
        <v>457</v>
      </c>
      <c r="G40" s="17" t="s">
        <v>458</v>
      </c>
      <c r="H40" s="18" t="s">
        <v>459</v>
      </c>
      <c r="I40" s="16" t="s">
        <v>460</v>
      </c>
      <c r="J40" s="16" t="s">
        <v>86</v>
      </c>
      <c r="K40" s="16" t="s">
        <v>148</v>
      </c>
      <c r="L40" s="16">
        <v>29503070202566</v>
      </c>
      <c r="M40" s="16" t="s">
        <v>136</v>
      </c>
      <c r="N40" s="16">
        <v>29503070202566</v>
      </c>
      <c r="O40" s="16" t="s">
        <v>461</v>
      </c>
      <c r="P40" s="16" t="s">
        <v>462</v>
      </c>
      <c r="Q40" s="16" t="s">
        <v>44</v>
      </c>
      <c r="R40" s="16" t="s">
        <v>91</v>
      </c>
      <c r="S40" s="19" t="s">
        <v>463</v>
      </c>
      <c r="T40" s="20" t="s">
        <v>307</v>
      </c>
      <c r="U40" s="16" t="s">
        <v>464</v>
      </c>
      <c r="V40" s="16" t="s">
        <v>465</v>
      </c>
      <c r="W40" s="30" t="s">
        <v>466</v>
      </c>
      <c r="X40" s="18" t="s">
        <v>127</v>
      </c>
      <c r="Y40" s="18" t="s">
        <v>98</v>
      </c>
      <c r="Z40" s="18" t="s">
        <v>44</v>
      </c>
      <c r="AA40" s="16" t="s">
        <v>45</v>
      </c>
      <c r="AB40" s="16" t="s">
        <v>46</v>
      </c>
      <c r="AC40" s="16" t="s">
        <v>47</v>
      </c>
      <c r="AD40" s="123" t="str">
        <f t="shared" si="0"/>
        <v>External Transfer-Other banks</v>
      </c>
      <c r="AE40" s="123" t="str">
        <f>VLOOKUP(Table1[[#This Row],[Name of bank]],'اكواد البنوك'!$A$2:$B$34,2,0)</f>
        <v>CIBEEGCXXXX</v>
      </c>
      <c r="AF40" s="21" t="s">
        <v>467</v>
      </c>
      <c r="AG40" s="15" t="s">
        <v>49</v>
      </c>
    </row>
    <row r="41" spans="1:33">
      <c r="A41" s="14">
        <v>40</v>
      </c>
      <c r="B41" s="14">
        <v>505</v>
      </c>
      <c r="C41" s="14">
        <v>216</v>
      </c>
      <c r="D41" s="15" t="s">
        <v>80</v>
      </c>
      <c r="E41" s="16" t="s">
        <v>468</v>
      </c>
      <c r="F41" s="32" t="s">
        <v>469</v>
      </c>
      <c r="G41" s="17" t="s">
        <v>470</v>
      </c>
      <c r="H41" s="18" t="s">
        <v>471</v>
      </c>
      <c r="I41" s="16" t="s">
        <v>472</v>
      </c>
      <c r="J41" s="16" t="s">
        <v>86</v>
      </c>
      <c r="K41" s="16" t="s">
        <v>473</v>
      </c>
      <c r="L41" s="16">
        <v>18226324</v>
      </c>
      <c r="M41" s="16">
        <v>432781498</v>
      </c>
      <c r="N41" s="16">
        <v>28809130201449</v>
      </c>
      <c r="O41" s="16" t="s">
        <v>474</v>
      </c>
      <c r="P41" s="16" t="s">
        <v>475</v>
      </c>
      <c r="Q41" s="16" t="s">
        <v>44</v>
      </c>
      <c r="R41" s="16" t="s">
        <v>91</v>
      </c>
      <c r="S41" s="19" t="s">
        <v>476</v>
      </c>
      <c r="T41" s="20" t="s">
        <v>176</v>
      </c>
      <c r="U41" s="16" t="s">
        <v>477</v>
      </c>
      <c r="V41" s="16" t="s">
        <v>478</v>
      </c>
      <c r="W41" s="30" t="s">
        <v>479</v>
      </c>
      <c r="X41" s="18" t="s">
        <v>127</v>
      </c>
      <c r="Y41" s="18" t="s">
        <v>98</v>
      </c>
      <c r="Z41" s="18" t="s">
        <v>44</v>
      </c>
      <c r="AA41" s="16" t="s">
        <v>45</v>
      </c>
      <c r="AB41" s="16" t="s">
        <v>46</v>
      </c>
      <c r="AC41" s="16" t="s">
        <v>47</v>
      </c>
      <c r="AD41" s="123" t="str">
        <f t="shared" si="0"/>
        <v>External Transfer-Other banks</v>
      </c>
      <c r="AE41" s="123" t="str">
        <f>VLOOKUP(Table1[[#This Row],[Name of bank]],'اكواد البنوك'!$A$2:$B$34,2,0)</f>
        <v>BMISEGCXXXX</v>
      </c>
      <c r="AF41" s="21" t="s">
        <v>378</v>
      </c>
      <c r="AG41" s="15" t="s">
        <v>49</v>
      </c>
    </row>
    <row r="42" spans="1:33">
      <c r="A42" s="14">
        <v>41</v>
      </c>
      <c r="B42" s="14">
        <v>505</v>
      </c>
      <c r="C42" s="14">
        <v>202</v>
      </c>
      <c r="D42" s="15" t="s">
        <v>80</v>
      </c>
      <c r="E42" s="16" t="s">
        <v>480</v>
      </c>
      <c r="F42" s="32" t="s">
        <v>481</v>
      </c>
      <c r="G42" s="17" t="s">
        <v>482</v>
      </c>
      <c r="H42" s="18" t="s">
        <v>483</v>
      </c>
      <c r="I42" s="16" t="s">
        <v>484</v>
      </c>
      <c r="J42" s="16" t="s">
        <v>485</v>
      </c>
      <c r="K42" s="16" t="s">
        <v>486</v>
      </c>
      <c r="L42" s="16">
        <v>526197080</v>
      </c>
      <c r="M42" s="16"/>
      <c r="N42" s="16">
        <v>28310010204181</v>
      </c>
      <c r="O42" s="16" t="s">
        <v>487</v>
      </c>
      <c r="P42" s="16" t="s">
        <v>488</v>
      </c>
      <c r="Q42" s="16" t="s">
        <v>44</v>
      </c>
      <c r="R42" s="16" t="s">
        <v>91</v>
      </c>
      <c r="S42" s="19" t="s">
        <v>480</v>
      </c>
      <c r="T42" s="20" t="s">
        <v>307</v>
      </c>
      <c r="U42" s="16" t="s">
        <v>489</v>
      </c>
      <c r="V42" s="16">
        <v>100050175817</v>
      </c>
      <c r="W42" s="30" t="s">
        <v>490</v>
      </c>
      <c r="X42" s="18" t="s">
        <v>127</v>
      </c>
      <c r="Y42" s="18" t="s">
        <v>98</v>
      </c>
      <c r="Z42" s="18" t="s">
        <v>44</v>
      </c>
      <c r="AA42" s="16" t="s">
        <v>45</v>
      </c>
      <c r="AB42" s="16" t="s">
        <v>46</v>
      </c>
      <c r="AC42" s="16" t="s">
        <v>47</v>
      </c>
      <c r="AD42" s="123" t="str">
        <f t="shared" si="0"/>
        <v>External Transfer-Other banks</v>
      </c>
      <c r="AE42" s="123" t="str">
        <f>VLOOKUP(Table1[[#This Row],[Name of bank]],'اكواد البنوك'!$A$2:$B$34,2,0)</f>
        <v>CIBEEGCXXXX</v>
      </c>
      <c r="AF42" s="21" t="s">
        <v>4721</v>
      </c>
      <c r="AG42" s="15" t="s">
        <v>167</v>
      </c>
    </row>
    <row r="43" spans="1:33">
      <c r="A43" s="14">
        <v>42</v>
      </c>
      <c r="B43" s="14">
        <v>507</v>
      </c>
      <c r="C43" s="14">
        <v>204</v>
      </c>
      <c r="D43" s="15" t="s">
        <v>80</v>
      </c>
      <c r="E43" s="16" t="s">
        <v>491</v>
      </c>
      <c r="F43" s="32" t="s">
        <v>492</v>
      </c>
      <c r="G43" s="17" t="s">
        <v>493</v>
      </c>
      <c r="H43" s="18" t="s">
        <v>494</v>
      </c>
      <c r="I43" s="16" t="s">
        <v>495</v>
      </c>
      <c r="J43" s="16" t="s">
        <v>86</v>
      </c>
      <c r="K43" s="16" t="s">
        <v>496</v>
      </c>
      <c r="L43" s="16">
        <v>61854962</v>
      </c>
      <c r="M43" s="16">
        <v>333118863</v>
      </c>
      <c r="N43" s="16">
        <v>28212130201094</v>
      </c>
      <c r="O43" s="16" t="s">
        <v>497</v>
      </c>
      <c r="P43" s="16" t="s">
        <v>498</v>
      </c>
      <c r="Q43" s="16" t="s">
        <v>44</v>
      </c>
      <c r="R43" s="16" t="s">
        <v>91</v>
      </c>
      <c r="S43" s="19" t="s">
        <v>491</v>
      </c>
      <c r="T43" s="20" t="s">
        <v>307</v>
      </c>
      <c r="U43" s="16" t="s">
        <v>499</v>
      </c>
      <c r="V43" s="16" t="s">
        <v>500</v>
      </c>
      <c r="W43" s="30" t="s">
        <v>501</v>
      </c>
      <c r="X43" s="18" t="s">
        <v>127</v>
      </c>
      <c r="Y43" s="18" t="s">
        <v>98</v>
      </c>
      <c r="Z43" s="18" t="s">
        <v>44</v>
      </c>
      <c r="AA43" s="16" t="s">
        <v>45</v>
      </c>
      <c r="AB43" s="16" t="s">
        <v>46</v>
      </c>
      <c r="AC43" s="16" t="s">
        <v>47</v>
      </c>
      <c r="AD43" s="123" t="str">
        <f t="shared" si="0"/>
        <v>External Transfer-Other banks</v>
      </c>
      <c r="AE43" s="123" t="str">
        <f>VLOOKUP(Table1[[#This Row],[Name of bank]],'اكواد البنوك'!$A$2:$B$34,2,0)</f>
        <v>CIBEEGCXXXX</v>
      </c>
      <c r="AF43" s="21" t="s">
        <v>154</v>
      </c>
      <c r="AG43" s="15" t="s">
        <v>49</v>
      </c>
    </row>
    <row r="44" spans="1:33">
      <c r="A44" s="14">
        <v>43</v>
      </c>
      <c r="B44" s="14">
        <v>507</v>
      </c>
      <c r="C44" s="14">
        <v>304</v>
      </c>
      <c r="D44" s="15" t="s">
        <v>80</v>
      </c>
      <c r="E44" s="16" t="s">
        <v>502</v>
      </c>
      <c r="F44" s="32" t="s">
        <v>10177</v>
      </c>
      <c r="G44" s="17" t="s">
        <v>503</v>
      </c>
      <c r="H44" s="18" t="s">
        <v>504</v>
      </c>
      <c r="I44" s="16" t="s">
        <v>505</v>
      </c>
      <c r="J44" s="16" t="s">
        <v>173</v>
      </c>
      <c r="K44" s="16" t="s">
        <v>506</v>
      </c>
      <c r="L44" s="16" t="s">
        <v>136</v>
      </c>
      <c r="M44" s="16" t="s">
        <v>136</v>
      </c>
      <c r="N44" s="16">
        <v>28709290201441</v>
      </c>
      <c r="O44" s="16" t="s">
        <v>507</v>
      </c>
      <c r="P44" s="16" t="s">
        <v>508</v>
      </c>
      <c r="Q44" s="16" t="s">
        <v>44</v>
      </c>
      <c r="R44" s="16" t="s">
        <v>91</v>
      </c>
      <c r="S44" s="19" t="s">
        <v>509</v>
      </c>
      <c r="T44" s="20" t="s">
        <v>40</v>
      </c>
      <c r="U44" s="16" t="s">
        <v>510</v>
      </c>
      <c r="V44" s="16" t="s">
        <v>511</v>
      </c>
      <c r="W44" s="30" t="s">
        <v>512</v>
      </c>
      <c r="X44" s="18" t="s">
        <v>127</v>
      </c>
      <c r="Y44" s="18" t="s">
        <v>98</v>
      </c>
      <c r="Z44" s="18" t="s">
        <v>44</v>
      </c>
      <c r="AA44" s="16" t="s">
        <v>45</v>
      </c>
      <c r="AB44" s="16" t="s">
        <v>46</v>
      </c>
      <c r="AC44" s="16" t="s">
        <v>47</v>
      </c>
      <c r="AD44" s="123" t="str">
        <f t="shared" si="0"/>
        <v>External Transfer-NBE</v>
      </c>
      <c r="AE44" s="123" t="str">
        <f>VLOOKUP(Table1[[#This Row],[Name of bank]],'اكواد البنوك'!$A$2:$B$34,2,0)</f>
        <v>NBEGEGCXXXX</v>
      </c>
      <c r="AF44" s="21" t="s">
        <v>513</v>
      </c>
      <c r="AG44" s="15" t="s">
        <v>49</v>
      </c>
    </row>
    <row r="45" spans="1:33">
      <c r="A45" s="14">
        <v>44</v>
      </c>
      <c r="B45" s="14">
        <v>513</v>
      </c>
      <c r="C45" s="14">
        <v>210</v>
      </c>
      <c r="D45" s="15" t="s">
        <v>80</v>
      </c>
      <c r="E45" s="16" t="s">
        <v>514</v>
      </c>
      <c r="F45" s="32" t="s">
        <v>10001</v>
      </c>
      <c r="G45" s="17" t="s">
        <v>515</v>
      </c>
      <c r="H45" s="18" t="s">
        <v>516</v>
      </c>
      <c r="I45" s="16" t="s">
        <v>517</v>
      </c>
      <c r="J45" s="16" t="s">
        <v>86</v>
      </c>
      <c r="K45" s="16" t="s">
        <v>518</v>
      </c>
      <c r="L45" s="16">
        <v>6729924</v>
      </c>
      <c r="M45" s="16" t="s">
        <v>519</v>
      </c>
      <c r="N45" s="16">
        <v>22701100202042</v>
      </c>
      <c r="O45" s="16" t="s">
        <v>520</v>
      </c>
      <c r="P45" s="16" t="s">
        <v>521</v>
      </c>
      <c r="Q45" s="16" t="s">
        <v>44</v>
      </c>
      <c r="R45" s="16" t="s">
        <v>91</v>
      </c>
      <c r="S45" s="19" t="s">
        <v>514</v>
      </c>
      <c r="T45" s="20" t="s">
        <v>307</v>
      </c>
      <c r="U45" s="16" t="s">
        <v>522</v>
      </c>
      <c r="V45" s="16">
        <v>100033795607</v>
      </c>
      <c r="W45" s="30" t="s">
        <v>523</v>
      </c>
      <c r="X45" s="18" t="s">
        <v>127</v>
      </c>
      <c r="Y45" s="18" t="s">
        <v>98</v>
      </c>
      <c r="Z45" s="18" t="s">
        <v>44</v>
      </c>
      <c r="AA45" s="16" t="s">
        <v>45</v>
      </c>
      <c r="AB45" s="16" t="s">
        <v>46</v>
      </c>
      <c r="AC45" s="16" t="s">
        <v>47</v>
      </c>
      <c r="AD45" s="123" t="str">
        <f t="shared" si="0"/>
        <v>External Transfer-Other banks</v>
      </c>
      <c r="AE45" s="123" t="str">
        <f>VLOOKUP(Table1[[#This Row],[Name of bank]],'اكواد البنوك'!$A$2:$B$34,2,0)</f>
        <v>CIBEEGCXXXX</v>
      </c>
      <c r="AF45" s="21" t="s">
        <v>1277</v>
      </c>
      <c r="AG45" s="15" t="s">
        <v>167</v>
      </c>
    </row>
    <row r="46" spans="1:33">
      <c r="A46" s="14">
        <v>45</v>
      </c>
      <c r="B46" s="14">
        <v>513</v>
      </c>
      <c r="C46" s="14">
        <v>219</v>
      </c>
      <c r="D46" s="15" t="s">
        <v>80</v>
      </c>
      <c r="E46" s="16" t="s">
        <v>524</v>
      </c>
      <c r="F46" s="128" t="s">
        <v>525</v>
      </c>
      <c r="G46" s="17" t="s">
        <v>526</v>
      </c>
      <c r="H46" s="18" t="s">
        <v>527</v>
      </c>
      <c r="I46" s="16" t="s">
        <v>528</v>
      </c>
      <c r="J46" s="16" t="s">
        <v>173</v>
      </c>
      <c r="K46" s="16" t="s">
        <v>506</v>
      </c>
      <c r="L46" s="16">
        <v>57281162</v>
      </c>
      <c r="M46" s="16" t="s">
        <v>427</v>
      </c>
      <c r="N46" s="16">
        <v>29108190200447</v>
      </c>
      <c r="O46" s="16" t="s">
        <v>529</v>
      </c>
      <c r="P46" s="16" t="s">
        <v>530</v>
      </c>
      <c r="Q46" s="16" t="s">
        <v>44</v>
      </c>
      <c r="R46" s="16" t="s">
        <v>91</v>
      </c>
      <c r="S46" s="19" t="s">
        <v>531</v>
      </c>
      <c r="T46" s="20" t="s">
        <v>40</v>
      </c>
      <c r="U46" s="16" t="s">
        <v>532</v>
      </c>
      <c r="V46" s="16" t="s">
        <v>533</v>
      </c>
      <c r="W46" t="s">
        <v>10413</v>
      </c>
      <c r="X46" s="18" t="s">
        <v>127</v>
      </c>
      <c r="Y46" s="18" t="s">
        <v>98</v>
      </c>
      <c r="Z46" s="18" t="s">
        <v>44</v>
      </c>
      <c r="AA46" s="16" t="s">
        <v>45</v>
      </c>
      <c r="AB46" s="16" t="s">
        <v>46</v>
      </c>
      <c r="AC46" s="16" t="s">
        <v>47</v>
      </c>
      <c r="AD46" s="123" t="str">
        <f t="shared" si="0"/>
        <v>External Transfer-NBE</v>
      </c>
      <c r="AE46" s="123" t="str">
        <f>VLOOKUP(Table1[[#This Row],[Name of bank]],'اكواد البنوك'!$A$2:$B$34,2,0)</f>
        <v>NBEGEGCXXXX</v>
      </c>
      <c r="AF46" s="21" t="s">
        <v>711</v>
      </c>
      <c r="AG46" s="15" t="s">
        <v>167</v>
      </c>
    </row>
    <row r="47" spans="1:33">
      <c r="A47" s="14">
        <v>46</v>
      </c>
      <c r="B47" s="14">
        <v>301</v>
      </c>
      <c r="C47" s="14" t="e">
        <v>#N/A</v>
      </c>
      <c r="D47" s="15" t="s">
        <v>80</v>
      </c>
      <c r="E47" s="16" t="s">
        <v>534</v>
      </c>
      <c r="F47" s="32" t="s">
        <v>535</v>
      </c>
      <c r="G47" s="17" t="s">
        <v>536</v>
      </c>
      <c r="H47" s="18" t="s">
        <v>537</v>
      </c>
      <c r="I47" s="16" t="s">
        <v>538</v>
      </c>
      <c r="J47" s="16" t="s">
        <v>86</v>
      </c>
      <c r="K47" s="16" t="s">
        <v>269</v>
      </c>
      <c r="L47" s="16">
        <v>64126978</v>
      </c>
      <c r="M47" s="16" t="s">
        <v>136</v>
      </c>
      <c r="N47" s="16">
        <v>26312270200567</v>
      </c>
      <c r="O47" s="16" t="s">
        <v>539</v>
      </c>
      <c r="P47" s="16" t="s">
        <v>540</v>
      </c>
      <c r="Q47" s="16" t="s">
        <v>44</v>
      </c>
      <c r="R47" s="16" t="s">
        <v>91</v>
      </c>
      <c r="S47" s="19" t="s">
        <v>534</v>
      </c>
      <c r="T47" s="20" t="s">
        <v>307</v>
      </c>
      <c r="U47" s="16" t="s">
        <v>164</v>
      </c>
      <c r="V47" s="16">
        <v>100030385734</v>
      </c>
      <c r="W47" s="30" t="s">
        <v>541</v>
      </c>
      <c r="X47" s="18" t="s">
        <v>542</v>
      </c>
      <c r="Y47" s="18" t="s">
        <v>98</v>
      </c>
      <c r="Z47" s="18" t="s">
        <v>44</v>
      </c>
      <c r="AA47" s="16" t="s">
        <v>45</v>
      </c>
      <c r="AB47" s="16" t="s">
        <v>46</v>
      </c>
      <c r="AC47" s="16" t="s">
        <v>47</v>
      </c>
      <c r="AD47" s="123" t="str">
        <f t="shared" si="0"/>
        <v>External Transfer-Other banks</v>
      </c>
      <c r="AE47" s="123" t="str">
        <f>VLOOKUP(Table1[[#This Row],[Name of bank]],'اكواد البنوك'!$A$2:$B$34,2,0)</f>
        <v>CIBEEGCXXXX</v>
      </c>
      <c r="AF47" s="21" t="s">
        <v>311</v>
      </c>
      <c r="AG47" s="15" t="s">
        <v>49</v>
      </c>
    </row>
    <row r="48" spans="1:33">
      <c r="A48" s="14">
        <v>47</v>
      </c>
      <c r="B48" s="14">
        <v>301</v>
      </c>
      <c r="C48" s="14">
        <v>301</v>
      </c>
      <c r="D48" s="15" t="s">
        <v>80</v>
      </c>
      <c r="E48" s="16" t="s">
        <v>543</v>
      </c>
      <c r="F48" s="32" t="s">
        <v>544</v>
      </c>
      <c r="G48" s="17" t="s">
        <v>545</v>
      </c>
      <c r="H48" s="18" t="s">
        <v>546</v>
      </c>
      <c r="I48" s="16" t="s">
        <v>542</v>
      </c>
      <c r="J48" s="16" t="s">
        <v>98</v>
      </c>
      <c r="K48" s="16" t="s">
        <v>44</v>
      </c>
      <c r="L48" s="16" t="s">
        <v>45</v>
      </c>
      <c r="M48" s="16" t="s">
        <v>46</v>
      </c>
      <c r="N48" s="16" t="s">
        <v>47</v>
      </c>
      <c r="O48" s="16"/>
      <c r="P48" s="16"/>
      <c r="Q48" s="16"/>
      <c r="R48" s="16"/>
      <c r="S48" s="19"/>
      <c r="T48" s="20" t="s">
        <v>307</v>
      </c>
      <c r="U48" s="16" t="s">
        <v>164</v>
      </c>
      <c r="V48" s="16"/>
      <c r="W48" s="30" t="s">
        <v>547</v>
      </c>
      <c r="X48" s="18" t="s">
        <v>127</v>
      </c>
      <c r="Y48" s="18" t="s">
        <v>98</v>
      </c>
      <c r="Z48" s="18" t="s">
        <v>44</v>
      </c>
      <c r="AA48" s="16" t="s">
        <v>45</v>
      </c>
      <c r="AB48" s="16" t="s">
        <v>46</v>
      </c>
      <c r="AC48" s="16" t="s">
        <v>47</v>
      </c>
      <c r="AD48" s="123" t="str">
        <f t="shared" si="0"/>
        <v>External Transfer-Other banks</v>
      </c>
      <c r="AE48" s="123" t="str">
        <f>VLOOKUP(Table1[[#This Row],[Name of bank]],'اكواد البنوك'!$A$2:$B$34,2,0)</f>
        <v>CIBEEGCXXXX</v>
      </c>
      <c r="AF48" s="21" t="s">
        <v>311</v>
      </c>
      <c r="AG48" s="15" t="s">
        <v>49</v>
      </c>
    </row>
    <row r="49" spans="1:33">
      <c r="A49" s="14">
        <v>48</v>
      </c>
      <c r="B49" s="14">
        <v>401</v>
      </c>
      <c r="C49" s="14">
        <v>424</v>
      </c>
      <c r="D49" s="15" t="s">
        <v>80</v>
      </c>
      <c r="E49" s="16" t="s">
        <v>548</v>
      </c>
      <c r="F49" s="32" t="s">
        <v>549</v>
      </c>
      <c r="G49" s="17" t="s">
        <v>550</v>
      </c>
      <c r="H49" s="18" t="s">
        <v>551</v>
      </c>
      <c r="I49" s="16" t="s">
        <v>552</v>
      </c>
      <c r="J49" s="16" t="s">
        <v>173</v>
      </c>
      <c r="K49" s="16" t="s">
        <v>553</v>
      </c>
      <c r="L49" s="16">
        <v>79089611</v>
      </c>
      <c r="M49" s="16" t="s">
        <v>234</v>
      </c>
      <c r="N49" s="16">
        <v>30010280200913</v>
      </c>
      <c r="O49" s="16" t="s">
        <v>554</v>
      </c>
      <c r="P49" s="16" t="s">
        <v>555</v>
      </c>
      <c r="Q49" s="16" t="s">
        <v>44</v>
      </c>
      <c r="R49" s="16" t="s">
        <v>91</v>
      </c>
      <c r="S49" s="19" t="s">
        <v>556</v>
      </c>
      <c r="T49" s="20" t="s">
        <v>93</v>
      </c>
      <c r="U49" s="16" t="s">
        <v>557</v>
      </c>
      <c r="V49" s="16" t="s">
        <v>558</v>
      </c>
      <c r="W49" s="30" t="s">
        <v>559</v>
      </c>
      <c r="X49" s="18" t="s">
        <v>127</v>
      </c>
      <c r="Y49" s="18" t="s">
        <v>98</v>
      </c>
      <c r="Z49" s="18" t="s">
        <v>44</v>
      </c>
      <c r="AA49" s="16" t="s">
        <v>45</v>
      </c>
      <c r="AB49" s="16" t="s">
        <v>46</v>
      </c>
      <c r="AC49" s="16" t="s">
        <v>47</v>
      </c>
      <c r="AD49" s="123" t="str">
        <f t="shared" si="0"/>
        <v>External Transfer-Other banks</v>
      </c>
      <c r="AE49" s="123" t="str">
        <f>VLOOKUP(Table1[[#This Row],[Name of bank]],'اكواد البنوك'!$A$2:$B$34,2,0)</f>
        <v>QNBAEGCXXXX</v>
      </c>
      <c r="AF49" s="21" t="s">
        <v>560</v>
      </c>
      <c r="AG49" s="15" t="s">
        <v>49</v>
      </c>
    </row>
    <row r="50" spans="1:33">
      <c r="A50" s="14">
        <v>49</v>
      </c>
      <c r="B50" s="14">
        <v>401</v>
      </c>
      <c r="C50" s="14">
        <v>301</v>
      </c>
      <c r="D50" s="15" t="s">
        <v>80</v>
      </c>
      <c r="E50" s="16" t="s">
        <v>561</v>
      </c>
      <c r="F50" s="32" t="s">
        <v>562</v>
      </c>
      <c r="G50" s="17" t="s">
        <v>563</v>
      </c>
      <c r="H50" s="18" t="s">
        <v>564</v>
      </c>
      <c r="I50" s="16" t="s">
        <v>565</v>
      </c>
      <c r="J50" s="16" t="s">
        <v>86</v>
      </c>
      <c r="K50" s="16" t="s">
        <v>553</v>
      </c>
      <c r="L50" s="16" t="s">
        <v>136</v>
      </c>
      <c r="M50" s="16" t="s">
        <v>136</v>
      </c>
      <c r="N50" s="16">
        <v>27509170200588</v>
      </c>
      <c r="O50" s="16" t="s">
        <v>566</v>
      </c>
      <c r="P50" s="16" t="s">
        <v>567</v>
      </c>
      <c r="Q50" s="16" t="s">
        <v>44</v>
      </c>
      <c r="R50" s="16" t="s">
        <v>91</v>
      </c>
      <c r="S50" s="19" t="s">
        <v>568</v>
      </c>
      <c r="T50" s="20" t="s">
        <v>307</v>
      </c>
      <c r="U50" s="16" t="s">
        <v>569</v>
      </c>
      <c r="V50" s="16" t="s">
        <v>570</v>
      </c>
      <c r="W50" s="30" t="s">
        <v>571</v>
      </c>
      <c r="X50" s="18" t="s">
        <v>542</v>
      </c>
      <c r="Y50" s="18" t="s">
        <v>98</v>
      </c>
      <c r="Z50" s="18" t="s">
        <v>44</v>
      </c>
      <c r="AA50" s="16" t="s">
        <v>45</v>
      </c>
      <c r="AB50" s="16" t="s">
        <v>46</v>
      </c>
      <c r="AC50" s="16" t="s">
        <v>47</v>
      </c>
      <c r="AD50" s="123" t="str">
        <f t="shared" si="0"/>
        <v>External Transfer-Other banks</v>
      </c>
      <c r="AE50" s="123" t="str">
        <f>VLOOKUP(Table1[[#This Row],[Name of bank]],'اكواد البنوك'!$A$2:$B$34,2,0)</f>
        <v>CIBEEGCXXXX</v>
      </c>
      <c r="AF50" s="21" t="s">
        <v>311</v>
      </c>
      <c r="AG50" s="15" t="s">
        <v>49</v>
      </c>
    </row>
    <row r="51" spans="1:33">
      <c r="A51" s="14">
        <v>50</v>
      </c>
      <c r="B51" s="14">
        <v>244</v>
      </c>
      <c r="C51" s="14">
        <v>244</v>
      </c>
      <c r="D51" s="15" t="s">
        <v>34</v>
      </c>
      <c r="E51" s="16" t="s">
        <v>572</v>
      </c>
      <c r="F51" s="32" t="s">
        <v>573</v>
      </c>
      <c r="G51" s="17" t="s">
        <v>574</v>
      </c>
      <c r="H51" s="18" t="s">
        <v>575</v>
      </c>
      <c r="I51" s="16" t="s">
        <v>34</v>
      </c>
      <c r="J51" s="16" t="s">
        <v>43</v>
      </c>
      <c r="K51" s="16"/>
      <c r="L51" s="16"/>
      <c r="M51" s="16"/>
      <c r="N51" s="16" t="s">
        <v>576</v>
      </c>
      <c r="O51" s="16"/>
      <c r="P51" s="16"/>
      <c r="Q51" s="16"/>
      <c r="R51" s="16"/>
      <c r="S51" s="19"/>
      <c r="T51" s="20" t="s">
        <v>40</v>
      </c>
      <c r="U51" s="16"/>
      <c r="V51" s="16"/>
      <c r="W51" s="30">
        <v>94</v>
      </c>
      <c r="X51" s="18" t="s">
        <v>31</v>
      </c>
      <c r="Y51" s="18" t="s">
        <v>43</v>
      </c>
      <c r="Z51" s="18" t="s">
        <v>44</v>
      </c>
      <c r="AA51" s="16" t="s">
        <v>45</v>
      </c>
      <c r="AB51" s="16" t="s">
        <v>577</v>
      </c>
      <c r="AC51" s="16" t="s">
        <v>47</v>
      </c>
      <c r="AD51" s="123" t="str">
        <f t="shared" si="0"/>
        <v>Internal Transfer</v>
      </c>
      <c r="AE51" s="123" t="str">
        <f>VLOOKUP(Table1[[#This Row],[Name of bank]],'اكواد البنوك'!$A$2:$B$34,2,0)</f>
        <v>NBEGEGCXXXX</v>
      </c>
      <c r="AF51" s="21" t="s">
        <v>578</v>
      </c>
      <c r="AG51" s="15" t="s">
        <v>49</v>
      </c>
    </row>
    <row r="52" spans="1:33">
      <c r="A52" s="14">
        <v>51</v>
      </c>
      <c r="B52" s="14">
        <v>244</v>
      </c>
      <c r="C52" s="14">
        <v>244</v>
      </c>
      <c r="D52" s="15" t="s">
        <v>34</v>
      </c>
      <c r="E52" s="16" t="s">
        <v>579</v>
      </c>
      <c r="F52" s="32" t="s">
        <v>580</v>
      </c>
      <c r="G52" s="17" t="s">
        <v>581</v>
      </c>
      <c r="H52" s="18" t="s">
        <v>582</v>
      </c>
      <c r="I52" s="16" t="s">
        <v>34</v>
      </c>
      <c r="J52" s="16" t="s">
        <v>43</v>
      </c>
      <c r="K52" s="16"/>
      <c r="L52" s="16"/>
      <c r="M52" s="16"/>
      <c r="N52" s="16" t="s">
        <v>583</v>
      </c>
      <c r="O52" s="16"/>
      <c r="P52" s="16"/>
      <c r="Q52" s="16"/>
      <c r="R52" s="16"/>
      <c r="S52" s="19"/>
      <c r="T52" s="20" t="s">
        <v>40</v>
      </c>
      <c r="U52" s="16"/>
      <c r="V52" s="16"/>
      <c r="W52" s="30">
        <v>96</v>
      </c>
      <c r="X52" s="18" t="s">
        <v>66</v>
      </c>
      <c r="Y52" s="18" t="s">
        <v>43</v>
      </c>
      <c r="Z52" s="18" t="s">
        <v>44</v>
      </c>
      <c r="AA52" s="16" t="s">
        <v>45</v>
      </c>
      <c r="AB52" s="16" t="s">
        <v>577</v>
      </c>
      <c r="AC52" s="16" t="s">
        <v>47</v>
      </c>
      <c r="AD52" s="123" t="str">
        <f t="shared" si="0"/>
        <v>Internal Transfer</v>
      </c>
      <c r="AE52" s="123" t="str">
        <f>VLOOKUP(Table1[[#This Row],[Name of bank]],'اكواد البنوك'!$A$2:$B$34,2,0)</f>
        <v>NBEGEGCXXXX</v>
      </c>
      <c r="AF52" s="21" t="s">
        <v>584</v>
      </c>
      <c r="AG52" s="15" t="s">
        <v>49</v>
      </c>
    </row>
    <row r="53" spans="1:33">
      <c r="A53" s="14">
        <v>52</v>
      </c>
      <c r="B53" s="14">
        <v>244</v>
      </c>
      <c r="C53" s="14">
        <v>244</v>
      </c>
      <c r="D53" s="15" t="s">
        <v>34</v>
      </c>
      <c r="E53" s="16" t="s">
        <v>585</v>
      </c>
      <c r="F53" s="32" t="s">
        <v>586</v>
      </c>
      <c r="G53" s="17" t="s">
        <v>587</v>
      </c>
      <c r="H53" s="18" t="s">
        <v>588</v>
      </c>
      <c r="I53" s="16" t="s">
        <v>34</v>
      </c>
      <c r="J53" s="16" t="s">
        <v>43</v>
      </c>
      <c r="K53" s="16"/>
      <c r="L53" s="16"/>
      <c r="M53" s="16"/>
      <c r="N53" s="16" t="s">
        <v>589</v>
      </c>
      <c r="O53" s="16"/>
      <c r="P53" s="16"/>
      <c r="Q53" s="16"/>
      <c r="R53" s="16"/>
      <c r="S53" s="19"/>
      <c r="T53" s="20" t="s">
        <v>40</v>
      </c>
      <c r="U53" s="16"/>
      <c r="V53" s="16"/>
      <c r="W53" s="30">
        <v>114</v>
      </c>
      <c r="X53" s="18" t="s">
        <v>66</v>
      </c>
      <c r="Y53" s="18" t="s">
        <v>43</v>
      </c>
      <c r="Z53" s="18" t="s">
        <v>44</v>
      </c>
      <c r="AA53" s="16" t="s">
        <v>45</v>
      </c>
      <c r="AB53" s="16" t="s">
        <v>577</v>
      </c>
      <c r="AC53" s="16" t="s">
        <v>47</v>
      </c>
      <c r="AD53" s="123" t="str">
        <f t="shared" si="0"/>
        <v>Internal Transfer</v>
      </c>
      <c r="AE53" s="123" t="str">
        <f>VLOOKUP(Table1[[#This Row],[Name of bank]],'اكواد البنوك'!$A$2:$B$34,2,0)</f>
        <v>NBEGEGCXXXX</v>
      </c>
      <c r="AF53" s="21" t="s">
        <v>590</v>
      </c>
      <c r="AG53" s="15" t="s">
        <v>49</v>
      </c>
    </row>
    <row r="54" spans="1:33">
      <c r="A54" s="14">
        <v>53</v>
      </c>
      <c r="B54" s="14"/>
      <c r="C54" s="14" t="e">
        <v>#N/A</v>
      </c>
      <c r="D54" s="15" t="s">
        <v>34</v>
      </c>
      <c r="E54" s="16" t="s">
        <v>591</v>
      </c>
      <c r="F54" s="32" t="s">
        <v>592</v>
      </c>
      <c r="G54" s="17" t="s">
        <v>593</v>
      </c>
      <c r="H54" s="18" t="s">
        <v>594</v>
      </c>
      <c r="I54" s="16" t="s">
        <v>34</v>
      </c>
      <c r="J54" s="16"/>
      <c r="K54" s="16"/>
      <c r="L54" s="16" t="s">
        <v>595</v>
      </c>
      <c r="M54" s="16"/>
      <c r="N54" s="16" t="s">
        <v>596</v>
      </c>
      <c r="O54" s="16"/>
      <c r="P54" s="16"/>
      <c r="Q54" s="16"/>
      <c r="R54" s="16"/>
      <c r="S54" s="19"/>
      <c r="T54" s="20" t="s">
        <v>40</v>
      </c>
      <c r="U54" s="16"/>
      <c r="V54" s="16"/>
      <c r="W54" s="30">
        <v>95</v>
      </c>
      <c r="X54" s="18" t="s">
        <v>597</v>
      </c>
      <c r="Y54" s="18" t="s">
        <v>43</v>
      </c>
      <c r="Z54" s="18" t="s">
        <v>44</v>
      </c>
      <c r="AA54" s="16" t="s">
        <v>45</v>
      </c>
      <c r="AB54" s="16"/>
      <c r="AC54" s="16" t="s">
        <v>47</v>
      </c>
      <c r="AD54" s="123" t="str">
        <f t="shared" si="0"/>
        <v>Internal Transfer</v>
      </c>
      <c r="AE54" s="123" t="str">
        <f>VLOOKUP(Table1[[#This Row],[Name of bank]],'اكواد البنوك'!$A$2:$B$34,2,0)</f>
        <v>NBEGEGCXXXX</v>
      </c>
      <c r="AF54" s="21" t="s">
        <v>598</v>
      </c>
      <c r="AG54" s="15" t="s">
        <v>49</v>
      </c>
    </row>
    <row r="55" spans="1:33">
      <c r="A55" s="14">
        <v>54</v>
      </c>
      <c r="B55" s="14"/>
      <c r="C55" s="14" t="e">
        <v>#N/A</v>
      </c>
      <c r="D55" s="15" t="s">
        <v>34</v>
      </c>
      <c r="E55" s="16" t="s">
        <v>599</v>
      </c>
      <c r="F55" s="32" t="s">
        <v>600</v>
      </c>
      <c r="G55" s="17" t="s">
        <v>601</v>
      </c>
      <c r="H55" s="18" t="s">
        <v>602</v>
      </c>
      <c r="I55" s="16" t="s">
        <v>34</v>
      </c>
      <c r="J55" s="16"/>
      <c r="K55" s="16"/>
      <c r="L55" s="16"/>
      <c r="M55" s="16" t="s">
        <v>603</v>
      </c>
      <c r="N55" s="16" t="s">
        <v>604</v>
      </c>
      <c r="O55" s="16"/>
      <c r="P55" s="16"/>
      <c r="Q55" s="16"/>
      <c r="R55" s="16"/>
      <c r="S55" s="19"/>
      <c r="T55" s="20" t="s">
        <v>40</v>
      </c>
      <c r="U55" s="16"/>
      <c r="V55" s="16"/>
      <c r="W55" s="30">
        <v>110</v>
      </c>
      <c r="X55" s="18" t="s">
        <v>597</v>
      </c>
      <c r="Y55" s="18" t="s">
        <v>43</v>
      </c>
      <c r="Z55" s="18" t="s">
        <v>605</v>
      </c>
      <c r="AA55" s="16" t="s">
        <v>45</v>
      </c>
      <c r="AB55" s="16"/>
      <c r="AC55" s="16" t="s">
        <v>47</v>
      </c>
      <c r="AD55" s="123" t="str">
        <f t="shared" si="0"/>
        <v>Internal Transfer</v>
      </c>
      <c r="AE55" s="123" t="str">
        <f>VLOOKUP(Table1[[#This Row],[Name of bank]],'اكواد البنوك'!$A$2:$B$34,2,0)</f>
        <v>NBEGEGCXXXX</v>
      </c>
      <c r="AF55" s="21" t="s">
        <v>606</v>
      </c>
      <c r="AG55" s="15" t="s">
        <v>49</v>
      </c>
    </row>
    <row r="56" spans="1:33">
      <c r="A56" s="14">
        <v>55</v>
      </c>
      <c r="B56" s="14"/>
      <c r="C56" s="14" t="e">
        <v>#N/A</v>
      </c>
      <c r="D56" s="15" t="s">
        <v>34</v>
      </c>
      <c r="E56" s="16" t="s">
        <v>607</v>
      </c>
      <c r="F56" s="32" t="s">
        <v>608</v>
      </c>
      <c r="G56" s="17" t="s">
        <v>609</v>
      </c>
      <c r="H56" s="18" t="s">
        <v>610</v>
      </c>
      <c r="I56" s="16" t="s">
        <v>34</v>
      </c>
      <c r="J56" s="16"/>
      <c r="K56" s="16"/>
      <c r="L56" s="16"/>
      <c r="M56" s="16" t="s">
        <v>603</v>
      </c>
      <c r="N56" s="16" t="s">
        <v>611</v>
      </c>
      <c r="O56" s="16"/>
      <c r="P56" s="16"/>
      <c r="Q56" s="16"/>
      <c r="R56" s="16"/>
      <c r="S56" s="19"/>
      <c r="T56" s="20" t="s">
        <v>40</v>
      </c>
      <c r="U56" s="16"/>
      <c r="V56" s="16"/>
      <c r="W56" s="30">
        <v>100</v>
      </c>
      <c r="X56" s="18" t="s">
        <v>597</v>
      </c>
      <c r="Y56" s="18" t="s">
        <v>43</v>
      </c>
      <c r="Z56" s="18" t="s">
        <v>605</v>
      </c>
      <c r="AA56" s="16"/>
      <c r="AB56" s="16"/>
      <c r="AC56" s="16"/>
      <c r="AD56" s="123" t="str">
        <f t="shared" si="0"/>
        <v>Internal Transfer</v>
      </c>
      <c r="AE56" s="123" t="str">
        <f>VLOOKUP(Table1[[#This Row],[Name of bank]],'اكواد البنوك'!$A$2:$B$34,2,0)</f>
        <v>NBEGEGCXXXX</v>
      </c>
      <c r="AF56" s="21">
        <v>100</v>
      </c>
      <c r="AG56" s="15" t="s">
        <v>49</v>
      </c>
    </row>
    <row r="57" spans="1:33">
      <c r="A57" s="14">
        <v>56</v>
      </c>
      <c r="B57" s="14"/>
      <c r="C57" s="14" t="e">
        <v>#N/A</v>
      </c>
      <c r="D57" s="15" t="s">
        <v>34</v>
      </c>
      <c r="E57" s="16" t="s">
        <v>612</v>
      </c>
      <c r="F57" s="32" t="s">
        <v>613</v>
      </c>
      <c r="G57" s="17" t="s">
        <v>614</v>
      </c>
      <c r="H57" s="18" t="s">
        <v>615</v>
      </c>
      <c r="I57" s="16" t="s">
        <v>34</v>
      </c>
      <c r="J57" s="16"/>
      <c r="K57" s="16"/>
      <c r="L57" s="16"/>
      <c r="M57" s="16"/>
      <c r="N57" s="16" t="s">
        <v>616</v>
      </c>
      <c r="O57" s="16"/>
      <c r="P57" s="16"/>
      <c r="Q57" s="16"/>
      <c r="R57" s="16"/>
      <c r="S57" s="19"/>
      <c r="T57" s="20" t="s">
        <v>40</v>
      </c>
      <c r="U57" s="16"/>
      <c r="V57" s="16"/>
      <c r="W57" s="30" t="s">
        <v>617</v>
      </c>
      <c r="X57" s="18" t="s">
        <v>597</v>
      </c>
      <c r="Y57" s="18" t="s">
        <v>43</v>
      </c>
      <c r="Z57" s="18" t="s">
        <v>605</v>
      </c>
      <c r="AA57" s="16"/>
      <c r="AB57" s="16"/>
      <c r="AC57" s="16"/>
      <c r="AD57" s="123" t="str">
        <f t="shared" si="0"/>
        <v>Internal Transfer</v>
      </c>
      <c r="AE57" s="123" t="str">
        <f>VLOOKUP(Table1[[#This Row],[Name of bank]],'اكواد البنوك'!$A$2:$B$34,2,0)</f>
        <v>NBEGEGCXXXX</v>
      </c>
      <c r="AF57" s="21" t="s">
        <v>617</v>
      </c>
      <c r="AG57" s="15" t="s">
        <v>49</v>
      </c>
    </row>
    <row r="58" spans="1:33">
      <c r="A58" s="14">
        <v>57</v>
      </c>
      <c r="B58" s="14"/>
      <c r="C58" s="14" t="e">
        <v>#N/A</v>
      </c>
      <c r="D58" s="15" t="s">
        <v>34</v>
      </c>
      <c r="E58" s="16" t="s">
        <v>618</v>
      </c>
      <c r="F58" s="32" t="s">
        <v>619</v>
      </c>
      <c r="G58" s="17" t="s">
        <v>620</v>
      </c>
      <c r="H58" s="18" t="s">
        <v>621</v>
      </c>
      <c r="I58" s="16" t="s">
        <v>34</v>
      </c>
      <c r="J58" s="16"/>
      <c r="K58" s="16"/>
      <c r="L58" s="16" t="s">
        <v>34</v>
      </c>
      <c r="M58" s="16" t="s">
        <v>34</v>
      </c>
      <c r="N58" s="16" t="s">
        <v>622</v>
      </c>
      <c r="O58" s="16"/>
      <c r="P58" s="16"/>
      <c r="Q58" s="16"/>
      <c r="R58" s="16"/>
      <c r="S58" s="19"/>
      <c r="T58" s="20" t="s">
        <v>40</v>
      </c>
      <c r="U58" s="16"/>
      <c r="V58" s="16"/>
      <c r="W58" s="30">
        <v>117</v>
      </c>
      <c r="X58" s="18" t="s">
        <v>623</v>
      </c>
      <c r="Y58" s="18" t="s">
        <v>43</v>
      </c>
      <c r="Z58" s="18" t="s">
        <v>605</v>
      </c>
      <c r="AA58" s="16" t="s">
        <v>624</v>
      </c>
      <c r="AB58" s="16"/>
      <c r="AC58" s="16" t="s">
        <v>625</v>
      </c>
      <c r="AD58" s="123" t="str">
        <f t="shared" si="0"/>
        <v>Internal Transfer</v>
      </c>
      <c r="AE58" s="123" t="str">
        <f>VLOOKUP(Table1[[#This Row],[Name of bank]],'اكواد البنوك'!$A$2:$B$34,2,0)</f>
        <v>NBEGEGCXXXX</v>
      </c>
      <c r="AF58" s="21" t="s">
        <v>626</v>
      </c>
      <c r="AG58" s="15"/>
    </row>
    <row r="59" spans="1:33">
      <c r="A59" s="14">
        <v>58</v>
      </c>
      <c r="B59" s="14"/>
      <c r="C59" s="14" t="e">
        <v>#N/A</v>
      </c>
      <c r="D59" s="15" t="s">
        <v>34</v>
      </c>
      <c r="E59" s="16" t="s">
        <v>627</v>
      </c>
      <c r="F59" s="32" t="s">
        <v>628</v>
      </c>
      <c r="G59" s="17" t="s">
        <v>629</v>
      </c>
      <c r="H59" s="18" t="s">
        <v>630</v>
      </c>
      <c r="I59" s="16" t="s">
        <v>34</v>
      </c>
      <c r="J59" s="16"/>
      <c r="K59" s="16"/>
      <c r="L59" s="16" t="s">
        <v>34</v>
      </c>
      <c r="M59" s="16" t="s">
        <v>34</v>
      </c>
      <c r="N59" s="16" t="s">
        <v>631</v>
      </c>
      <c r="O59" s="16"/>
      <c r="P59" s="16"/>
      <c r="Q59" s="16"/>
      <c r="R59" s="16"/>
      <c r="S59" s="19"/>
      <c r="T59" s="20" t="s">
        <v>40</v>
      </c>
      <c r="U59" s="16"/>
      <c r="V59" s="16"/>
      <c r="W59" s="30">
        <v>118</v>
      </c>
      <c r="X59" s="18" t="s">
        <v>623</v>
      </c>
      <c r="Y59" s="18" t="s">
        <v>43</v>
      </c>
      <c r="Z59" s="18" t="s">
        <v>605</v>
      </c>
      <c r="AA59" s="16" t="s">
        <v>624</v>
      </c>
      <c r="AB59" s="16"/>
      <c r="AC59" s="16" t="s">
        <v>625</v>
      </c>
      <c r="AD59" s="123" t="str">
        <f t="shared" si="0"/>
        <v>Internal Transfer</v>
      </c>
      <c r="AE59" s="123" t="str">
        <f>VLOOKUP(Table1[[#This Row],[Name of bank]],'اكواد البنوك'!$A$2:$B$34,2,0)</f>
        <v>NBEGEGCXXXX</v>
      </c>
      <c r="AF59" s="21" t="s">
        <v>632</v>
      </c>
      <c r="AG59" s="15"/>
    </row>
    <row r="60" spans="1:33">
      <c r="A60" s="14">
        <v>59</v>
      </c>
      <c r="B60" s="14"/>
      <c r="C60" s="14" t="e">
        <v>#N/A</v>
      </c>
      <c r="D60" s="15" t="s">
        <v>34</v>
      </c>
      <c r="E60" s="16" t="s">
        <v>633</v>
      </c>
      <c r="F60" s="32" t="s">
        <v>634</v>
      </c>
      <c r="G60" s="17" t="s">
        <v>635</v>
      </c>
      <c r="H60" s="18" t="s">
        <v>636</v>
      </c>
      <c r="I60" s="16" t="s">
        <v>34</v>
      </c>
      <c r="J60" s="16"/>
      <c r="K60" s="16"/>
      <c r="L60" s="16"/>
      <c r="M60" s="16"/>
      <c r="N60" s="16" t="s">
        <v>637</v>
      </c>
      <c r="O60" s="16"/>
      <c r="P60" s="16"/>
      <c r="Q60" s="16"/>
      <c r="R60" s="16"/>
      <c r="S60" s="19"/>
      <c r="T60" s="20" t="s">
        <v>40</v>
      </c>
      <c r="U60" s="16"/>
      <c r="V60" s="16"/>
      <c r="W60" s="30">
        <v>132</v>
      </c>
      <c r="X60" s="18" t="s">
        <v>623</v>
      </c>
      <c r="Y60" s="18" t="s">
        <v>43</v>
      </c>
      <c r="Z60" s="18" t="s">
        <v>605</v>
      </c>
      <c r="AA60" s="16" t="s">
        <v>624</v>
      </c>
      <c r="AB60" s="16"/>
      <c r="AC60" s="16" t="s">
        <v>625</v>
      </c>
      <c r="AD60" s="123" t="str">
        <f t="shared" si="0"/>
        <v>Internal Transfer</v>
      </c>
      <c r="AE60" s="123" t="str">
        <f>VLOOKUP(Table1[[#This Row],[Name of bank]],'اكواد البنوك'!$A$2:$B$34,2,0)</f>
        <v>NBEGEGCXXXX</v>
      </c>
      <c r="AF60" s="21" t="s">
        <v>638</v>
      </c>
      <c r="AG60" s="15"/>
    </row>
    <row r="61" spans="1:33">
      <c r="A61" s="14">
        <v>60</v>
      </c>
      <c r="B61" s="14" t="s">
        <v>639</v>
      </c>
      <c r="C61" s="14" t="s">
        <v>206</v>
      </c>
      <c r="D61" s="15" t="s">
        <v>34</v>
      </c>
      <c r="E61" s="16" t="s">
        <v>640</v>
      </c>
      <c r="F61" s="32" t="s">
        <v>641</v>
      </c>
      <c r="G61" s="17" t="s">
        <v>642</v>
      </c>
      <c r="H61" s="18" t="s">
        <v>643</v>
      </c>
      <c r="I61" s="16" t="s">
        <v>34</v>
      </c>
      <c r="J61" s="16"/>
      <c r="K61" s="16"/>
      <c r="L61" s="16"/>
      <c r="M61" s="16"/>
      <c r="N61" s="16" t="s">
        <v>644</v>
      </c>
      <c r="O61" s="16"/>
      <c r="P61" s="16"/>
      <c r="Q61" s="16"/>
      <c r="R61" s="16"/>
      <c r="S61" s="19"/>
      <c r="T61" s="20" t="s">
        <v>40</v>
      </c>
      <c r="U61" s="16"/>
      <c r="V61" s="16"/>
      <c r="W61" s="30" t="s">
        <v>645</v>
      </c>
      <c r="X61" s="18" t="s">
        <v>78</v>
      </c>
      <c r="Y61" s="18" t="s">
        <v>43</v>
      </c>
      <c r="Z61" s="18" t="s">
        <v>44</v>
      </c>
      <c r="AA61" s="16" t="s">
        <v>45</v>
      </c>
      <c r="AB61" s="16" t="s">
        <v>577</v>
      </c>
      <c r="AC61" s="16" t="s">
        <v>47</v>
      </c>
      <c r="AD61" s="123" t="str">
        <f t="shared" si="0"/>
        <v>Internal Transfer</v>
      </c>
      <c r="AE61" s="123" t="str">
        <f>VLOOKUP(Table1[[#This Row],[Name of bank]],'اكواد البنوك'!$A$2:$B$34,2,0)</f>
        <v>NBEGEGCXXXX</v>
      </c>
      <c r="AF61" s="21" t="s">
        <v>645</v>
      </c>
      <c r="AG61" s="15" t="s">
        <v>49</v>
      </c>
    </row>
    <row r="62" spans="1:33">
      <c r="A62" s="14">
        <v>61</v>
      </c>
      <c r="B62" s="14" t="s">
        <v>639</v>
      </c>
      <c r="C62" s="14" t="s">
        <v>206</v>
      </c>
      <c r="D62" s="15" t="s">
        <v>34</v>
      </c>
      <c r="E62" s="16" t="s">
        <v>646</v>
      </c>
      <c r="F62" s="32" t="s">
        <v>647</v>
      </c>
      <c r="G62" s="17" t="s">
        <v>648</v>
      </c>
      <c r="H62" s="18" t="s">
        <v>649</v>
      </c>
      <c r="I62" s="16" t="s">
        <v>34</v>
      </c>
      <c r="J62" s="16"/>
      <c r="K62" s="16" t="s">
        <v>650</v>
      </c>
      <c r="L62" s="16" t="s">
        <v>595</v>
      </c>
      <c r="M62" s="16"/>
      <c r="N62" s="16" t="s">
        <v>651</v>
      </c>
      <c r="O62" s="16"/>
      <c r="P62" s="16"/>
      <c r="Q62" s="16"/>
      <c r="R62" s="16"/>
      <c r="S62" s="19"/>
      <c r="T62" s="20" t="s">
        <v>40</v>
      </c>
      <c r="U62" s="16"/>
      <c r="V62" s="16"/>
      <c r="W62" s="30">
        <v>88</v>
      </c>
      <c r="X62" s="18" t="s">
        <v>97</v>
      </c>
      <c r="Y62" s="18" t="s">
        <v>43</v>
      </c>
      <c r="Z62" s="18" t="s">
        <v>44</v>
      </c>
      <c r="AA62" s="16" t="s">
        <v>45</v>
      </c>
      <c r="AB62" s="16" t="s">
        <v>577</v>
      </c>
      <c r="AC62" s="16" t="s">
        <v>47</v>
      </c>
      <c r="AD62" s="123" t="str">
        <f t="shared" si="0"/>
        <v>Internal Transfer</v>
      </c>
      <c r="AE62" s="123" t="str">
        <f>VLOOKUP(Table1[[#This Row],[Name of bank]],'اكواد البنوك'!$A$2:$B$34,2,0)</f>
        <v>NBEGEGCXXXX</v>
      </c>
      <c r="AF62" s="21" t="s">
        <v>652</v>
      </c>
      <c r="AG62" s="15" t="s">
        <v>49</v>
      </c>
    </row>
    <row r="63" spans="1:33">
      <c r="A63" s="14">
        <v>62</v>
      </c>
      <c r="B63" s="14" t="s">
        <v>639</v>
      </c>
      <c r="C63" s="14" t="s">
        <v>811</v>
      </c>
      <c r="D63" s="15" t="s">
        <v>80</v>
      </c>
      <c r="E63" s="16" t="s">
        <v>653</v>
      </c>
      <c r="F63" s="32" t="s">
        <v>654</v>
      </c>
      <c r="G63" s="17" t="s">
        <v>655</v>
      </c>
      <c r="H63" s="18" t="s">
        <v>656</v>
      </c>
      <c r="I63" s="16" t="s">
        <v>268</v>
      </c>
      <c r="J63" s="16" t="s">
        <v>86</v>
      </c>
      <c r="K63" s="16" t="s">
        <v>657</v>
      </c>
      <c r="L63" s="16" t="s">
        <v>658</v>
      </c>
      <c r="M63" s="16" t="s">
        <v>659</v>
      </c>
      <c r="N63" s="16">
        <v>28309300202825</v>
      </c>
      <c r="O63" s="16" t="s">
        <v>660</v>
      </c>
      <c r="P63" s="16" t="s">
        <v>661</v>
      </c>
      <c r="Q63" s="16" t="s">
        <v>44</v>
      </c>
      <c r="R63" s="16" t="s">
        <v>91</v>
      </c>
      <c r="S63" s="19" t="s">
        <v>662</v>
      </c>
      <c r="T63" s="20" t="s">
        <v>341</v>
      </c>
      <c r="U63" s="16" t="s">
        <v>663</v>
      </c>
      <c r="V63" s="16" t="s">
        <v>664</v>
      </c>
      <c r="W63" s="30" t="s">
        <v>665</v>
      </c>
      <c r="X63" s="18" t="s">
        <v>97</v>
      </c>
      <c r="Y63" s="18" t="s">
        <v>98</v>
      </c>
      <c r="Z63" s="18" t="s">
        <v>44</v>
      </c>
      <c r="AA63" s="16" t="s">
        <v>45</v>
      </c>
      <c r="AB63" s="16" t="s">
        <v>577</v>
      </c>
      <c r="AC63" s="16" t="s">
        <v>47</v>
      </c>
      <c r="AD63" s="123" t="str">
        <f t="shared" si="0"/>
        <v>External Transfer-Other banks</v>
      </c>
      <c r="AE63" s="123" t="str">
        <f>VLOOKUP(Table1[[#This Row],[Name of bank]],'اكواد البنوك'!$A$2:$B$34,2,0)</f>
        <v>AGRIEGCXXXX</v>
      </c>
      <c r="AF63" s="21" t="s">
        <v>346</v>
      </c>
      <c r="AG63" s="15" t="s">
        <v>49</v>
      </c>
    </row>
    <row r="64" spans="1:33">
      <c r="A64" s="14">
        <v>63</v>
      </c>
      <c r="B64" s="14">
        <v>100</v>
      </c>
      <c r="C64" s="14" t="e">
        <v>#N/A</v>
      </c>
      <c r="D64" s="15" t="s">
        <v>80</v>
      </c>
      <c r="E64" s="16" t="s">
        <v>666</v>
      </c>
      <c r="F64" s="32" t="s">
        <v>667</v>
      </c>
      <c r="G64" s="17" t="s">
        <v>668</v>
      </c>
      <c r="H64" s="18" t="s">
        <v>669</v>
      </c>
      <c r="I64" s="16" t="s">
        <v>402</v>
      </c>
      <c r="J64" s="16" t="s">
        <v>86</v>
      </c>
      <c r="K64" s="16" t="s">
        <v>384</v>
      </c>
      <c r="L64" s="16">
        <v>23577043</v>
      </c>
      <c r="M64" s="16">
        <v>432781498</v>
      </c>
      <c r="N64" s="16">
        <v>28803010203024</v>
      </c>
      <c r="O64" s="16" t="s">
        <v>670</v>
      </c>
      <c r="P64" s="16" t="s">
        <v>671</v>
      </c>
      <c r="Q64" s="16" t="s">
        <v>44</v>
      </c>
      <c r="R64" s="16" t="s">
        <v>91</v>
      </c>
      <c r="S64" s="19" t="s">
        <v>672</v>
      </c>
      <c r="T64" s="20" t="s">
        <v>223</v>
      </c>
      <c r="U64" s="16" t="s">
        <v>164</v>
      </c>
      <c r="V64" s="16" t="s">
        <v>673</v>
      </c>
      <c r="W64" s="30" t="s">
        <v>674</v>
      </c>
      <c r="X64" s="18" t="s">
        <v>542</v>
      </c>
      <c r="Y64" s="18" t="s">
        <v>98</v>
      </c>
      <c r="Z64" s="18" t="s">
        <v>44</v>
      </c>
      <c r="AA64" s="16" t="s">
        <v>45</v>
      </c>
      <c r="AB64" s="16" t="s">
        <v>577</v>
      </c>
      <c r="AC64" s="16" t="s">
        <v>47</v>
      </c>
      <c r="AD64" s="123" t="str">
        <f t="shared" si="0"/>
        <v>External Transfer-Other banks</v>
      </c>
      <c r="AE64" s="123" t="str">
        <f>VLOOKUP(Table1[[#This Row],[Name of bank]],'اكواد البنوك'!$A$2:$B$34,2,0)</f>
        <v>NBADEGCAXXX</v>
      </c>
      <c r="AF64" s="21" t="s">
        <v>227</v>
      </c>
      <c r="AG64" s="15" t="s">
        <v>167</v>
      </c>
    </row>
    <row r="65" spans="1:33">
      <c r="A65" s="14">
        <v>64</v>
      </c>
      <c r="B65" s="14">
        <v>100</v>
      </c>
      <c r="C65" s="14" t="e">
        <v>#N/A</v>
      </c>
      <c r="D65" s="15" t="s">
        <v>80</v>
      </c>
      <c r="E65" s="16" t="s">
        <v>675</v>
      </c>
      <c r="F65" s="32" t="s">
        <v>681</v>
      </c>
      <c r="G65" s="17" t="s">
        <v>676</v>
      </c>
      <c r="H65" s="18" t="s">
        <v>677</v>
      </c>
      <c r="I65" s="16" t="s">
        <v>678</v>
      </c>
      <c r="J65" s="16" t="s">
        <v>173</v>
      </c>
      <c r="K65" s="16" t="s">
        <v>106</v>
      </c>
      <c r="L65" s="16">
        <v>45562238</v>
      </c>
      <c r="M65" s="16">
        <v>955608</v>
      </c>
      <c r="N65" s="16">
        <v>27407110200646</v>
      </c>
      <c r="O65" s="16" t="s">
        <v>679</v>
      </c>
      <c r="P65" s="16" t="s">
        <v>680</v>
      </c>
      <c r="Q65" s="16" t="s">
        <v>44</v>
      </c>
      <c r="R65" s="16" t="s">
        <v>91</v>
      </c>
      <c r="S65" s="19" t="s">
        <v>681</v>
      </c>
      <c r="T65" s="20" t="s">
        <v>40</v>
      </c>
      <c r="U65" s="16" t="s">
        <v>682</v>
      </c>
      <c r="V65" s="16" t="s">
        <v>683</v>
      </c>
      <c r="W65" s="30" t="s">
        <v>684</v>
      </c>
      <c r="X65" s="18" t="s">
        <v>127</v>
      </c>
      <c r="Y65" s="18" t="s">
        <v>98</v>
      </c>
      <c r="Z65" s="18" t="s">
        <v>44</v>
      </c>
      <c r="AA65" s="16" t="s">
        <v>45</v>
      </c>
      <c r="AB65" s="16" t="s">
        <v>577</v>
      </c>
      <c r="AC65" s="16" t="s">
        <v>47</v>
      </c>
      <c r="AD65" s="123" t="str">
        <f t="shared" si="0"/>
        <v>External Transfer-NBE</v>
      </c>
      <c r="AE65" s="123" t="str">
        <f>VLOOKUP(Table1[[#This Row],[Name of bank]],'اكواد البنوك'!$A$2:$B$34,2,0)</f>
        <v>NBEGEGCXXXX</v>
      </c>
      <c r="AF65" s="21" t="s">
        <v>143</v>
      </c>
      <c r="AG65" s="15" t="s">
        <v>167</v>
      </c>
    </row>
    <row r="66" spans="1:33">
      <c r="A66" s="14">
        <v>65</v>
      </c>
      <c r="B66" s="14">
        <v>100</v>
      </c>
      <c r="C66" s="14" t="e">
        <v>#N/A</v>
      </c>
      <c r="D66" s="15" t="s">
        <v>80</v>
      </c>
      <c r="E66" s="16" t="s">
        <v>685</v>
      </c>
      <c r="F66" s="32" t="s">
        <v>686</v>
      </c>
      <c r="G66" s="17" t="s">
        <v>687</v>
      </c>
      <c r="H66" s="18" t="s">
        <v>688</v>
      </c>
      <c r="I66" s="16" t="s">
        <v>689</v>
      </c>
      <c r="J66" s="16" t="s">
        <v>86</v>
      </c>
      <c r="K66" s="16" t="s">
        <v>690</v>
      </c>
      <c r="L66" s="16">
        <v>62739435</v>
      </c>
      <c r="M66" s="16">
        <v>62739435</v>
      </c>
      <c r="N66" s="16" t="s">
        <v>691</v>
      </c>
      <c r="O66" s="16" t="s">
        <v>692</v>
      </c>
      <c r="P66" s="16" t="s">
        <v>693</v>
      </c>
      <c r="Q66" s="16" t="s">
        <v>44</v>
      </c>
      <c r="R66" s="16" t="s">
        <v>91</v>
      </c>
      <c r="S66" s="19" t="s">
        <v>694</v>
      </c>
      <c r="T66" s="20" t="s">
        <v>93</v>
      </c>
      <c r="U66" s="16" t="s">
        <v>695</v>
      </c>
      <c r="V66" s="16" t="s">
        <v>696</v>
      </c>
      <c r="W66" s="30" t="s">
        <v>697</v>
      </c>
      <c r="X66" s="18" t="s">
        <v>127</v>
      </c>
      <c r="Y66" s="18" t="s">
        <v>98</v>
      </c>
      <c r="Z66" s="18" t="s">
        <v>44</v>
      </c>
      <c r="AA66" s="16" t="s">
        <v>45</v>
      </c>
      <c r="AB66" s="16" t="s">
        <v>577</v>
      </c>
      <c r="AC66" s="16" t="s">
        <v>47</v>
      </c>
      <c r="AD66" s="123" t="str">
        <f t="shared" ref="AD66:AD129" si="1">IF(ISNUMBER(SEARCH("EXTERNAL CASH",T66)),
   "EXTERNAL CASH",
   IF(ISNUMBER(SEARCH("شيك من القاهرة",T66)),
      "FUE",
      IF(ISNUMBER(SEARCH("INTERNAL CASH",T66)),
         "INTRNAL CASH",
         IF(Y66="IP",
            "Internal Transfer",
            IF(ISNUMBER(SEARCH("National Bank of Egypt",T66)),
               "External Transfer-NBE",
               "External Transfer-Other banks"
            )
         )
      )
   )
)</f>
        <v>External Transfer-Other banks</v>
      </c>
      <c r="AE66" s="123" t="str">
        <f>VLOOKUP(Table1[[#This Row],[Name of bank]],'اكواد البنوك'!$A$2:$B$34,2,0)</f>
        <v>QNBAEGCXXXX</v>
      </c>
      <c r="AF66" s="21" t="s">
        <v>698</v>
      </c>
      <c r="AG66" s="15" t="s">
        <v>49</v>
      </c>
    </row>
    <row r="67" spans="1:33">
      <c r="A67" s="14">
        <v>66</v>
      </c>
      <c r="B67" s="14">
        <v>102</v>
      </c>
      <c r="C67" s="14" t="e">
        <v>#N/A</v>
      </c>
      <c r="D67" s="15" t="s">
        <v>80</v>
      </c>
      <c r="E67" s="16" t="s">
        <v>699</v>
      </c>
      <c r="F67" s="32" t="s">
        <v>10052</v>
      </c>
      <c r="G67" s="17" t="s">
        <v>700</v>
      </c>
      <c r="H67" s="18" t="s">
        <v>701</v>
      </c>
      <c r="I67" s="16" t="s">
        <v>702</v>
      </c>
      <c r="J67" s="16" t="s">
        <v>86</v>
      </c>
      <c r="K67" s="16" t="s">
        <v>703</v>
      </c>
      <c r="L67" s="16">
        <v>82616795</v>
      </c>
      <c r="M67" s="16" t="s">
        <v>136</v>
      </c>
      <c r="N67" s="16" t="s">
        <v>704</v>
      </c>
      <c r="O67" s="16" t="s">
        <v>705</v>
      </c>
      <c r="P67" s="16" t="s">
        <v>706</v>
      </c>
      <c r="Q67" s="16" t="s">
        <v>44</v>
      </c>
      <c r="R67" s="16" t="s">
        <v>91</v>
      </c>
      <c r="S67" s="19" t="s">
        <v>707</v>
      </c>
      <c r="T67" s="20" t="s">
        <v>40</v>
      </c>
      <c r="U67" s="16" t="s">
        <v>708</v>
      </c>
      <c r="V67" s="16" t="s">
        <v>709</v>
      </c>
      <c r="W67" s="30" t="s">
        <v>710</v>
      </c>
      <c r="X67" s="18" t="s">
        <v>127</v>
      </c>
      <c r="Y67" s="18" t="s">
        <v>98</v>
      </c>
      <c r="Z67" s="18" t="s">
        <v>44</v>
      </c>
      <c r="AA67" s="16" t="s">
        <v>45</v>
      </c>
      <c r="AB67" s="16" t="s">
        <v>577</v>
      </c>
      <c r="AC67" s="16" t="s">
        <v>47</v>
      </c>
      <c r="AD67" s="123" t="str">
        <f t="shared" si="1"/>
        <v>External Transfer-NBE</v>
      </c>
      <c r="AE67" s="123" t="str">
        <f>VLOOKUP(Table1[[#This Row],[Name of bank]],'اكواد البنوك'!$A$2:$B$34,2,0)</f>
        <v>NBEGEGCXXXX</v>
      </c>
      <c r="AF67" s="21" t="s">
        <v>711</v>
      </c>
      <c r="AG67" s="15" t="s">
        <v>49</v>
      </c>
    </row>
    <row r="68" spans="1:33">
      <c r="A68" s="14">
        <v>67</v>
      </c>
      <c r="B68" s="14">
        <v>104</v>
      </c>
      <c r="C68" s="14" t="e">
        <v>#N/A</v>
      </c>
      <c r="D68" s="15" t="s">
        <v>80</v>
      </c>
      <c r="E68" s="16" t="s">
        <v>712</v>
      </c>
      <c r="F68" s="32" t="s">
        <v>713</v>
      </c>
      <c r="G68" s="17" t="s">
        <v>714</v>
      </c>
      <c r="H68" s="18" t="s">
        <v>715</v>
      </c>
      <c r="I68" s="16" t="s">
        <v>716</v>
      </c>
      <c r="J68" s="16" t="s">
        <v>86</v>
      </c>
      <c r="K68" s="16" t="s">
        <v>717</v>
      </c>
      <c r="L68" s="16" t="s">
        <v>136</v>
      </c>
      <c r="M68" s="16" t="s">
        <v>136</v>
      </c>
      <c r="N68" s="16" t="s">
        <v>718</v>
      </c>
      <c r="O68" s="16" t="s">
        <v>719</v>
      </c>
      <c r="P68" s="16" t="s">
        <v>720</v>
      </c>
      <c r="Q68" s="16" t="s">
        <v>44</v>
      </c>
      <c r="R68" s="16" t="s">
        <v>91</v>
      </c>
      <c r="S68" s="19" t="s">
        <v>721</v>
      </c>
      <c r="T68" s="20" t="s">
        <v>93</v>
      </c>
      <c r="U68" s="16" t="s">
        <v>557</v>
      </c>
      <c r="V68" s="16" t="s">
        <v>722</v>
      </c>
      <c r="W68" s="30" t="s">
        <v>723</v>
      </c>
      <c r="X68" s="18" t="s">
        <v>127</v>
      </c>
      <c r="Y68" s="18" t="s">
        <v>98</v>
      </c>
      <c r="Z68" s="18" t="s">
        <v>44</v>
      </c>
      <c r="AA68" s="16" t="s">
        <v>45</v>
      </c>
      <c r="AB68" s="16" t="s">
        <v>577</v>
      </c>
      <c r="AC68" s="16" t="s">
        <v>47</v>
      </c>
      <c r="AD68" s="123" t="str">
        <f t="shared" si="1"/>
        <v>External Transfer-Other banks</v>
      </c>
      <c r="AE68" s="123" t="str">
        <f>VLOOKUP(Table1[[#This Row],[Name of bank]],'اكواد البنوك'!$A$2:$B$34,2,0)</f>
        <v>QNBAEGCXXXX</v>
      </c>
      <c r="AF68" s="21" t="s">
        <v>100</v>
      </c>
      <c r="AG68" s="15" t="s">
        <v>49</v>
      </c>
    </row>
    <row r="69" spans="1:33">
      <c r="A69" s="14">
        <v>68</v>
      </c>
      <c r="B69" s="14">
        <v>104</v>
      </c>
      <c r="C69" s="14" t="e">
        <v>#N/A</v>
      </c>
      <c r="D69" s="15" t="s">
        <v>80</v>
      </c>
      <c r="E69" s="16" t="s">
        <v>724</v>
      </c>
      <c r="F69" s="32" t="s">
        <v>725</v>
      </c>
      <c r="G69" s="17" t="s">
        <v>726</v>
      </c>
      <c r="H69" s="18" t="s">
        <v>727</v>
      </c>
      <c r="I69" s="16" t="s">
        <v>728</v>
      </c>
      <c r="J69" s="16" t="s">
        <v>173</v>
      </c>
      <c r="K69" s="16" t="s">
        <v>729</v>
      </c>
      <c r="L69" s="16" t="s">
        <v>136</v>
      </c>
      <c r="M69" s="16" t="s">
        <v>136</v>
      </c>
      <c r="N69" s="16" t="s">
        <v>730</v>
      </c>
      <c r="O69" s="16" t="s">
        <v>731</v>
      </c>
      <c r="P69" s="16" t="s">
        <v>732</v>
      </c>
      <c r="Q69" s="16" t="s">
        <v>44</v>
      </c>
      <c r="R69" s="16" t="s">
        <v>91</v>
      </c>
      <c r="S69" s="19" t="s">
        <v>733</v>
      </c>
      <c r="T69" s="20" t="s">
        <v>734</v>
      </c>
      <c r="U69" s="16" t="s">
        <v>735</v>
      </c>
      <c r="V69" s="16" t="s">
        <v>736</v>
      </c>
      <c r="W69" s="30" t="s">
        <v>737</v>
      </c>
      <c r="X69" s="18" t="s">
        <v>127</v>
      </c>
      <c r="Y69" s="18" t="s">
        <v>98</v>
      </c>
      <c r="Z69" s="18" t="s">
        <v>44</v>
      </c>
      <c r="AA69" s="16" t="s">
        <v>45</v>
      </c>
      <c r="AB69" s="16" t="s">
        <v>577</v>
      </c>
      <c r="AC69" s="16" t="s">
        <v>47</v>
      </c>
      <c r="AD69" s="123" t="str">
        <f t="shared" si="1"/>
        <v>External Transfer-Other banks</v>
      </c>
      <c r="AE69" s="123" t="str">
        <f>VLOOKUP(Table1[[#This Row],[Name of bank]],'اكواد البنوك'!$A$2:$B$34,2,0)</f>
        <v>BDACEGCAXXX</v>
      </c>
      <c r="AF69" s="21" t="s">
        <v>739</v>
      </c>
      <c r="AG69" s="15" t="s">
        <v>49</v>
      </c>
    </row>
    <row r="70" spans="1:33">
      <c r="A70" s="14">
        <v>69</v>
      </c>
      <c r="B70" s="14">
        <v>106</v>
      </c>
      <c r="C70" s="14" t="e">
        <v>#N/A</v>
      </c>
      <c r="D70" s="15" t="s">
        <v>80</v>
      </c>
      <c r="E70" s="16" t="s">
        <v>740</v>
      </c>
      <c r="F70" s="32" t="s">
        <v>741</v>
      </c>
      <c r="G70" s="17" t="s">
        <v>742</v>
      </c>
      <c r="H70" s="18" t="s">
        <v>743</v>
      </c>
      <c r="I70" s="16" t="s">
        <v>744</v>
      </c>
      <c r="J70" s="16" t="s">
        <v>86</v>
      </c>
      <c r="K70" s="16" t="s">
        <v>269</v>
      </c>
      <c r="L70" s="16" t="s">
        <v>136</v>
      </c>
      <c r="M70" s="16" t="s">
        <v>136</v>
      </c>
      <c r="N70" s="16" t="s">
        <v>745</v>
      </c>
      <c r="O70" s="16" t="s">
        <v>746</v>
      </c>
      <c r="P70" s="16" t="s">
        <v>747</v>
      </c>
      <c r="Q70" s="16" t="s">
        <v>44</v>
      </c>
      <c r="R70" s="16" t="s">
        <v>91</v>
      </c>
      <c r="S70" s="19" t="s">
        <v>748</v>
      </c>
      <c r="T70" s="20" t="s">
        <v>40</v>
      </c>
      <c r="U70" s="16" t="s">
        <v>110</v>
      </c>
      <c r="V70" s="16" t="s">
        <v>749</v>
      </c>
      <c r="W70" s="30" t="s">
        <v>750</v>
      </c>
      <c r="X70" s="18" t="s">
        <v>127</v>
      </c>
      <c r="Y70" s="18" t="s">
        <v>98</v>
      </c>
      <c r="Z70" s="18" t="s">
        <v>44</v>
      </c>
      <c r="AA70" s="16" t="s">
        <v>45</v>
      </c>
      <c r="AB70" s="16" t="s">
        <v>577</v>
      </c>
      <c r="AC70" s="16" t="s">
        <v>47</v>
      </c>
      <c r="AD70" s="123" t="str">
        <f t="shared" si="1"/>
        <v>External Transfer-NBE</v>
      </c>
      <c r="AE70" s="123" t="str">
        <f>VLOOKUP(Table1[[#This Row],[Name of bank]],'اكواد البنوك'!$A$2:$B$34,2,0)</f>
        <v>NBEGEGCXXXX</v>
      </c>
      <c r="AF70" s="21" t="s">
        <v>751</v>
      </c>
      <c r="AG70" s="15" t="s">
        <v>49</v>
      </c>
    </row>
    <row r="71" spans="1:33">
      <c r="A71" s="14">
        <v>70</v>
      </c>
      <c r="B71" s="14">
        <v>106</v>
      </c>
      <c r="C71" s="14" t="e">
        <v>#N/A</v>
      </c>
      <c r="D71" s="15" t="s">
        <v>80</v>
      </c>
      <c r="E71" s="16" t="s">
        <v>752</v>
      </c>
      <c r="F71" s="32" t="s">
        <v>753</v>
      </c>
      <c r="G71" s="17" t="s">
        <v>754</v>
      </c>
      <c r="H71" s="18" t="s">
        <v>755</v>
      </c>
      <c r="I71" s="16" t="s">
        <v>756</v>
      </c>
      <c r="J71" s="16" t="s">
        <v>86</v>
      </c>
      <c r="K71" s="16" t="s">
        <v>757</v>
      </c>
      <c r="L71" s="16">
        <v>61335057</v>
      </c>
      <c r="M71" s="16" t="s">
        <v>756</v>
      </c>
      <c r="N71" s="16">
        <v>28505010205981</v>
      </c>
      <c r="O71" s="16" t="s">
        <v>758</v>
      </c>
      <c r="P71" s="16" t="s">
        <v>759</v>
      </c>
      <c r="Q71" s="16" t="s">
        <v>44</v>
      </c>
      <c r="R71" s="16" t="s">
        <v>91</v>
      </c>
      <c r="S71" s="19" t="s">
        <v>752</v>
      </c>
      <c r="T71" s="20" t="s">
        <v>307</v>
      </c>
      <c r="U71" s="16" t="s">
        <v>10409</v>
      </c>
      <c r="V71" s="16">
        <v>100049809497</v>
      </c>
      <c r="W71" s="113" t="s">
        <v>761</v>
      </c>
      <c r="X71" s="18" t="s">
        <v>127</v>
      </c>
      <c r="Y71" s="18" t="s">
        <v>98</v>
      </c>
      <c r="Z71" s="18" t="s">
        <v>44</v>
      </c>
      <c r="AA71" s="16" t="s">
        <v>45</v>
      </c>
      <c r="AB71" s="16" t="s">
        <v>577</v>
      </c>
      <c r="AC71" s="16" t="s">
        <v>47</v>
      </c>
      <c r="AD71" s="123" t="str">
        <f t="shared" si="1"/>
        <v>External Transfer-Other banks</v>
      </c>
      <c r="AE71" s="123" t="str">
        <f>VLOOKUP(Table1[[#This Row],[Name of bank]],'اكواد البنوك'!$A$2:$B$34,2,0)</f>
        <v>CIBEEGCXXXX</v>
      </c>
      <c r="AF71" s="21" t="s">
        <v>5248</v>
      </c>
      <c r="AG71" s="15" t="s">
        <v>167</v>
      </c>
    </row>
    <row r="72" spans="1:33">
      <c r="A72" s="14">
        <v>71</v>
      </c>
      <c r="B72" s="14">
        <v>108</v>
      </c>
      <c r="C72" s="14" t="e">
        <v>#N/A</v>
      </c>
      <c r="D72" s="15" t="s">
        <v>80</v>
      </c>
      <c r="E72" s="16" t="s">
        <v>762</v>
      </c>
      <c r="F72" s="32" t="s">
        <v>763</v>
      </c>
      <c r="G72" s="17" t="s">
        <v>764</v>
      </c>
      <c r="H72" s="18" t="s">
        <v>765</v>
      </c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9" t="s">
        <v>762</v>
      </c>
      <c r="T72" s="20" t="s">
        <v>40</v>
      </c>
      <c r="U72" s="16"/>
      <c r="V72" s="16"/>
      <c r="W72" s="30" t="s">
        <v>766</v>
      </c>
      <c r="X72" s="18" t="s">
        <v>127</v>
      </c>
      <c r="Y72" s="18" t="s">
        <v>98</v>
      </c>
      <c r="Z72" s="18" t="s">
        <v>44</v>
      </c>
      <c r="AA72" s="16" t="s">
        <v>45</v>
      </c>
      <c r="AB72" s="16" t="s">
        <v>577</v>
      </c>
      <c r="AC72" s="16" t="s">
        <v>47</v>
      </c>
      <c r="AD72" s="123" t="str">
        <f t="shared" si="1"/>
        <v>External Transfer-NBE</v>
      </c>
      <c r="AE72" s="123" t="str">
        <f>VLOOKUP(Table1[[#This Row],[Name of bank]],'اكواد البنوك'!$A$2:$B$34,2,0)</f>
        <v>NBEGEGCXXXX</v>
      </c>
      <c r="AF72" s="21" t="s">
        <v>193</v>
      </c>
      <c r="AG72" s="15" t="s">
        <v>49</v>
      </c>
    </row>
    <row r="73" spans="1:33">
      <c r="A73" s="14">
        <v>72</v>
      </c>
      <c r="B73" s="14">
        <v>108</v>
      </c>
      <c r="C73" s="14" t="e">
        <v>#N/A</v>
      </c>
      <c r="D73" s="15" t="s">
        <v>80</v>
      </c>
      <c r="E73" s="16" t="s">
        <v>767</v>
      </c>
      <c r="F73" s="32" t="s">
        <v>10202</v>
      </c>
      <c r="G73" s="17" t="s">
        <v>768</v>
      </c>
      <c r="H73" s="18" t="s">
        <v>769</v>
      </c>
      <c r="I73" s="16" t="s">
        <v>770</v>
      </c>
      <c r="J73" s="16" t="s">
        <v>173</v>
      </c>
      <c r="K73" s="16" t="s">
        <v>148</v>
      </c>
      <c r="L73" s="16">
        <v>47058773</v>
      </c>
      <c r="M73" s="16" t="s">
        <v>427</v>
      </c>
      <c r="N73" s="16">
        <v>28309030201902</v>
      </c>
      <c r="O73" s="16" t="s">
        <v>771</v>
      </c>
      <c r="P73" s="16" t="s">
        <v>772</v>
      </c>
      <c r="Q73" s="16" t="s">
        <v>44</v>
      </c>
      <c r="R73" s="16" t="s">
        <v>91</v>
      </c>
      <c r="S73" s="19" t="s">
        <v>773</v>
      </c>
      <c r="T73" s="20" t="s">
        <v>40</v>
      </c>
      <c r="U73" s="16" t="s">
        <v>774</v>
      </c>
      <c r="V73" s="16" t="s">
        <v>775</v>
      </c>
      <c r="W73" s="30" t="s">
        <v>776</v>
      </c>
      <c r="X73" s="18" t="s">
        <v>127</v>
      </c>
      <c r="Y73" s="18" t="s">
        <v>98</v>
      </c>
      <c r="Z73" s="18" t="s">
        <v>44</v>
      </c>
      <c r="AA73" s="16" t="s">
        <v>45</v>
      </c>
      <c r="AB73" s="16" t="s">
        <v>577</v>
      </c>
      <c r="AC73" s="16" t="s">
        <v>47</v>
      </c>
      <c r="AD73" s="123" t="str">
        <f t="shared" si="1"/>
        <v>External Transfer-NBE</v>
      </c>
      <c r="AE73" s="123" t="str">
        <f>VLOOKUP(Table1[[#This Row],[Name of bank]],'اكواد البنوك'!$A$2:$B$34,2,0)</f>
        <v>NBEGEGCXXXX</v>
      </c>
      <c r="AF73" s="21" t="s">
        <v>777</v>
      </c>
      <c r="AG73" s="15" t="s">
        <v>49</v>
      </c>
    </row>
    <row r="74" spans="1:33">
      <c r="A74" s="14">
        <v>73</v>
      </c>
      <c r="B74" s="14">
        <v>116</v>
      </c>
      <c r="C74" s="14" t="e">
        <v>#N/A</v>
      </c>
      <c r="D74" s="15" t="s">
        <v>80</v>
      </c>
      <c r="E74" s="16" t="s">
        <v>778</v>
      </c>
      <c r="F74" s="32" t="s">
        <v>779</v>
      </c>
      <c r="G74" s="17" t="s">
        <v>780</v>
      </c>
      <c r="H74" s="18" t="s">
        <v>781</v>
      </c>
      <c r="I74" s="16" t="s">
        <v>782</v>
      </c>
      <c r="J74" s="16" t="s">
        <v>86</v>
      </c>
      <c r="K74" s="16" t="s">
        <v>783</v>
      </c>
      <c r="L74" s="16">
        <v>52032612</v>
      </c>
      <c r="M74" s="16">
        <v>584526369</v>
      </c>
      <c r="N74" s="16" t="s">
        <v>784</v>
      </c>
      <c r="O74" s="16" t="s">
        <v>785</v>
      </c>
      <c r="P74" s="16" t="s">
        <v>786</v>
      </c>
      <c r="Q74" s="16" t="s">
        <v>44</v>
      </c>
      <c r="R74" s="16" t="s">
        <v>91</v>
      </c>
      <c r="S74" s="19" t="s">
        <v>778</v>
      </c>
      <c r="T74" s="20" t="s">
        <v>93</v>
      </c>
      <c r="U74" s="16" t="s">
        <v>787</v>
      </c>
      <c r="V74" s="16" t="s">
        <v>788</v>
      </c>
      <c r="W74" s="30" t="s">
        <v>789</v>
      </c>
      <c r="X74" s="18" t="s">
        <v>127</v>
      </c>
      <c r="Y74" s="18" t="s">
        <v>98</v>
      </c>
      <c r="Z74" s="18" t="s">
        <v>44</v>
      </c>
      <c r="AA74" s="16" t="s">
        <v>45</v>
      </c>
      <c r="AB74" s="16" t="s">
        <v>577</v>
      </c>
      <c r="AC74" s="16" t="s">
        <v>47</v>
      </c>
      <c r="AD74" s="123" t="str">
        <f t="shared" si="1"/>
        <v>External Transfer-Other banks</v>
      </c>
      <c r="AE74" s="123" t="str">
        <f>VLOOKUP(Table1[[#This Row],[Name of bank]],'اكواد البنوك'!$A$2:$B$34,2,0)</f>
        <v>QNBAEGCXXXX</v>
      </c>
      <c r="AF74" s="21" t="s">
        <v>698</v>
      </c>
      <c r="AG74" s="15" t="s">
        <v>49</v>
      </c>
    </row>
    <row r="75" spans="1:33">
      <c r="A75" s="14">
        <v>74</v>
      </c>
      <c r="B75" s="14">
        <v>116</v>
      </c>
      <c r="C75" s="14" t="e">
        <v>#N/A</v>
      </c>
      <c r="D75" s="15" t="s">
        <v>80</v>
      </c>
      <c r="E75" s="16" t="s">
        <v>790</v>
      </c>
      <c r="F75" s="32" t="s">
        <v>791</v>
      </c>
      <c r="G75" s="17" t="s">
        <v>792</v>
      </c>
      <c r="H75" s="18">
        <v>201121612187</v>
      </c>
      <c r="I75" s="16" t="s">
        <v>793</v>
      </c>
      <c r="J75" s="16" t="s">
        <v>86</v>
      </c>
      <c r="K75" s="16" t="s">
        <v>794</v>
      </c>
      <c r="L75" s="16">
        <v>86941444</v>
      </c>
      <c r="M75" s="16" t="s">
        <v>136</v>
      </c>
      <c r="N75" s="16">
        <v>28404250200926</v>
      </c>
      <c r="O75" s="16" t="s">
        <v>795</v>
      </c>
      <c r="P75" s="16" t="s">
        <v>796</v>
      </c>
      <c r="Q75" s="16" t="s">
        <v>44</v>
      </c>
      <c r="R75" s="16" t="s">
        <v>91</v>
      </c>
      <c r="S75" s="19" t="s">
        <v>797</v>
      </c>
      <c r="T75" s="20" t="s">
        <v>40</v>
      </c>
      <c r="U75" s="16" t="s">
        <v>798</v>
      </c>
      <c r="V75" s="16">
        <v>2.6550015706617001E+18</v>
      </c>
      <c r="W75" s="30" t="s">
        <v>799</v>
      </c>
      <c r="X75" s="18" t="s">
        <v>542</v>
      </c>
      <c r="Y75" s="18" t="s">
        <v>98</v>
      </c>
      <c r="Z75" s="18" t="s">
        <v>44</v>
      </c>
      <c r="AA75" s="16" t="s">
        <v>45</v>
      </c>
      <c r="AB75" s="16" t="s">
        <v>577</v>
      </c>
      <c r="AC75" s="16" t="s">
        <v>47</v>
      </c>
      <c r="AD75" s="123" t="str">
        <f t="shared" si="1"/>
        <v>External Transfer-NBE</v>
      </c>
      <c r="AE75" s="123" t="str">
        <f>VLOOKUP(Table1[[#This Row],[Name of bank]],'اكواد البنوك'!$A$2:$B$34,2,0)</f>
        <v>NBEGEGCXXXX</v>
      </c>
      <c r="AF75" s="21" t="s">
        <v>10370</v>
      </c>
      <c r="AG75" s="15" t="s">
        <v>167</v>
      </c>
    </row>
    <row r="76" spans="1:33">
      <c r="A76" s="14">
        <v>75</v>
      </c>
      <c r="B76" s="14">
        <v>116</v>
      </c>
      <c r="C76" s="14" t="e">
        <v>#N/A</v>
      </c>
      <c r="D76" s="15" t="s">
        <v>80</v>
      </c>
      <c r="E76" s="16" t="s">
        <v>800</v>
      </c>
      <c r="F76" s="32" t="s">
        <v>801</v>
      </c>
      <c r="G76" s="17" t="s">
        <v>802</v>
      </c>
      <c r="H76" s="18" t="s">
        <v>803</v>
      </c>
      <c r="I76" s="16" t="s">
        <v>804</v>
      </c>
      <c r="J76" s="16" t="s">
        <v>805</v>
      </c>
      <c r="K76" s="16">
        <v>55614814</v>
      </c>
      <c r="L76" s="16" t="s">
        <v>136</v>
      </c>
      <c r="M76" s="16"/>
      <c r="N76" s="16">
        <v>27910070200404</v>
      </c>
      <c r="O76" s="16" t="s">
        <v>806</v>
      </c>
      <c r="P76" s="16" t="s">
        <v>807</v>
      </c>
      <c r="Q76" s="16" t="s">
        <v>44</v>
      </c>
      <c r="R76" s="16" t="s">
        <v>91</v>
      </c>
      <c r="S76" s="19" t="s">
        <v>801</v>
      </c>
      <c r="T76" s="20" t="s">
        <v>40</v>
      </c>
      <c r="U76" s="16" t="s">
        <v>808</v>
      </c>
      <c r="V76" s="16" t="s">
        <v>809</v>
      </c>
      <c r="W76" s="30" t="s">
        <v>810</v>
      </c>
      <c r="X76" s="18" t="s">
        <v>127</v>
      </c>
      <c r="Y76" s="18" t="s">
        <v>98</v>
      </c>
      <c r="Z76" s="18" t="s">
        <v>44</v>
      </c>
      <c r="AA76" s="16" t="s">
        <v>45</v>
      </c>
      <c r="AB76" s="16" t="s">
        <v>577</v>
      </c>
      <c r="AC76" s="16" t="s">
        <v>47</v>
      </c>
      <c r="AD76" s="123" t="str">
        <f t="shared" si="1"/>
        <v>External Transfer-NBE</v>
      </c>
      <c r="AE76" s="123" t="str">
        <f>VLOOKUP(Table1[[#This Row],[Name of bank]],'اكواد البنوك'!$A$2:$B$34,2,0)</f>
        <v>NBEGEGCXXXX</v>
      </c>
      <c r="AF76" s="21" t="s">
        <v>10210</v>
      </c>
      <c r="AG76" s="15" t="s">
        <v>167</v>
      </c>
    </row>
    <row r="77" spans="1:33">
      <c r="A77" s="14">
        <v>76</v>
      </c>
      <c r="B77" s="14" t="s">
        <v>811</v>
      </c>
      <c r="C77" s="14" t="s">
        <v>312</v>
      </c>
      <c r="D77" s="15" t="s">
        <v>34</v>
      </c>
      <c r="E77" s="16" t="s">
        <v>812</v>
      </c>
      <c r="F77" s="32" t="s">
        <v>813</v>
      </c>
      <c r="G77" s="17" t="s">
        <v>814</v>
      </c>
      <c r="H77" s="18" t="s">
        <v>815</v>
      </c>
      <c r="I77" s="16" t="s">
        <v>34</v>
      </c>
      <c r="J77" s="16"/>
      <c r="K77" s="16"/>
      <c r="L77" s="16" t="s">
        <v>595</v>
      </c>
      <c r="M77" s="16"/>
      <c r="N77" s="16" t="s">
        <v>816</v>
      </c>
      <c r="O77" s="16"/>
      <c r="P77" s="16"/>
      <c r="Q77" s="16"/>
      <c r="R77" s="16"/>
      <c r="S77" s="19"/>
      <c r="T77" s="20" t="s">
        <v>40</v>
      </c>
      <c r="U77" s="16"/>
      <c r="V77" s="16"/>
      <c r="W77" s="30">
        <v>78</v>
      </c>
      <c r="X77" s="18" t="s">
        <v>78</v>
      </c>
      <c r="Y77" s="18" t="s">
        <v>43</v>
      </c>
      <c r="Z77" s="18" t="s">
        <v>44</v>
      </c>
      <c r="AA77" s="16" t="s">
        <v>45</v>
      </c>
      <c r="AB77" s="16" t="s">
        <v>577</v>
      </c>
      <c r="AC77" s="16" t="s">
        <v>47</v>
      </c>
      <c r="AD77" s="123" t="str">
        <f t="shared" si="1"/>
        <v>Internal Transfer</v>
      </c>
      <c r="AE77" s="123" t="str">
        <f>VLOOKUP(Table1[[#This Row],[Name of bank]],'اكواد البنوك'!$A$2:$B$34,2,0)</f>
        <v>NBEGEGCXXXX</v>
      </c>
      <c r="AF77" s="21" t="s">
        <v>817</v>
      </c>
      <c r="AG77" s="15" t="s">
        <v>49</v>
      </c>
    </row>
    <row r="78" spans="1:33">
      <c r="A78" s="14">
        <v>77</v>
      </c>
      <c r="B78" s="14" t="s">
        <v>811</v>
      </c>
      <c r="C78" s="14">
        <v>204</v>
      </c>
      <c r="D78" s="15" t="s">
        <v>80</v>
      </c>
      <c r="E78" s="16" t="s">
        <v>818</v>
      </c>
      <c r="F78" s="32" t="s">
        <v>819</v>
      </c>
      <c r="G78" s="17" t="s">
        <v>820</v>
      </c>
      <c r="H78" s="18" t="s">
        <v>821</v>
      </c>
      <c r="I78" s="16" t="s">
        <v>134</v>
      </c>
      <c r="J78" s="16" t="s">
        <v>86</v>
      </c>
      <c r="K78" s="16" t="s">
        <v>822</v>
      </c>
      <c r="L78" s="16">
        <v>61718987</v>
      </c>
      <c r="M78" s="16" t="s">
        <v>136</v>
      </c>
      <c r="N78" s="16" t="s">
        <v>823</v>
      </c>
      <c r="O78" s="16" t="s">
        <v>824</v>
      </c>
      <c r="P78" s="16" t="s">
        <v>825</v>
      </c>
      <c r="Q78" s="16" t="s">
        <v>44</v>
      </c>
      <c r="R78" s="16" t="s">
        <v>91</v>
      </c>
      <c r="S78" s="19" t="s">
        <v>826</v>
      </c>
      <c r="T78" s="20" t="s">
        <v>40</v>
      </c>
      <c r="U78" s="16" t="s">
        <v>827</v>
      </c>
      <c r="V78" s="16" t="s">
        <v>828</v>
      </c>
      <c r="W78" s="30" t="s">
        <v>829</v>
      </c>
      <c r="X78" s="18" t="s">
        <v>97</v>
      </c>
      <c r="Y78" s="18" t="s">
        <v>98</v>
      </c>
      <c r="Z78" s="18" t="s">
        <v>44</v>
      </c>
      <c r="AA78" s="16" t="s">
        <v>45</v>
      </c>
      <c r="AB78" s="16" t="s">
        <v>577</v>
      </c>
      <c r="AC78" s="16" t="s">
        <v>47</v>
      </c>
      <c r="AD78" s="123" t="str">
        <f t="shared" si="1"/>
        <v>External Transfer-NBE</v>
      </c>
      <c r="AE78" s="123" t="str">
        <f>VLOOKUP(Table1[[#This Row],[Name of bank]],'اكواد البنوك'!$A$2:$B$34,2,0)</f>
        <v>NBEGEGCXXXX</v>
      </c>
      <c r="AF78" s="21" t="s">
        <v>711</v>
      </c>
      <c r="AG78" s="15" t="s">
        <v>49</v>
      </c>
    </row>
    <row r="79" spans="1:33">
      <c r="A79" s="14">
        <v>78</v>
      </c>
      <c r="B79" s="14" t="s">
        <v>811</v>
      </c>
      <c r="C79" s="14" t="s">
        <v>312</v>
      </c>
      <c r="D79" s="15" t="s">
        <v>34</v>
      </c>
      <c r="E79" s="16" t="s">
        <v>830</v>
      </c>
      <c r="F79" s="32" t="s">
        <v>831</v>
      </c>
      <c r="G79" s="17" t="s">
        <v>832</v>
      </c>
      <c r="H79" s="18" t="s">
        <v>833</v>
      </c>
      <c r="I79" s="16" t="s">
        <v>34</v>
      </c>
      <c r="J79" s="16"/>
      <c r="K79" s="16"/>
      <c r="L79" s="16"/>
      <c r="M79" s="16"/>
      <c r="N79" s="16" t="s">
        <v>834</v>
      </c>
      <c r="O79" s="16"/>
      <c r="P79" s="16"/>
      <c r="Q79" s="16"/>
      <c r="R79" s="16"/>
      <c r="S79" s="19"/>
      <c r="T79" s="20" t="s">
        <v>40</v>
      </c>
      <c r="U79" s="16"/>
      <c r="V79" s="16"/>
      <c r="W79" s="30">
        <v>119</v>
      </c>
      <c r="X79" s="18" t="s">
        <v>78</v>
      </c>
      <c r="Y79" s="18" t="s">
        <v>43</v>
      </c>
      <c r="Z79" s="18" t="s">
        <v>44</v>
      </c>
      <c r="AA79" s="16" t="s">
        <v>45</v>
      </c>
      <c r="AB79" s="16" t="s">
        <v>577</v>
      </c>
      <c r="AC79" s="16" t="s">
        <v>47</v>
      </c>
      <c r="AD79" s="123" t="str">
        <f t="shared" si="1"/>
        <v>Internal Transfer</v>
      </c>
      <c r="AE79" s="123" t="str">
        <f>VLOOKUP(Table1[[#This Row],[Name of bank]],'اكواد البنوك'!$A$2:$B$34,2,0)</f>
        <v>NBEGEGCXXXX</v>
      </c>
      <c r="AF79" s="21" t="s">
        <v>835</v>
      </c>
      <c r="AG79" s="15" t="s">
        <v>49</v>
      </c>
    </row>
    <row r="80" spans="1:33">
      <c r="A80" s="14">
        <v>79</v>
      </c>
      <c r="B80" s="14" t="s">
        <v>811</v>
      </c>
      <c r="C80" s="14" t="s">
        <v>811</v>
      </c>
      <c r="D80" s="15" t="s">
        <v>80</v>
      </c>
      <c r="E80" s="16" t="s">
        <v>836</v>
      </c>
      <c r="F80" s="32" t="s">
        <v>837</v>
      </c>
      <c r="G80" s="17" t="s">
        <v>838</v>
      </c>
      <c r="H80" s="18" t="s">
        <v>839</v>
      </c>
      <c r="I80" s="16" t="s">
        <v>840</v>
      </c>
      <c r="J80" s="16" t="s">
        <v>86</v>
      </c>
      <c r="K80" s="16" t="s">
        <v>269</v>
      </c>
      <c r="L80" s="16">
        <v>66975307</v>
      </c>
      <c r="M80" s="16" t="s">
        <v>136</v>
      </c>
      <c r="N80" s="16" t="s">
        <v>841</v>
      </c>
      <c r="O80" s="16" t="s">
        <v>842</v>
      </c>
      <c r="P80" s="16" t="s">
        <v>843</v>
      </c>
      <c r="Q80" s="16" t="s">
        <v>44</v>
      </c>
      <c r="R80" s="16" t="s">
        <v>91</v>
      </c>
      <c r="S80" s="19" t="s">
        <v>844</v>
      </c>
      <c r="T80" s="20" t="s">
        <v>307</v>
      </c>
      <c r="U80" s="16" t="s">
        <v>845</v>
      </c>
      <c r="V80" s="16" t="s">
        <v>846</v>
      </c>
      <c r="W80" s="30" t="s">
        <v>847</v>
      </c>
      <c r="X80" s="18" t="s">
        <v>97</v>
      </c>
      <c r="Y80" s="18" t="s">
        <v>98</v>
      </c>
      <c r="Z80" s="18" t="s">
        <v>44</v>
      </c>
      <c r="AA80" s="16" t="s">
        <v>45</v>
      </c>
      <c r="AB80" s="16" t="s">
        <v>577</v>
      </c>
      <c r="AC80" s="16" t="s">
        <v>47</v>
      </c>
      <c r="AD80" s="123" t="str">
        <f t="shared" si="1"/>
        <v>External Transfer-Other banks</v>
      </c>
      <c r="AE80" s="123" t="str">
        <f>VLOOKUP(Table1[[#This Row],[Name of bank]],'اكواد البنوك'!$A$2:$B$34,2,0)</f>
        <v>CIBEEGCXXXX</v>
      </c>
      <c r="AF80" s="21" t="s">
        <v>311</v>
      </c>
      <c r="AG80" s="15" t="s">
        <v>49</v>
      </c>
    </row>
    <row r="81" spans="1:33">
      <c r="A81" s="14">
        <v>80</v>
      </c>
      <c r="B81" s="14">
        <v>202</v>
      </c>
      <c r="C81" s="14">
        <v>205</v>
      </c>
      <c r="D81" s="15" t="s">
        <v>80</v>
      </c>
      <c r="E81" s="16" t="s">
        <v>848</v>
      </c>
      <c r="F81" s="32" t="s">
        <v>849</v>
      </c>
      <c r="G81" s="17" t="s">
        <v>850</v>
      </c>
      <c r="H81" s="18" t="s">
        <v>851</v>
      </c>
      <c r="I81" s="16" t="s">
        <v>495</v>
      </c>
      <c r="J81" s="16" t="s">
        <v>86</v>
      </c>
      <c r="K81" s="16" t="s">
        <v>496</v>
      </c>
      <c r="L81" s="16">
        <v>49325371</v>
      </c>
      <c r="M81" s="16" t="s">
        <v>852</v>
      </c>
      <c r="N81" s="16">
        <v>29505140201824</v>
      </c>
      <c r="O81" s="16" t="s">
        <v>853</v>
      </c>
      <c r="P81" s="16" t="s">
        <v>854</v>
      </c>
      <c r="Q81" s="16" t="s">
        <v>44</v>
      </c>
      <c r="R81" s="16" t="s">
        <v>91</v>
      </c>
      <c r="S81" s="19" t="s">
        <v>855</v>
      </c>
      <c r="T81" s="20" t="s">
        <v>176</v>
      </c>
      <c r="U81" s="16" t="s">
        <v>856</v>
      </c>
      <c r="V81" s="16" t="s">
        <v>857</v>
      </c>
      <c r="W81" s="30" t="s">
        <v>858</v>
      </c>
      <c r="X81" s="18" t="s">
        <v>542</v>
      </c>
      <c r="Y81" s="18" t="s">
        <v>98</v>
      </c>
      <c r="Z81" s="18" t="s">
        <v>44</v>
      </c>
      <c r="AA81" s="16" t="s">
        <v>45</v>
      </c>
      <c r="AB81" s="16" t="s">
        <v>577</v>
      </c>
      <c r="AC81" s="16" t="s">
        <v>47</v>
      </c>
      <c r="AD81" s="123" t="str">
        <f t="shared" si="1"/>
        <v>External Transfer-Other banks</v>
      </c>
      <c r="AE81" s="123" t="str">
        <f>VLOOKUP(Table1[[#This Row],[Name of bank]],'اكواد البنوك'!$A$2:$B$34,2,0)</f>
        <v>BMISEGCXXXX</v>
      </c>
      <c r="AF81" s="21" t="s">
        <v>859</v>
      </c>
      <c r="AG81" s="15" t="s">
        <v>49</v>
      </c>
    </row>
    <row r="82" spans="1:33">
      <c r="A82" s="14">
        <v>81</v>
      </c>
      <c r="B82" s="14">
        <v>202</v>
      </c>
      <c r="C82" s="14">
        <v>219</v>
      </c>
      <c r="D82" s="15" t="s">
        <v>80</v>
      </c>
      <c r="E82" s="16" t="s">
        <v>860</v>
      </c>
      <c r="F82" s="32" t="s">
        <v>861</v>
      </c>
      <c r="G82" s="17" t="s">
        <v>862</v>
      </c>
      <c r="H82" s="18" t="s">
        <v>863</v>
      </c>
      <c r="I82" s="16" t="s">
        <v>864</v>
      </c>
      <c r="J82" s="16" t="s">
        <v>86</v>
      </c>
      <c r="K82" s="16" t="s">
        <v>865</v>
      </c>
      <c r="L82" s="16">
        <v>61079528</v>
      </c>
      <c r="M82" s="16" t="s">
        <v>866</v>
      </c>
      <c r="N82" s="16" t="s">
        <v>867</v>
      </c>
      <c r="O82" s="16" t="s">
        <v>868</v>
      </c>
      <c r="P82" s="16" t="s">
        <v>869</v>
      </c>
      <c r="Q82" s="16" t="s">
        <v>44</v>
      </c>
      <c r="R82" s="16" t="s">
        <v>91</v>
      </c>
      <c r="S82" s="19" t="s">
        <v>870</v>
      </c>
      <c r="T82" s="20" t="s">
        <v>93</v>
      </c>
      <c r="U82" s="16" t="s">
        <v>871</v>
      </c>
      <c r="V82" s="16" t="s">
        <v>872</v>
      </c>
      <c r="W82" s="30" t="s">
        <v>873</v>
      </c>
      <c r="X82" s="18" t="s">
        <v>542</v>
      </c>
      <c r="Y82" s="18" t="s">
        <v>98</v>
      </c>
      <c r="Z82" s="18" t="s">
        <v>44</v>
      </c>
      <c r="AA82" s="16" t="s">
        <v>45</v>
      </c>
      <c r="AB82" s="16" t="s">
        <v>577</v>
      </c>
      <c r="AC82" s="16" t="s">
        <v>47</v>
      </c>
      <c r="AD82" s="123" t="str">
        <f t="shared" si="1"/>
        <v>External Transfer-Other banks</v>
      </c>
      <c r="AE82" s="123" t="str">
        <f>VLOOKUP(Table1[[#This Row],[Name of bank]],'اكواد البنوك'!$A$2:$B$34,2,0)</f>
        <v>QNBAEGCXXXX</v>
      </c>
      <c r="AF82" s="21" t="s">
        <v>874</v>
      </c>
      <c r="AG82" s="15" t="s">
        <v>49</v>
      </c>
    </row>
    <row r="83" spans="1:33">
      <c r="A83" s="14">
        <v>82</v>
      </c>
      <c r="B83" s="14">
        <v>202</v>
      </c>
      <c r="C83" s="14">
        <v>304</v>
      </c>
      <c r="D83" s="15" t="s">
        <v>80</v>
      </c>
      <c r="E83" s="16" t="s">
        <v>875</v>
      </c>
      <c r="F83" s="32" t="s">
        <v>876</v>
      </c>
      <c r="G83" s="17" t="s">
        <v>877</v>
      </c>
      <c r="H83" s="18" t="s">
        <v>878</v>
      </c>
      <c r="I83" s="16" t="s">
        <v>879</v>
      </c>
      <c r="J83" s="16" t="s">
        <v>86</v>
      </c>
      <c r="K83" s="16" t="s">
        <v>880</v>
      </c>
      <c r="L83" s="16">
        <v>58319770</v>
      </c>
      <c r="M83" s="16">
        <v>213301792</v>
      </c>
      <c r="N83" s="16" t="s">
        <v>881</v>
      </c>
      <c r="O83" s="16" t="s">
        <v>882</v>
      </c>
      <c r="P83" s="16" t="s">
        <v>883</v>
      </c>
      <c r="Q83" s="16" t="s">
        <v>44</v>
      </c>
      <c r="R83" s="16" t="s">
        <v>91</v>
      </c>
      <c r="S83" s="19" t="s">
        <v>875</v>
      </c>
      <c r="T83" s="20" t="s">
        <v>176</v>
      </c>
      <c r="U83" s="16" t="s">
        <v>884</v>
      </c>
      <c r="V83" s="16" t="s">
        <v>885</v>
      </c>
      <c r="W83" s="30" t="s">
        <v>886</v>
      </c>
      <c r="X83" s="18" t="s">
        <v>542</v>
      </c>
      <c r="Y83" s="18" t="s">
        <v>98</v>
      </c>
      <c r="Z83" s="18" t="s">
        <v>44</v>
      </c>
      <c r="AA83" s="16" t="s">
        <v>45</v>
      </c>
      <c r="AB83" s="16" t="s">
        <v>577</v>
      </c>
      <c r="AC83" s="16" t="s">
        <v>47</v>
      </c>
      <c r="AD83" s="123" t="str">
        <f t="shared" si="1"/>
        <v>External Transfer-Other banks</v>
      </c>
      <c r="AE83" s="123" t="str">
        <f>VLOOKUP(Table1[[#This Row],[Name of bank]],'اكواد البنوك'!$A$2:$B$34,2,0)</f>
        <v>BMISEGCXXXX</v>
      </c>
      <c r="AF83" s="21" t="s">
        <v>887</v>
      </c>
      <c r="AG83" s="15" t="s">
        <v>49</v>
      </c>
    </row>
    <row r="84" spans="1:33">
      <c r="A84" s="14">
        <v>83</v>
      </c>
      <c r="B84" s="14">
        <v>204</v>
      </c>
      <c r="C84" s="14">
        <v>305</v>
      </c>
      <c r="D84" s="15" t="s">
        <v>80</v>
      </c>
      <c r="E84" s="16" t="s">
        <v>888</v>
      </c>
      <c r="F84" s="32" t="s">
        <v>889</v>
      </c>
      <c r="G84" s="17" t="s">
        <v>890</v>
      </c>
      <c r="H84" s="18" t="s">
        <v>891</v>
      </c>
      <c r="I84" s="16" t="s">
        <v>892</v>
      </c>
      <c r="J84" s="16" t="s">
        <v>86</v>
      </c>
      <c r="K84" s="16" t="s">
        <v>106</v>
      </c>
      <c r="L84" s="16" t="s">
        <v>234</v>
      </c>
      <c r="M84" s="16" t="s">
        <v>234</v>
      </c>
      <c r="N84" s="16">
        <v>28002210200663</v>
      </c>
      <c r="O84" s="16" t="s">
        <v>893</v>
      </c>
      <c r="P84" s="16" t="s">
        <v>894</v>
      </c>
      <c r="Q84" s="16" t="s">
        <v>44</v>
      </c>
      <c r="R84" s="16" t="s">
        <v>91</v>
      </c>
      <c r="S84" s="19" t="s">
        <v>895</v>
      </c>
      <c r="T84" s="20" t="s">
        <v>307</v>
      </c>
      <c r="U84" s="16" t="s">
        <v>896</v>
      </c>
      <c r="V84" s="16" t="s">
        <v>897</v>
      </c>
      <c r="W84" s="30" t="s">
        <v>898</v>
      </c>
      <c r="X84" s="18" t="s">
        <v>542</v>
      </c>
      <c r="Y84" s="18" t="s">
        <v>98</v>
      </c>
      <c r="Z84" s="18" t="s">
        <v>44</v>
      </c>
      <c r="AA84" s="16" t="s">
        <v>45</v>
      </c>
      <c r="AB84" s="16" t="s">
        <v>577</v>
      </c>
      <c r="AC84" s="16" t="s">
        <v>47</v>
      </c>
      <c r="AD84" s="123" t="str">
        <f t="shared" si="1"/>
        <v>External Transfer-Other banks</v>
      </c>
      <c r="AE84" s="123" t="str">
        <f>VLOOKUP(Table1[[#This Row],[Name of bank]],'اكواد البنوك'!$A$2:$B$34,2,0)</f>
        <v>CIBEEGCXXXX</v>
      </c>
      <c r="AF84" s="21" t="s">
        <v>311</v>
      </c>
      <c r="AG84" s="15" t="s">
        <v>49</v>
      </c>
    </row>
    <row r="85" spans="1:33">
      <c r="A85" s="14">
        <v>84</v>
      </c>
      <c r="B85" s="14">
        <v>204</v>
      </c>
      <c r="C85" s="14">
        <v>319</v>
      </c>
      <c r="D85" s="15" t="s">
        <v>80</v>
      </c>
      <c r="E85" s="16" t="s">
        <v>899</v>
      </c>
      <c r="F85" s="32" t="s">
        <v>900</v>
      </c>
      <c r="G85" s="17" t="s">
        <v>901</v>
      </c>
      <c r="H85" s="18" t="s">
        <v>902</v>
      </c>
      <c r="I85" s="16" t="s">
        <v>903</v>
      </c>
      <c r="J85" s="16" t="s">
        <v>904</v>
      </c>
      <c r="K85" s="16" t="s">
        <v>136</v>
      </c>
      <c r="L85" s="16" t="s">
        <v>136</v>
      </c>
      <c r="M85" s="16"/>
      <c r="N85" s="16">
        <v>29106040200641</v>
      </c>
      <c r="O85" s="16" t="s">
        <v>905</v>
      </c>
      <c r="P85" s="16" t="s">
        <v>906</v>
      </c>
      <c r="Q85" s="16" t="s">
        <v>44</v>
      </c>
      <c r="R85" s="16" t="s">
        <v>91</v>
      </c>
      <c r="S85" s="19" t="s">
        <v>907</v>
      </c>
      <c r="T85" s="20" t="s">
        <v>908</v>
      </c>
      <c r="U85" s="16" t="s">
        <v>909</v>
      </c>
      <c r="V85" s="16" t="s">
        <v>910</v>
      </c>
      <c r="W85" s="30" t="s">
        <v>911</v>
      </c>
      <c r="X85" s="18" t="s">
        <v>542</v>
      </c>
      <c r="Y85" s="18" t="s">
        <v>98</v>
      </c>
      <c r="Z85" s="18" t="s">
        <v>44</v>
      </c>
      <c r="AA85" s="16" t="s">
        <v>45</v>
      </c>
      <c r="AB85" s="16" t="s">
        <v>577</v>
      </c>
      <c r="AC85" s="16" t="s">
        <v>47</v>
      </c>
      <c r="AD85" s="123" t="str">
        <f t="shared" si="1"/>
        <v>External Transfer-Other banks</v>
      </c>
      <c r="AE85" s="123" t="str">
        <f>VLOOKUP(Table1[[#This Row],[Name of bank]],'اكواد البنوك'!$A$2:$B$34,2,0)</f>
        <v>ARAIEGCXXXX</v>
      </c>
      <c r="AF85" s="21" t="s">
        <v>3114</v>
      </c>
      <c r="AG85" s="15" t="s">
        <v>167</v>
      </c>
    </row>
    <row r="86" spans="1:33">
      <c r="A86" s="14">
        <v>85</v>
      </c>
      <c r="B86" s="14">
        <v>206</v>
      </c>
      <c r="C86" s="14">
        <v>504</v>
      </c>
      <c r="D86" s="15" t="s">
        <v>80</v>
      </c>
      <c r="E86" s="16" t="s">
        <v>912</v>
      </c>
      <c r="F86" s="32" t="s">
        <v>913</v>
      </c>
      <c r="G86" s="17" t="s">
        <v>914</v>
      </c>
      <c r="H86" s="18" t="s">
        <v>915</v>
      </c>
      <c r="I86" s="16" t="s">
        <v>916</v>
      </c>
      <c r="J86" s="16" t="s">
        <v>86</v>
      </c>
      <c r="K86" s="16" t="s">
        <v>269</v>
      </c>
      <c r="L86" s="16">
        <v>57816642</v>
      </c>
      <c r="M86" s="16" t="s">
        <v>136</v>
      </c>
      <c r="N86" s="16" t="s">
        <v>917</v>
      </c>
      <c r="O86" s="16" t="s">
        <v>918</v>
      </c>
      <c r="P86" s="16" t="s">
        <v>919</v>
      </c>
      <c r="Q86" s="16" t="s">
        <v>44</v>
      </c>
      <c r="R86" s="16" t="s">
        <v>91</v>
      </c>
      <c r="S86" s="19" t="s">
        <v>920</v>
      </c>
      <c r="T86" s="20" t="s">
        <v>40</v>
      </c>
      <c r="U86" s="16" t="s">
        <v>921</v>
      </c>
      <c r="V86" s="16" t="s">
        <v>922</v>
      </c>
      <c r="W86" s="30" t="s">
        <v>923</v>
      </c>
      <c r="X86" s="18" t="s">
        <v>542</v>
      </c>
      <c r="Y86" s="18" t="s">
        <v>98</v>
      </c>
      <c r="Z86" s="18" t="s">
        <v>44</v>
      </c>
      <c r="AA86" s="16" t="s">
        <v>45</v>
      </c>
      <c r="AB86" s="16" t="s">
        <v>577</v>
      </c>
      <c r="AC86" s="16" t="s">
        <v>47</v>
      </c>
      <c r="AD86" s="123" t="str">
        <f t="shared" si="1"/>
        <v>External Transfer-NBE</v>
      </c>
      <c r="AE86" s="123" t="str">
        <f>VLOOKUP(Table1[[#This Row],[Name of bank]],'اكواد البنوك'!$A$2:$B$34,2,0)</f>
        <v>NBEGEGCXXXX</v>
      </c>
      <c r="AF86" s="21" t="s">
        <v>711</v>
      </c>
      <c r="AG86" s="15" t="s">
        <v>49</v>
      </c>
    </row>
    <row r="87" spans="1:33">
      <c r="A87" s="14">
        <v>86</v>
      </c>
      <c r="B87" s="14">
        <v>206</v>
      </c>
      <c r="C87" s="14">
        <v>505</v>
      </c>
      <c r="D87" s="15" t="s">
        <v>80</v>
      </c>
      <c r="E87" s="16" t="s">
        <v>924</v>
      </c>
      <c r="F87" s="32" t="s">
        <v>10069</v>
      </c>
      <c r="G87" s="17" t="s">
        <v>925</v>
      </c>
      <c r="H87" s="18" t="s">
        <v>926</v>
      </c>
      <c r="I87" s="16" t="s">
        <v>927</v>
      </c>
      <c r="J87" s="16" t="s">
        <v>928</v>
      </c>
      <c r="K87" s="16">
        <v>67347730</v>
      </c>
      <c r="L87" s="16" t="s">
        <v>929</v>
      </c>
      <c r="M87" s="16"/>
      <c r="N87" s="16">
        <v>28407010202688</v>
      </c>
      <c r="O87" s="16" t="s">
        <v>930</v>
      </c>
      <c r="P87" s="16" t="s">
        <v>931</v>
      </c>
      <c r="Q87" s="16" t="s">
        <v>44</v>
      </c>
      <c r="R87" s="16" t="s">
        <v>91</v>
      </c>
      <c r="S87" s="19" t="s">
        <v>932</v>
      </c>
      <c r="T87" s="20" t="s">
        <v>40</v>
      </c>
      <c r="U87" s="16" t="s">
        <v>933</v>
      </c>
      <c r="V87" s="16" t="s">
        <v>934</v>
      </c>
      <c r="W87" s="30" t="s">
        <v>935</v>
      </c>
      <c r="X87" s="18" t="s">
        <v>542</v>
      </c>
      <c r="Y87" s="18" t="s">
        <v>98</v>
      </c>
      <c r="Z87" s="18" t="s">
        <v>44</v>
      </c>
      <c r="AA87" s="16" t="s">
        <v>45</v>
      </c>
      <c r="AB87" s="16" t="s">
        <v>577</v>
      </c>
      <c r="AC87" s="16" t="s">
        <v>47</v>
      </c>
      <c r="AD87" s="123" t="str">
        <f t="shared" si="1"/>
        <v>External Transfer-NBE</v>
      </c>
      <c r="AE87" s="123" t="str">
        <f>VLOOKUP(Table1[[#This Row],[Name of bank]],'اكواد البنوك'!$A$2:$B$34,2,0)</f>
        <v>NBEGEGCXXXX</v>
      </c>
      <c r="AF87" s="21" t="s">
        <v>10210</v>
      </c>
      <c r="AG87" s="15" t="s">
        <v>167</v>
      </c>
    </row>
    <row r="88" spans="1:33">
      <c r="A88" s="14">
        <v>87</v>
      </c>
      <c r="B88" s="14">
        <v>208</v>
      </c>
      <c r="C88" s="14">
        <v>507</v>
      </c>
      <c r="D88" s="15" t="s">
        <v>80</v>
      </c>
      <c r="E88" s="16" t="s">
        <v>936</v>
      </c>
      <c r="F88" s="32" t="s">
        <v>937</v>
      </c>
      <c r="G88" s="17" t="s">
        <v>938</v>
      </c>
      <c r="H88" s="18" t="s">
        <v>939</v>
      </c>
      <c r="I88" s="16" t="s">
        <v>940</v>
      </c>
      <c r="J88" s="16" t="s">
        <v>86</v>
      </c>
      <c r="K88" s="16" t="s">
        <v>553</v>
      </c>
      <c r="L88" s="16">
        <v>6473986</v>
      </c>
      <c r="M88" s="16" t="s">
        <v>941</v>
      </c>
      <c r="N88" s="16" t="s">
        <v>942</v>
      </c>
      <c r="O88" s="16" t="s">
        <v>943</v>
      </c>
      <c r="P88" s="16" t="s">
        <v>944</v>
      </c>
      <c r="Q88" s="16" t="s">
        <v>44</v>
      </c>
      <c r="R88" s="16" t="s">
        <v>91</v>
      </c>
      <c r="S88" s="19" t="s">
        <v>936</v>
      </c>
      <c r="T88" s="20" t="s">
        <v>93</v>
      </c>
      <c r="U88" s="16" t="s">
        <v>945</v>
      </c>
      <c r="V88" s="16" t="s">
        <v>946</v>
      </c>
      <c r="W88" s="30" t="s">
        <v>947</v>
      </c>
      <c r="X88" s="18" t="s">
        <v>542</v>
      </c>
      <c r="Y88" s="18" t="s">
        <v>98</v>
      </c>
      <c r="Z88" s="18" t="s">
        <v>44</v>
      </c>
      <c r="AA88" s="16" t="s">
        <v>45</v>
      </c>
      <c r="AB88" s="16" t="s">
        <v>577</v>
      </c>
      <c r="AC88" s="16" t="s">
        <v>47</v>
      </c>
      <c r="AD88" s="123" t="str">
        <f t="shared" si="1"/>
        <v>External Transfer-Other banks</v>
      </c>
      <c r="AE88" s="123" t="str">
        <f>VLOOKUP(Table1[[#This Row],[Name of bank]],'اكواد البنوك'!$A$2:$B$34,2,0)</f>
        <v>QNBAEGCXXXX</v>
      </c>
      <c r="AF88" s="21" t="s">
        <v>100</v>
      </c>
      <c r="AG88" s="15" t="s">
        <v>49</v>
      </c>
    </row>
    <row r="89" spans="1:33">
      <c r="A89" s="14">
        <v>88</v>
      </c>
      <c r="B89" s="14">
        <v>208</v>
      </c>
      <c r="C89" s="14" t="e">
        <v>#N/A</v>
      </c>
      <c r="D89" s="15" t="s">
        <v>80</v>
      </c>
      <c r="E89" s="16" t="s">
        <v>948</v>
      </c>
      <c r="F89" s="32" t="s">
        <v>949</v>
      </c>
      <c r="G89" s="17" t="s">
        <v>950</v>
      </c>
      <c r="H89" s="18" t="s">
        <v>951</v>
      </c>
      <c r="I89" s="16" t="s">
        <v>952</v>
      </c>
      <c r="J89" s="16" t="s">
        <v>86</v>
      </c>
      <c r="K89" s="16" t="s">
        <v>953</v>
      </c>
      <c r="L89" s="16">
        <v>48502606</v>
      </c>
      <c r="M89" s="16" t="s">
        <v>954</v>
      </c>
      <c r="N89" s="16" t="s">
        <v>955</v>
      </c>
      <c r="O89" s="16" t="s">
        <v>956</v>
      </c>
      <c r="P89" s="16" t="s">
        <v>957</v>
      </c>
      <c r="Q89" s="16" t="s">
        <v>44</v>
      </c>
      <c r="R89" s="16" t="s">
        <v>91</v>
      </c>
      <c r="S89" s="19" t="s">
        <v>958</v>
      </c>
      <c r="T89" s="20" t="s">
        <v>40</v>
      </c>
      <c r="U89" s="16" t="s">
        <v>110</v>
      </c>
      <c r="V89" s="16" t="s">
        <v>959</v>
      </c>
      <c r="W89" s="30" t="s">
        <v>960</v>
      </c>
      <c r="X89" s="18" t="s">
        <v>542</v>
      </c>
      <c r="Y89" s="18" t="s">
        <v>98</v>
      </c>
      <c r="Z89" s="18" t="s">
        <v>44</v>
      </c>
      <c r="AA89" s="16" t="s">
        <v>45</v>
      </c>
      <c r="AB89" s="16" t="s">
        <v>577</v>
      </c>
      <c r="AC89" s="16" t="s">
        <v>47</v>
      </c>
      <c r="AD89" s="123" t="str">
        <f t="shared" si="1"/>
        <v>External Transfer-NBE</v>
      </c>
      <c r="AE89" s="123" t="str">
        <f>VLOOKUP(Table1[[#This Row],[Name of bank]],'اكواد البنوك'!$A$2:$B$34,2,0)</f>
        <v>NBEGEGCXXXX</v>
      </c>
      <c r="AF89" s="21" t="s">
        <v>751</v>
      </c>
      <c r="AG89" s="15" t="s">
        <v>49</v>
      </c>
    </row>
    <row r="90" spans="1:33">
      <c r="A90" s="14">
        <v>89</v>
      </c>
      <c r="B90" s="14">
        <v>210</v>
      </c>
      <c r="C90" s="14" t="e">
        <v>#N/A</v>
      </c>
      <c r="D90" s="15" t="s">
        <v>80</v>
      </c>
      <c r="E90" s="16" t="s">
        <v>961</v>
      </c>
      <c r="F90" s="32" t="s">
        <v>962</v>
      </c>
      <c r="G90" s="17" t="s">
        <v>963</v>
      </c>
      <c r="H90" s="18" t="s">
        <v>964</v>
      </c>
      <c r="I90" s="16" t="s">
        <v>105</v>
      </c>
      <c r="J90" s="16" t="s">
        <v>86</v>
      </c>
      <c r="K90" s="16" t="s">
        <v>965</v>
      </c>
      <c r="L90" s="16">
        <v>12139639</v>
      </c>
      <c r="M90" s="16">
        <v>213301792</v>
      </c>
      <c r="N90" s="16">
        <v>28407010206381</v>
      </c>
      <c r="O90" s="16" t="s">
        <v>966</v>
      </c>
      <c r="P90" s="16" t="s">
        <v>967</v>
      </c>
      <c r="Q90" s="16" t="s">
        <v>44</v>
      </c>
      <c r="R90" s="16" t="s">
        <v>91</v>
      </c>
      <c r="S90" s="19" t="s">
        <v>968</v>
      </c>
      <c r="T90" s="20" t="s">
        <v>307</v>
      </c>
      <c r="U90" s="16" t="s">
        <v>308</v>
      </c>
      <c r="V90" s="16" t="s">
        <v>969</v>
      </c>
      <c r="W90" s="30" t="s">
        <v>970</v>
      </c>
      <c r="X90" s="18" t="s">
        <v>542</v>
      </c>
      <c r="Y90" s="18" t="s">
        <v>98</v>
      </c>
      <c r="Z90" s="18" t="s">
        <v>44</v>
      </c>
      <c r="AA90" s="16" t="s">
        <v>45</v>
      </c>
      <c r="AB90" s="16" t="s">
        <v>577</v>
      </c>
      <c r="AC90" s="16" t="s">
        <v>47</v>
      </c>
      <c r="AD90" s="123" t="str">
        <f t="shared" si="1"/>
        <v>External Transfer-Other banks</v>
      </c>
      <c r="AE90" s="123" t="str">
        <f>VLOOKUP(Table1[[#This Row],[Name of bank]],'اكواد البنوك'!$A$2:$B$34,2,0)</f>
        <v>CIBEEGCXXXX</v>
      </c>
      <c r="AF90" s="21" t="s">
        <v>311</v>
      </c>
      <c r="AG90" s="15" t="s">
        <v>49</v>
      </c>
    </row>
    <row r="91" spans="1:33">
      <c r="A91" s="14">
        <v>90</v>
      </c>
      <c r="B91" s="14">
        <v>210</v>
      </c>
      <c r="C91" s="14" t="e">
        <v>#N/A</v>
      </c>
      <c r="D91" s="15" t="s">
        <v>80</v>
      </c>
      <c r="E91" s="16" t="s">
        <v>971</v>
      </c>
      <c r="F91" s="32" t="s">
        <v>972</v>
      </c>
      <c r="G91" s="17" t="s">
        <v>973</v>
      </c>
      <c r="H91" s="18" t="s">
        <v>974</v>
      </c>
      <c r="I91" s="16" t="s">
        <v>975</v>
      </c>
      <c r="J91" s="16" t="s">
        <v>86</v>
      </c>
      <c r="K91" s="16" t="s">
        <v>976</v>
      </c>
      <c r="L91" s="16" t="s">
        <v>136</v>
      </c>
      <c r="M91" s="16" t="s">
        <v>977</v>
      </c>
      <c r="N91" s="16">
        <v>28712280200684</v>
      </c>
      <c r="O91" s="16" t="s">
        <v>978</v>
      </c>
      <c r="P91" s="16" t="s">
        <v>979</v>
      </c>
      <c r="Q91" s="16" t="s">
        <v>44</v>
      </c>
      <c r="R91" s="16" t="s">
        <v>91</v>
      </c>
      <c r="S91" s="19" t="s">
        <v>980</v>
      </c>
      <c r="T91" s="20" t="s">
        <v>40</v>
      </c>
      <c r="U91" s="16" t="s">
        <v>981</v>
      </c>
      <c r="V91" s="16" t="s">
        <v>982</v>
      </c>
      <c r="W91" s="30" t="s">
        <v>983</v>
      </c>
      <c r="X91" s="18" t="s">
        <v>542</v>
      </c>
      <c r="Y91" s="18" t="s">
        <v>98</v>
      </c>
      <c r="Z91" s="18" t="s">
        <v>44</v>
      </c>
      <c r="AA91" s="16" t="s">
        <v>45</v>
      </c>
      <c r="AB91" s="16" t="s">
        <v>577</v>
      </c>
      <c r="AC91" s="16" t="s">
        <v>47</v>
      </c>
      <c r="AD91" s="123" t="str">
        <f t="shared" si="1"/>
        <v>External Transfer-NBE</v>
      </c>
      <c r="AE91" s="123" t="str">
        <f>VLOOKUP(Table1[[#This Row],[Name of bank]],'اكواد البنوك'!$A$2:$B$34,2,0)</f>
        <v>NBEGEGCXXXX</v>
      </c>
      <c r="AF91" s="21" t="s">
        <v>3174</v>
      </c>
      <c r="AG91" s="15" t="s">
        <v>167</v>
      </c>
    </row>
    <row r="92" spans="1:33">
      <c r="A92" s="14">
        <v>91</v>
      </c>
      <c r="B92" s="14">
        <v>214</v>
      </c>
      <c r="C92" s="14" t="e">
        <v>#N/A</v>
      </c>
      <c r="D92" s="15" t="s">
        <v>80</v>
      </c>
      <c r="E92" s="16" t="s">
        <v>984</v>
      </c>
      <c r="F92" s="32" t="s">
        <v>985</v>
      </c>
      <c r="G92" s="17" t="s">
        <v>986</v>
      </c>
      <c r="H92" s="18" t="s">
        <v>987</v>
      </c>
      <c r="I92" s="16" t="s">
        <v>988</v>
      </c>
      <c r="J92" s="16" t="s">
        <v>86</v>
      </c>
      <c r="K92" s="16" t="s">
        <v>989</v>
      </c>
      <c r="L92" s="16">
        <v>75191927</v>
      </c>
      <c r="M92" s="16" t="s">
        <v>136</v>
      </c>
      <c r="N92" s="16">
        <v>30004200200802</v>
      </c>
      <c r="O92" s="16" t="s">
        <v>990</v>
      </c>
      <c r="P92" s="16" t="s">
        <v>991</v>
      </c>
      <c r="Q92" s="16" t="s">
        <v>44</v>
      </c>
      <c r="R92" s="16" t="s">
        <v>91</v>
      </c>
      <c r="S92" s="19" t="s">
        <v>992</v>
      </c>
      <c r="T92" s="20" t="s">
        <v>993</v>
      </c>
      <c r="U92" s="16" t="s">
        <v>994</v>
      </c>
      <c r="V92" s="16" t="s">
        <v>995</v>
      </c>
      <c r="W92" s="30" t="s">
        <v>996</v>
      </c>
      <c r="X92" s="18" t="s">
        <v>542</v>
      </c>
      <c r="Y92" s="18" t="s">
        <v>98</v>
      </c>
      <c r="Z92" s="18" t="s">
        <v>44</v>
      </c>
      <c r="AA92" s="16" t="s">
        <v>45</v>
      </c>
      <c r="AB92" s="16" t="s">
        <v>577</v>
      </c>
      <c r="AC92" s="16" t="s">
        <v>47</v>
      </c>
      <c r="AD92" s="123" t="str">
        <f t="shared" si="1"/>
        <v>External Transfer-Other banks</v>
      </c>
      <c r="AE92" s="123" t="str">
        <f>VLOOKUP(Table1[[#This Row],[Name of bank]],'اكواد البنوك'!$A$2:$B$34,2,0)</f>
        <v>ALEXEGCXXXX</v>
      </c>
      <c r="AF92" s="21" t="s">
        <v>998</v>
      </c>
      <c r="AG92" s="15" t="s">
        <v>49</v>
      </c>
    </row>
    <row r="93" spans="1:33">
      <c r="A93" s="14">
        <v>92</v>
      </c>
      <c r="B93" s="14">
        <v>214</v>
      </c>
      <c r="C93" s="14" t="e">
        <v>#N/A</v>
      </c>
      <c r="D93" s="15" t="s">
        <v>80</v>
      </c>
      <c r="E93" s="16" t="s">
        <v>999</v>
      </c>
      <c r="F93" s="32" t="s">
        <v>1000</v>
      </c>
      <c r="G93" s="17" t="s">
        <v>1001</v>
      </c>
      <c r="H93" s="18" t="s">
        <v>1002</v>
      </c>
      <c r="I93" s="16" t="s">
        <v>1003</v>
      </c>
      <c r="J93" s="16" t="s">
        <v>86</v>
      </c>
      <c r="K93" s="16" t="s">
        <v>1004</v>
      </c>
      <c r="L93" s="16">
        <v>49323106</v>
      </c>
      <c r="M93" s="16" t="s">
        <v>234</v>
      </c>
      <c r="N93" s="16">
        <v>29504200202551</v>
      </c>
      <c r="O93" s="16" t="s">
        <v>1005</v>
      </c>
      <c r="P93" s="16" t="s">
        <v>1006</v>
      </c>
      <c r="Q93" s="16" t="s">
        <v>44</v>
      </c>
      <c r="R93" s="16" t="s">
        <v>91</v>
      </c>
      <c r="S93" s="19" t="s">
        <v>1007</v>
      </c>
      <c r="T93" s="20" t="s">
        <v>93</v>
      </c>
      <c r="U93" s="16" t="s">
        <v>1008</v>
      </c>
      <c r="V93" s="16">
        <v>1130340489812</v>
      </c>
      <c r="W93" s="113" t="s">
        <v>1009</v>
      </c>
      <c r="X93" s="18" t="s">
        <v>542</v>
      </c>
      <c r="Y93" s="18" t="s">
        <v>98</v>
      </c>
      <c r="Z93" s="18" t="s">
        <v>44</v>
      </c>
      <c r="AA93" s="16" t="s">
        <v>45</v>
      </c>
      <c r="AB93" s="16" t="s">
        <v>577</v>
      </c>
      <c r="AC93" s="16" t="s">
        <v>47</v>
      </c>
      <c r="AD93" s="123" t="str">
        <f t="shared" si="1"/>
        <v>External Transfer-Other banks</v>
      </c>
      <c r="AE93" s="123" t="str">
        <f>VLOOKUP(Table1[[#This Row],[Name of bank]],'اكواد البنوك'!$A$2:$B$34,2,0)</f>
        <v>QNBAEGCXXXX</v>
      </c>
      <c r="AF93" s="114" t="s">
        <v>100</v>
      </c>
      <c r="AG93" s="15" t="s">
        <v>167</v>
      </c>
    </row>
    <row r="94" spans="1:33">
      <c r="A94" s="14">
        <v>93</v>
      </c>
      <c r="B94" s="14">
        <v>214</v>
      </c>
      <c r="C94" s="14">
        <v>319</v>
      </c>
      <c r="D94" s="15" t="s">
        <v>80</v>
      </c>
      <c r="E94" s="16" t="s">
        <v>1010</v>
      </c>
      <c r="F94" s="32" t="s">
        <v>1011</v>
      </c>
      <c r="G94" s="17" t="s">
        <v>1012</v>
      </c>
      <c r="H94" s="18" t="s">
        <v>1013</v>
      </c>
      <c r="I94" s="16" t="s">
        <v>1014</v>
      </c>
      <c r="J94" s="16" t="s">
        <v>86</v>
      </c>
      <c r="K94" s="16" t="s">
        <v>199</v>
      </c>
      <c r="L94" s="16">
        <v>72045744</v>
      </c>
      <c r="M94" s="16">
        <v>432781498</v>
      </c>
      <c r="N94" s="16">
        <v>432781498</v>
      </c>
      <c r="O94" s="16">
        <v>29202118800169</v>
      </c>
      <c r="P94" s="16" t="s">
        <v>1015</v>
      </c>
      <c r="Q94" s="16" t="s">
        <v>1016</v>
      </c>
      <c r="R94" s="16" t="s">
        <v>44</v>
      </c>
      <c r="S94" s="19" t="s">
        <v>1017</v>
      </c>
      <c r="T94" s="20" t="s">
        <v>1018</v>
      </c>
      <c r="U94" s="16" t="s">
        <v>44</v>
      </c>
      <c r="V94" s="16" t="s">
        <v>1019</v>
      </c>
      <c r="W94" s="30" t="s">
        <v>1020</v>
      </c>
      <c r="X94" s="18" t="s">
        <v>542</v>
      </c>
      <c r="Y94" s="18" t="s">
        <v>98</v>
      </c>
      <c r="Z94" s="18" t="s">
        <v>44</v>
      </c>
      <c r="AA94" s="16" t="s">
        <v>45</v>
      </c>
      <c r="AB94" s="16" t="s">
        <v>577</v>
      </c>
      <c r="AC94" s="16" t="s">
        <v>47</v>
      </c>
      <c r="AD94" s="123" t="str">
        <f t="shared" si="1"/>
        <v>External Transfer-Other banks</v>
      </c>
      <c r="AE94" s="123" t="str">
        <f>VLOOKUP(Table1[[#This Row],[Name of bank]],'اكواد البنوك'!$A$2:$B$34,2,0)</f>
        <v>AINBEGCAXXX</v>
      </c>
      <c r="AF94" s="21" t="s">
        <v>1022</v>
      </c>
      <c r="AG94" s="15" t="s">
        <v>49</v>
      </c>
    </row>
    <row r="95" spans="1:33">
      <c r="A95" s="14">
        <v>94</v>
      </c>
      <c r="B95" s="14">
        <v>216</v>
      </c>
      <c r="C95" s="14" t="e">
        <v>#N/A</v>
      </c>
      <c r="D95" s="15" t="s">
        <v>80</v>
      </c>
      <c r="E95" s="16" t="s">
        <v>1023</v>
      </c>
      <c r="F95" s="32" t="s">
        <v>10062</v>
      </c>
      <c r="G95" s="17" t="s">
        <v>1024</v>
      </c>
      <c r="H95" s="18" t="s">
        <v>1025</v>
      </c>
      <c r="I95" s="16" t="s">
        <v>159</v>
      </c>
      <c r="J95" s="16" t="s">
        <v>86</v>
      </c>
      <c r="K95" s="16" t="s">
        <v>1026</v>
      </c>
      <c r="L95" s="16">
        <v>31764976</v>
      </c>
      <c r="M95" s="16">
        <v>43278498</v>
      </c>
      <c r="N95" s="16">
        <v>28000000000000</v>
      </c>
      <c r="O95" s="16" t="s">
        <v>1027</v>
      </c>
      <c r="P95" s="16" t="s">
        <v>1028</v>
      </c>
      <c r="Q95" s="16" t="s">
        <v>44</v>
      </c>
      <c r="R95" s="16" t="s">
        <v>91</v>
      </c>
      <c r="S95" s="19" t="s">
        <v>1023</v>
      </c>
      <c r="T95" s="20" t="s">
        <v>223</v>
      </c>
      <c r="U95" s="16" t="s">
        <v>1029</v>
      </c>
      <c r="V95" s="16">
        <v>5500040001</v>
      </c>
      <c r="W95" s="30" t="s">
        <v>1030</v>
      </c>
      <c r="X95" s="18" t="s">
        <v>542</v>
      </c>
      <c r="Y95" s="18" t="s">
        <v>98</v>
      </c>
      <c r="Z95" s="18" t="s">
        <v>44</v>
      </c>
      <c r="AA95" s="16" t="s">
        <v>45</v>
      </c>
      <c r="AB95" s="16" t="s">
        <v>577</v>
      </c>
      <c r="AC95" s="16" t="s">
        <v>47</v>
      </c>
      <c r="AD95" s="123" t="str">
        <f t="shared" si="1"/>
        <v>External Transfer-Other banks</v>
      </c>
      <c r="AE95" s="123" t="str">
        <f>VLOOKUP(Table1[[#This Row],[Name of bank]],'اكواد البنوك'!$A$2:$B$34,2,0)</f>
        <v>NBADEGCAXXX</v>
      </c>
      <c r="AF95" s="21" t="s">
        <v>227</v>
      </c>
      <c r="AG95" s="15" t="s">
        <v>167</v>
      </c>
    </row>
    <row r="96" spans="1:33">
      <c r="A96" s="14">
        <v>95</v>
      </c>
      <c r="B96" s="14">
        <v>216</v>
      </c>
      <c r="C96" s="14" t="e">
        <v>#N/A</v>
      </c>
      <c r="D96" s="15" t="s">
        <v>80</v>
      </c>
      <c r="E96" s="16" t="s">
        <v>1031</v>
      </c>
      <c r="F96" s="32" t="s">
        <v>1032</v>
      </c>
      <c r="G96" s="17" t="s">
        <v>1033</v>
      </c>
      <c r="H96" s="18" t="s">
        <v>1034</v>
      </c>
      <c r="I96" s="16" t="s">
        <v>1035</v>
      </c>
      <c r="J96" s="16" t="s">
        <v>1036</v>
      </c>
      <c r="K96" s="16">
        <v>3401069</v>
      </c>
      <c r="L96" s="16" t="s">
        <v>136</v>
      </c>
      <c r="M96" s="16">
        <v>28608220202261</v>
      </c>
      <c r="N96" s="16">
        <v>28608220202261</v>
      </c>
      <c r="O96" s="16" t="s">
        <v>1037</v>
      </c>
      <c r="P96" s="16" t="s">
        <v>1038</v>
      </c>
      <c r="Q96" s="16" t="s">
        <v>44</v>
      </c>
      <c r="R96" s="16" t="s">
        <v>91</v>
      </c>
      <c r="S96" s="19" t="s">
        <v>1032</v>
      </c>
      <c r="T96" s="20" t="s">
        <v>40</v>
      </c>
      <c r="U96" s="16" t="s">
        <v>808</v>
      </c>
      <c r="V96" s="16" t="s">
        <v>1039</v>
      </c>
      <c r="W96" s="30" t="s">
        <v>1040</v>
      </c>
      <c r="X96" s="18" t="s">
        <v>542</v>
      </c>
      <c r="Y96" s="18" t="s">
        <v>98</v>
      </c>
      <c r="Z96" s="18" t="s">
        <v>44</v>
      </c>
      <c r="AA96" s="16" t="s">
        <v>45</v>
      </c>
      <c r="AB96" s="16" t="s">
        <v>577</v>
      </c>
      <c r="AC96" s="16" t="s">
        <v>47</v>
      </c>
      <c r="AD96" s="123" t="str">
        <f t="shared" si="1"/>
        <v>External Transfer-NBE</v>
      </c>
      <c r="AE96" s="123" t="str">
        <f>VLOOKUP(Table1[[#This Row],[Name of bank]],'اكواد البنوك'!$A$2:$B$34,2,0)</f>
        <v>NBEGEGCXXXX</v>
      </c>
      <c r="AF96" s="21" t="s">
        <v>10210</v>
      </c>
      <c r="AG96" s="15" t="s">
        <v>167</v>
      </c>
    </row>
    <row r="97" spans="1:33">
      <c r="A97" s="14">
        <v>96</v>
      </c>
      <c r="B97" s="14">
        <v>216</v>
      </c>
      <c r="C97" s="14" t="e">
        <v>#N/A</v>
      </c>
      <c r="D97" s="15" t="s">
        <v>80</v>
      </c>
      <c r="E97" s="16" t="s">
        <v>1041</v>
      </c>
      <c r="F97" s="32" t="s">
        <v>1042</v>
      </c>
      <c r="G97" s="17" t="s">
        <v>1043</v>
      </c>
      <c r="H97" s="18" t="s">
        <v>1044</v>
      </c>
      <c r="I97" s="16" t="s">
        <v>1045</v>
      </c>
      <c r="J97" s="16" t="s">
        <v>86</v>
      </c>
      <c r="K97" s="16" t="s">
        <v>553</v>
      </c>
      <c r="L97" s="16" t="s">
        <v>136</v>
      </c>
      <c r="M97" s="16" t="s">
        <v>136</v>
      </c>
      <c r="N97" s="16" t="s">
        <v>136</v>
      </c>
      <c r="O97" s="16">
        <v>28307130200463</v>
      </c>
      <c r="P97" s="16" t="s">
        <v>1046</v>
      </c>
      <c r="Q97" s="16" t="s">
        <v>1047</v>
      </c>
      <c r="R97" s="16" t="s">
        <v>44</v>
      </c>
      <c r="S97" s="19" t="s">
        <v>1042</v>
      </c>
      <c r="T97" s="20" t="s">
        <v>176</v>
      </c>
      <c r="U97" s="16" t="s">
        <v>1048</v>
      </c>
      <c r="V97" s="16" t="s">
        <v>1049</v>
      </c>
      <c r="W97" s="30" t="s">
        <v>1050</v>
      </c>
      <c r="X97" s="18" t="s">
        <v>127</v>
      </c>
      <c r="Y97" s="18" t="s">
        <v>98</v>
      </c>
      <c r="Z97" s="18" t="s">
        <v>44</v>
      </c>
      <c r="AA97" s="16" t="s">
        <v>45</v>
      </c>
      <c r="AB97" s="16" t="s">
        <v>577</v>
      </c>
      <c r="AC97" s="16" t="s">
        <v>47</v>
      </c>
      <c r="AD97" s="123" t="str">
        <f t="shared" si="1"/>
        <v>External Transfer-Other banks</v>
      </c>
      <c r="AE97" s="123" t="str">
        <f>VLOOKUP(Table1[[#This Row],[Name of bank]],'اكواد البنوك'!$A$2:$B$34,2,0)</f>
        <v>BMISEGCXXXX</v>
      </c>
      <c r="AF97" s="21" t="s">
        <v>1051</v>
      </c>
      <c r="AG97" s="15" t="s">
        <v>49</v>
      </c>
    </row>
    <row r="98" spans="1:33">
      <c r="A98" s="14">
        <v>97</v>
      </c>
      <c r="B98" s="14" t="s">
        <v>1052</v>
      </c>
      <c r="C98" s="14">
        <v>504</v>
      </c>
      <c r="D98" s="15" t="s">
        <v>80</v>
      </c>
      <c r="E98" s="16" t="s">
        <v>1053</v>
      </c>
      <c r="F98" s="32" t="s">
        <v>10065</v>
      </c>
      <c r="G98" s="17" t="s">
        <v>1054</v>
      </c>
      <c r="H98" s="18" t="s">
        <v>1055</v>
      </c>
      <c r="I98" s="16" t="s">
        <v>1056</v>
      </c>
      <c r="J98" s="16" t="s">
        <v>86</v>
      </c>
      <c r="K98" s="16" t="s">
        <v>426</v>
      </c>
      <c r="L98" s="16">
        <v>43076293</v>
      </c>
      <c r="M98" s="16" t="s">
        <v>977</v>
      </c>
      <c r="N98" s="16" t="s">
        <v>977</v>
      </c>
      <c r="O98" s="16">
        <v>29007260200988</v>
      </c>
      <c r="P98" s="16" t="s">
        <v>1057</v>
      </c>
      <c r="Q98" s="16" t="s">
        <v>1058</v>
      </c>
      <c r="R98" s="16" t="s">
        <v>44</v>
      </c>
      <c r="S98" s="19" t="s">
        <v>1053</v>
      </c>
      <c r="T98" s="20" t="s">
        <v>307</v>
      </c>
      <c r="U98" s="16" t="s">
        <v>871</v>
      </c>
      <c r="V98" s="16" t="s">
        <v>1059</v>
      </c>
      <c r="W98" s="30" t="s">
        <v>1060</v>
      </c>
      <c r="X98" s="18" t="s">
        <v>127</v>
      </c>
      <c r="Y98" s="18" t="s">
        <v>98</v>
      </c>
      <c r="Z98" s="18" t="s">
        <v>44</v>
      </c>
      <c r="AA98" s="16" t="s">
        <v>45</v>
      </c>
      <c r="AB98" s="16" t="s">
        <v>1061</v>
      </c>
      <c r="AC98" s="16" t="s">
        <v>47</v>
      </c>
      <c r="AD98" s="123" t="str">
        <f t="shared" si="1"/>
        <v>External Transfer-Other banks</v>
      </c>
      <c r="AE98" s="123" t="str">
        <f>VLOOKUP(Table1[[#This Row],[Name of bank]],'اكواد البنوك'!$A$2:$B$34,2,0)</f>
        <v>CIBEEGCXXXX</v>
      </c>
      <c r="AF98" s="21" t="s">
        <v>1062</v>
      </c>
      <c r="AG98" s="15" t="s">
        <v>49</v>
      </c>
    </row>
    <row r="99" spans="1:33">
      <c r="A99" s="14">
        <v>98</v>
      </c>
      <c r="B99" s="14" t="s">
        <v>1052</v>
      </c>
      <c r="C99" s="14">
        <v>513</v>
      </c>
      <c r="D99" s="15" t="s">
        <v>80</v>
      </c>
      <c r="E99" s="16" t="s">
        <v>1063</v>
      </c>
      <c r="F99" s="32" t="s">
        <v>1064</v>
      </c>
      <c r="G99" s="17" t="s">
        <v>1065</v>
      </c>
      <c r="H99" s="18" t="s">
        <v>1066</v>
      </c>
      <c r="I99" s="16" t="s">
        <v>1067</v>
      </c>
      <c r="J99" s="16" t="s">
        <v>173</v>
      </c>
      <c r="K99" s="16" t="s">
        <v>269</v>
      </c>
      <c r="L99" s="16">
        <v>78838744</v>
      </c>
      <c r="M99" s="16" t="s">
        <v>136</v>
      </c>
      <c r="N99" s="16">
        <v>29107210200647</v>
      </c>
      <c r="O99" s="16" t="s">
        <v>1068</v>
      </c>
      <c r="P99" s="16" t="s">
        <v>1069</v>
      </c>
      <c r="Q99" s="16" t="s">
        <v>44</v>
      </c>
      <c r="R99" s="16" t="s">
        <v>91</v>
      </c>
      <c r="S99" s="19" t="s">
        <v>1070</v>
      </c>
      <c r="T99" s="20" t="s">
        <v>40</v>
      </c>
      <c r="U99" s="16" t="s">
        <v>1071</v>
      </c>
      <c r="V99" s="16">
        <v>2.0850011673555E+18</v>
      </c>
      <c r="W99" s="30" t="s">
        <v>1072</v>
      </c>
      <c r="X99" s="18" t="s">
        <v>127</v>
      </c>
      <c r="Y99" s="18" t="s">
        <v>98</v>
      </c>
      <c r="Z99" s="18" t="s">
        <v>44</v>
      </c>
      <c r="AA99" s="16" t="s">
        <v>45</v>
      </c>
      <c r="AB99" s="16" t="s">
        <v>1061</v>
      </c>
      <c r="AC99" s="16" t="s">
        <v>47</v>
      </c>
      <c r="AD99" s="123" t="str">
        <f t="shared" si="1"/>
        <v>External Transfer-NBE</v>
      </c>
      <c r="AE99" s="123" t="str">
        <f>VLOOKUP(Table1[[#This Row],[Name of bank]],'اكواد البنوك'!$A$2:$B$34,2,0)</f>
        <v>NBEGEGCXXXX</v>
      </c>
      <c r="AF99" s="21" t="s">
        <v>751</v>
      </c>
      <c r="AG99" s="15" t="s">
        <v>1073</v>
      </c>
    </row>
    <row r="100" spans="1:33">
      <c r="A100" s="14">
        <v>99</v>
      </c>
      <c r="B100" s="14" t="s">
        <v>1052</v>
      </c>
      <c r="C100" s="14">
        <v>205</v>
      </c>
      <c r="D100" s="15" t="s">
        <v>80</v>
      </c>
      <c r="E100" s="16" t="s">
        <v>1074</v>
      </c>
      <c r="F100" s="32" t="s">
        <v>1075</v>
      </c>
      <c r="G100" s="17" t="s">
        <v>1076</v>
      </c>
      <c r="H100" s="18" t="s">
        <v>1077</v>
      </c>
      <c r="I100" s="16" t="s">
        <v>1078</v>
      </c>
      <c r="J100" s="16" t="s">
        <v>86</v>
      </c>
      <c r="K100" s="16" t="s">
        <v>1036</v>
      </c>
      <c r="L100" s="16">
        <v>15146233</v>
      </c>
      <c r="M100" s="16" t="s">
        <v>1079</v>
      </c>
      <c r="N100" s="16" t="s">
        <v>1079</v>
      </c>
      <c r="O100" s="16">
        <v>28705220200662</v>
      </c>
      <c r="P100" s="16" t="s">
        <v>1080</v>
      </c>
      <c r="Q100" s="16" t="s">
        <v>1081</v>
      </c>
      <c r="R100" s="16" t="s">
        <v>44</v>
      </c>
      <c r="S100" s="19" t="s">
        <v>1082</v>
      </c>
      <c r="T100" s="20" t="s">
        <v>40</v>
      </c>
      <c r="U100" s="16" t="s">
        <v>238</v>
      </c>
      <c r="V100" s="16" t="s">
        <v>1083</v>
      </c>
      <c r="W100" s="30" t="s">
        <v>1084</v>
      </c>
      <c r="X100" s="18" t="s">
        <v>127</v>
      </c>
      <c r="Y100" s="18" t="s">
        <v>98</v>
      </c>
      <c r="Z100" s="18" t="s">
        <v>44</v>
      </c>
      <c r="AA100" s="16" t="s">
        <v>45</v>
      </c>
      <c r="AB100" s="16" t="s">
        <v>1061</v>
      </c>
      <c r="AC100" s="16" t="s">
        <v>47</v>
      </c>
      <c r="AD100" s="123" t="str">
        <f t="shared" si="1"/>
        <v>External Transfer-NBE</v>
      </c>
      <c r="AE100" s="123" t="str">
        <f>VLOOKUP(Table1[[#This Row],[Name of bank]],'اكواد البنوك'!$A$2:$B$34,2,0)</f>
        <v>NBEGEGCXXXX</v>
      </c>
      <c r="AF100" s="21" t="s">
        <v>241</v>
      </c>
      <c r="AG100" s="15" t="s">
        <v>49</v>
      </c>
    </row>
    <row r="101" spans="1:33">
      <c r="A101" s="14">
        <v>100</v>
      </c>
      <c r="B101" s="14" t="s">
        <v>1085</v>
      </c>
      <c r="C101" s="14">
        <v>504</v>
      </c>
      <c r="D101" s="15" t="s">
        <v>80</v>
      </c>
      <c r="E101" s="16" t="s">
        <v>1086</v>
      </c>
      <c r="F101" s="32" t="s">
        <v>1087</v>
      </c>
      <c r="G101" s="17" t="s">
        <v>1088</v>
      </c>
      <c r="H101" s="18" t="s">
        <v>1089</v>
      </c>
      <c r="I101" s="16" t="s">
        <v>1090</v>
      </c>
      <c r="J101" s="16" t="s">
        <v>86</v>
      </c>
      <c r="K101" s="16" t="s">
        <v>1091</v>
      </c>
      <c r="L101" s="16">
        <v>28153310</v>
      </c>
      <c r="M101" s="16" t="s">
        <v>1092</v>
      </c>
      <c r="N101" s="16" t="s">
        <v>1092</v>
      </c>
      <c r="O101" s="16" t="s">
        <v>1093</v>
      </c>
      <c r="P101" s="16" t="s">
        <v>1094</v>
      </c>
      <c r="Q101" s="16" t="s">
        <v>1095</v>
      </c>
      <c r="R101" s="16" t="s">
        <v>44</v>
      </c>
      <c r="S101" s="19" t="s">
        <v>1087</v>
      </c>
      <c r="T101" s="20" t="s">
        <v>40</v>
      </c>
      <c r="U101" s="16" t="s">
        <v>327</v>
      </c>
      <c r="V101" s="16" t="s">
        <v>1096</v>
      </c>
      <c r="W101" s="30" t="s">
        <v>1097</v>
      </c>
      <c r="X101" s="18" t="s">
        <v>127</v>
      </c>
      <c r="Y101" s="18" t="s">
        <v>98</v>
      </c>
      <c r="Z101" s="18" t="s">
        <v>44</v>
      </c>
      <c r="AA101" s="16" t="s">
        <v>45</v>
      </c>
      <c r="AB101" s="16" t="s">
        <v>1061</v>
      </c>
      <c r="AC101" s="16" t="s">
        <v>47</v>
      </c>
      <c r="AD101" s="123" t="str">
        <f t="shared" si="1"/>
        <v>External Transfer-NBE</v>
      </c>
      <c r="AE101" s="123" t="str">
        <f>VLOOKUP(Table1[[#This Row],[Name of bank]],'اكواد البنوك'!$A$2:$B$34,2,0)</f>
        <v>NBEGEGCXXXX</v>
      </c>
      <c r="AF101" s="21" t="s">
        <v>330</v>
      </c>
      <c r="AG101" s="15" t="s">
        <v>49</v>
      </c>
    </row>
    <row r="102" spans="1:33">
      <c r="A102" s="14">
        <v>101</v>
      </c>
      <c r="B102" s="14" t="s">
        <v>1085</v>
      </c>
      <c r="C102" s="14" t="e">
        <v>#N/A</v>
      </c>
      <c r="D102" s="15" t="s">
        <v>80</v>
      </c>
      <c r="E102" s="16" t="s">
        <v>1099</v>
      </c>
      <c r="F102" s="32" t="s">
        <v>10151</v>
      </c>
      <c r="G102" s="17" t="s">
        <v>1100</v>
      </c>
      <c r="H102" s="18" t="s">
        <v>1101</v>
      </c>
      <c r="I102" s="16" t="s">
        <v>1102</v>
      </c>
      <c r="J102" s="16" t="s">
        <v>86</v>
      </c>
      <c r="K102" s="16" t="s">
        <v>106</v>
      </c>
      <c r="L102" s="16" t="s">
        <v>136</v>
      </c>
      <c r="M102" s="16" t="s">
        <v>977</v>
      </c>
      <c r="N102" s="16">
        <v>29405181100426</v>
      </c>
      <c r="O102" s="16" t="s">
        <v>1103</v>
      </c>
      <c r="P102" s="16" t="s">
        <v>1104</v>
      </c>
      <c r="Q102" s="16" t="s">
        <v>44</v>
      </c>
      <c r="R102" s="16" t="s">
        <v>91</v>
      </c>
      <c r="S102" s="19" t="s">
        <v>1105</v>
      </c>
      <c r="T102" s="20" t="s">
        <v>93</v>
      </c>
      <c r="U102" s="16" t="s">
        <v>557</v>
      </c>
      <c r="V102" s="16">
        <v>1002970396427</v>
      </c>
      <c r="W102" s="30" t="s">
        <v>1106</v>
      </c>
      <c r="X102" s="18" t="s">
        <v>127</v>
      </c>
      <c r="Y102" s="18" t="s">
        <v>98</v>
      </c>
      <c r="Z102" s="18" t="s">
        <v>44</v>
      </c>
      <c r="AA102" s="16" t="s">
        <v>45</v>
      </c>
      <c r="AB102" s="16" t="s">
        <v>1061</v>
      </c>
      <c r="AC102" s="16" t="s">
        <v>47</v>
      </c>
      <c r="AD102" s="123" t="str">
        <f t="shared" si="1"/>
        <v>External Transfer-Other banks</v>
      </c>
      <c r="AE102" s="123" t="str">
        <f>VLOOKUP(Table1[[#This Row],[Name of bank]],'اكواد البنوك'!$A$2:$B$34,2,0)</f>
        <v>QNBAEGCXXXX</v>
      </c>
      <c r="AF102" s="21" t="s">
        <v>100</v>
      </c>
      <c r="AG102" s="15" t="s">
        <v>167</v>
      </c>
    </row>
    <row r="103" spans="1:33">
      <c r="A103" s="14">
        <v>102</v>
      </c>
      <c r="B103" s="14" t="s">
        <v>206</v>
      </c>
      <c r="C103" s="14" t="s">
        <v>811</v>
      </c>
      <c r="D103" s="15" t="s">
        <v>34</v>
      </c>
      <c r="E103" s="16" t="s">
        <v>1107</v>
      </c>
      <c r="F103" s="32" t="s">
        <v>1108</v>
      </c>
      <c r="G103" s="17" t="s">
        <v>1109</v>
      </c>
      <c r="H103" s="18" t="s">
        <v>1110</v>
      </c>
      <c r="I103" s="16" t="s">
        <v>34</v>
      </c>
      <c r="J103" s="16"/>
      <c r="K103" s="16"/>
      <c r="L103" s="16" t="s">
        <v>34</v>
      </c>
      <c r="M103" s="16" t="s">
        <v>34</v>
      </c>
      <c r="N103" s="16">
        <v>29611230202352</v>
      </c>
      <c r="O103" s="16"/>
      <c r="P103" s="16"/>
      <c r="Q103" s="16"/>
      <c r="R103" s="16"/>
      <c r="S103" s="19"/>
      <c r="T103" s="20" t="s">
        <v>40</v>
      </c>
      <c r="U103" s="16"/>
      <c r="V103" s="16"/>
      <c r="W103" s="30">
        <v>113</v>
      </c>
      <c r="X103" s="18" t="s">
        <v>78</v>
      </c>
      <c r="Y103" s="18" t="s">
        <v>43</v>
      </c>
      <c r="Z103" s="18" t="s">
        <v>44</v>
      </c>
      <c r="AA103" s="16" t="s">
        <v>45</v>
      </c>
      <c r="AB103" s="16" t="s">
        <v>577</v>
      </c>
      <c r="AC103" s="16" t="s">
        <v>47</v>
      </c>
      <c r="AD103" s="123" t="str">
        <f t="shared" si="1"/>
        <v>Internal Transfer</v>
      </c>
      <c r="AE103" s="123" t="str">
        <f>VLOOKUP(Table1[[#This Row],[Name of bank]],'اكواد البنوك'!$A$2:$B$34,2,0)</f>
        <v>NBEGEGCXXXX</v>
      </c>
      <c r="AF103" s="21" t="s">
        <v>1111</v>
      </c>
      <c r="AG103" s="15" t="s">
        <v>49</v>
      </c>
    </row>
    <row r="104" spans="1:33">
      <c r="A104" s="14">
        <v>103</v>
      </c>
      <c r="B104" s="14" t="s">
        <v>206</v>
      </c>
      <c r="C104" s="14">
        <v>405</v>
      </c>
      <c r="D104" s="15" t="s">
        <v>80</v>
      </c>
      <c r="E104" s="16" t="s">
        <v>1112</v>
      </c>
      <c r="F104" s="32" t="s">
        <v>1113</v>
      </c>
      <c r="G104" s="17" t="s">
        <v>1114</v>
      </c>
      <c r="H104" s="18" t="s">
        <v>1115</v>
      </c>
      <c r="I104" s="16" t="s">
        <v>1116</v>
      </c>
      <c r="J104" s="16" t="s">
        <v>86</v>
      </c>
      <c r="K104" s="16" t="s">
        <v>1117</v>
      </c>
      <c r="L104" s="16">
        <v>31634708</v>
      </c>
      <c r="M104" s="16" t="s">
        <v>234</v>
      </c>
      <c r="N104" s="16">
        <v>28909230202595</v>
      </c>
      <c r="O104" s="16" t="s">
        <v>1118</v>
      </c>
      <c r="P104" s="16" t="s">
        <v>1119</v>
      </c>
      <c r="Q104" s="16" t="s">
        <v>44</v>
      </c>
      <c r="R104" s="16" t="s">
        <v>91</v>
      </c>
      <c r="S104" s="19" t="s">
        <v>1112</v>
      </c>
      <c r="T104" s="20" t="s">
        <v>93</v>
      </c>
      <c r="U104" s="16" t="s">
        <v>1120</v>
      </c>
      <c r="V104" s="16" t="s">
        <v>1121</v>
      </c>
      <c r="W104" s="30" t="s">
        <v>1122</v>
      </c>
      <c r="X104" s="18" t="s">
        <v>97</v>
      </c>
      <c r="Y104" s="18" t="s">
        <v>98</v>
      </c>
      <c r="Z104" s="18" t="s">
        <v>44</v>
      </c>
      <c r="AA104" s="16" t="s">
        <v>45</v>
      </c>
      <c r="AB104" s="16" t="s">
        <v>577</v>
      </c>
      <c r="AC104" s="16" t="s">
        <v>47</v>
      </c>
      <c r="AD104" s="123" t="str">
        <f t="shared" si="1"/>
        <v>External Transfer-Other banks</v>
      </c>
      <c r="AE104" s="123" t="str">
        <f>VLOOKUP(Table1[[#This Row],[Name of bank]],'اكواد البنوك'!$A$2:$B$34,2,0)</f>
        <v>QNBAEGCXXXX</v>
      </c>
      <c r="AF104" s="21" t="s">
        <v>698</v>
      </c>
      <c r="AG104" s="15" t="s">
        <v>49</v>
      </c>
    </row>
    <row r="105" spans="1:33">
      <c r="A105" s="14">
        <v>104</v>
      </c>
      <c r="B105" s="14">
        <v>302</v>
      </c>
      <c r="C105" s="14" t="e">
        <v>#N/A</v>
      </c>
      <c r="D105" s="15" t="s">
        <v>80</v>
      </c>
      <c r="E105" s="16" t="s">
        <v>1123</v>
      </c>
      <c r="F105" s="32" t="s">
        <v>1124</v>
      </c>
      <c r="G105" s="17" t="s">
        <v>1125</v>
      </c>
      <c r="H105" s="18" t="s">
        <v>1126</v>
      </c>
      <c r="I105" s="16" t="s">
        <v>1127</v>
      </c>
      <c r="J105" s="16" t="s">
        <v>1128</v>
      </c>
      <c r="K105" s="16">
        <v>66732208</v>
      </c>
      <c r="L105" s="16" t="s">
        <v>234</v>
      </c>
      <c r="M105" s="16"/>
      <c r="N105" s="16">
        <v>28306100200047</v>
      </c>
      <c r="O105" s="16" t="s">
        <v>1129</v>
      </c>
      <c r="P105" s="16" t="s">
        <v>1130</v>
      </c>
      <c r="Q105" s="16" t="s">
        <v>44</v>
      </c>
      <c r="R105" s="16" t="s">
        <v>91</v>
      </c>
      <c r="S105" s="19" t="s">
        <v>1123</v>
      </c>
      <c r="T105" s="20" t="s">
        <v>93</v>
      </c>
      <c r="U105" s="16" t="s">
        <v>1131</v>
      </c>
      <c r="V105" s="16" t="s">
        <v>1132</v>
      </c>
      <c r="W105" s="30" t="s">
        <v>1133</v>
      </c>
      <c r="X105" s="18" t="s">
        <v>542</v>
      </c>
      <c r="Y105" s="18" t="s">
        <v>98</v>
      </c>
      <c r="Z105" s="18" t="s">
        <v>44</v>
      </c>
      <c r="AA105" s="16" t="s">
        <v>45</v>
      </c>
      <c r="AB105" s="16" t="s">
        <v>577</v>
      </c>
      <c r="AC105" s="16" t="s">
        <v>47</v>
      </c>
      <c r="AD105" s="123" t="str">
        <f t="shared" si="1"/>
        <v>External Transfer-Other banks</v>
      </c>
      <c r="AE105" s="123" t="str">
        <f>VLOOKUP(Table1[[#This Row],[Name of bank]],'اكواد البنوك'!$A$2:$B$34,2,0)</f>
        <v>QNBAEGCXXXX</v>
      </c>
      <c r="AF105" s="21" t="s">
        <v>698</v>
      </c>
      <c r="AG105" s="15" t="s">
        <v>167</v>
      </c>
    </row>
    <row r="106" spans="1:33">
      <c r="A106" s="14">
        <v>105</v>
      </c>
      <c r="B106" s="14">
        <v>302</v>
      </c>
      <c r="C106" s="14" t="e">
        <v>#N/A</v>
      </c>
      <c r="D106" s="15" t="s">
        <v>80</v>
      </c>
      <c r="E106" s="16" t="s">
        <v>1134</v>
      </c>
      <c r="F106" s="32" t="s">
        <v>10073</v>
      </c>
      <c r="G106" s="17" t="s">
        <v>1135</v>
      </c>
      <c r="H106" s="18" t="s">
        <v>1136</v>
      </c>
      <c r="I106" s="16" t="s">
        <v>1137</v>
      </c>
      <c r="J106" s="16" t="s">
        <v>173</v>
      </c>
      <c r="K106" s="16" t="s">
        <v>148</v>
      </c>
      <c r="L106" s="16" t="s">
        <v>136</v>
      </c>
      <c r="M106" s="16" t="s">
        <v>136</v>
      </c>
      <c r="N106" s="16">
        <v>29602120202323</v>
      </c>
      <c r="O106" s="16" t="s">
        <v>1138</v>
      </c>
      <c r="P106" s="16" t="s">
        <v>1139</v>
      </c>
      <c r="Q106" s="16" t="s">
        <v>44</v>
      </c>
      <c r="R106" s="16" t="s">
        <v>91</v>
      </c>
      <c r="S106" s="19" t="s">
        <v>1140</v>
      </c>
      <c r="T106" s="20" t="s">
        <v>307</v>
      </c>
      <c r="U106" s="16" t="s">
        <v>1141</v>
      </c>
      <c r="V106" s="16" t="s">
        <v>1142</v>
      </c>
      <c r="W106" s="30" t="s">
        <v>1143</v>
      </c>
      <c r="X106" s="18" t="s">
        <v>127</v>
      </c>
      <c r="Y106" s="18" t="s">
        <v>98</v>
      </c>
      <c r="Z106" s="18" t="s">
        <v>44</v>
      </c>
      <c r="AA106" s="16" t="s">
        <v>45</v>
      </c>
      <c r="AB106" s="16" t="s">
        <v>577</v>
      </c>
      <c r="AC106" s="16" t="s">
        <v>47</v>
      </c>
      <c r="AD106" s="123" t="str">
        <f t="shared" si="1"/>
        <v>External Transfer-Other banks</v>
      </c>
      <c r="AE106" s="123" t="str">
        <f>VLOOKUP(Table1[[#This Row],[Name of bank]],'اكواد البنوك'!$A$2:$B$34,2,0)</f>
        <v>CIBEEGCXXXX</v>
      </c>
      <c r="AF106" s="21" t="s">
        <v>1144</v>
      </c>
      <c r="AG106" s="15" t="s">
        <v>49</v>
      </c>
    </row>
    <row r="107" spans="1:33">
      <c r="A107" s="14">
        <v>106</v>
      </c>
      <c r="B107" s="14">
        <v>304</v>
      </c>
      <c r="C107" s="14" t="e">
        <v>#N/A</v>
      </c>
      <c r="D107" s="15" t="s">
        <v>80</v>
      </c>
      <c r="E107" s="16" t="s">
        <v>1145</v>
      </c>
      <c r="F107" s="32" t="s">
        <v>1146</v>
      </c>
      <c r="G107" s="17" t="s">
        <v>1147</v>
      </c>
      <c r="H107" s="18" t="s">
        <v>1148</v>
      </c>
      <c r="I107" s="16" t="s">
        <v>1149</v>
      </c>
      <c r="J107" s="16" t="s">
        <v>86</v>
      </c>
      <c r="K107" s="16" t="s">
        <v>1150</v>
      </c>
      <c r="L107" s="16">
        <v>25893281</v>
      </c>
      <c r="M107" s="16" t="s">
        <v>929</v>
      </c>
      <c r="N107" s="16">
        <v>28812010201616</v>
      </c>
      <c r="O107" s="16" t="s">
        <v>1151</v>
      </c>
      <c r="P107" s="16" t="s">
        <v>1152</v>
      </c>
      <c r="Q107" s="16" t="s">
        <v>44</v>
      </c>
      <c r="R107" s="16" t="s">
        <v>91</v>
      </c>
      <c r="S107" s="19" t="s">
        <v>1145</v>
      </c>
      <c r="T107" s="20" t="s">
        <v>307</v>
      </c>
      <c r="U107" s="16" t="s">
        <v>308</v>
      </c>
      <c r="V107" s="16" t="s">
        <v>1153</v>
      </c>
      <c r="W107" s="30" t="s">
        <v>1154</v>
      </c>
      <c r="X107" s="18" t="s">
        <v>127</v>
      </c>
      <c r="Y107" s="18" t="s">
        <v>98</v>
      </c>
      <c r="Z107" s="18" t="s">
        <v>44</v>
      </c>
      <c r="AA107" s="16" t="s">
        <v>45</v>
      </c>
      <c r="AB107" s="16" t="s">
        <v>577</v>
      </c>
      <c r="AC107" s="16" t="s">
        <v>47</v>
      </c>
      <c r="AD107" s="123" t="str">
        <f t="shared" si="1"/>
        <v>External Transfer-Other banks</v>
      </c>
      <c r="AE107" s="123" t="str">
        <f>VLOOKUP(Table1[[#This Row],[Name of bank]],'اكواد البنوك'!$A$2:$B$34,2,0)</f>
        <v>CIBEEGCXXXX</v>
      </c>
      <c r="AF107" s="21" t="s">
        <v>311</v>
      </c>
      <c r="AG107" s="15" t="s">
        <v>49</v>
      </c>
    </row>
    <row r="108" spans="1:33">
      <c r="A108" s="14">
        <v>107</v>
      </c>
      <c r="B108" s="14">
        <v>304</v>
      </c>
      <c r="C108" s="14">
        <v>424</v>
      </c>
      <c r="D108" s="15" t="s">
        <v>80</v>
      </c>
      <c r="E108" s="16" t="s">
        <v>1155</v>
      </c>
      <c r="F108" s="32" t="s">
        <v>1156</v>
      </c>
      <c r="G108" s="17" t="s">
        <v>1157</v>
      </c>
      <c r="H108" s="18" t="s">
        <v>1158</v>
      </c>
      <c r="I108" s="16" t="s">
        <v>159</v>
      </c>
      <c r="J108" s="16" t="s">
        <v>86</v>
      </c>
      <c r="K108" s="16" t="s">
        <v>1159</v>
      </c>
      <c r="L108" s="16">
        <v>61129280</v>
      </c>
      <c r="M108" s="16" t="s">
        <v>1160</v>
      </c>
      <c r="N108" s="16">
        <v>28510060200703</v>
      </c>
      <c r="O108" s="16" t="s">
        <v>1161</v>
      </c>
      <c r="P108" s="16" t="s">
        <v>1162</v>
      </c>
      <c r="Q108" s="16" t="s">
        <v>44</v>
      </c>
      <c r="R108" s="16" t="s">
        <v>91</v>
      </c>
      <c r="S108" s="19" t="s">
        <v>1155</v>
      </c>
      <c r="T108" s="20" t="s">
        <v>40</v>
      </c>
      <c r="U108" s="16" t="s">
        <v>1163</v>
      </c>
      <c r="V108" s="16">
        <v>2.3050015711713001E+18</v>
      </c>
      <c r="W108" s="30" t="s">
        <v>1164</v>
      </c>
      <c r="X108" s="18" t="s">
        <v>127</v>
      </c>
      <c r="Y108" s="18" t="s">
        <v>98</v>
      </c>
      <c r="Z108" s="18" t="s">
        <v>44</v>
      </c>
      <c r="AA108" s="16" t="s">
        <v>45</v>
      </c>
      <c r="AB108" s="16" t="s">
        <v>577</v>
      </c>
      <c r="AC108" s="16" t="s">
        <v>47</v>
      </c>
      <c r="AD108" s="123" t="str">
        <f t="shared" si="1"/>
        <v>External Transfer-NBE</v>
      </c>
      <c r="AE108" s="123" t="str">
        <f>VLOOKUP(Table1[[#This Row],[Name of bank]],'اكواد البنوك'!$A$2:$B$34,2,0)</f>
        <v>NBEGEGCXXXX</v>
      </c>
      <c r="AF108" s="21" t="s">
        <v>1165</v>
      </c>
      <c r="AG108" s="15" t="s">
        <v>49</v>
      </c>
    </row>
    <row r="109" spans="1:33">
      <c r="A109" s="14">
        <v>108</v>
      </c>
      <c r="B109" s="14">
        <v>306</v>
      </c>
      <c r="C109" s="14" t="e">
        <v>#N/A</v>
      </c>
      <c r="D109" s="15" t="s">
        <v>80</v>
      </c>
      <c r="E109" s="16" t="s">
        <v>1166</v>
      </c>
      <c r="F109" s="32" t="s">
        <v>10134</v>
      </c>
      <c r="G109" s="17" t="s">
        <v>1167</v>
      </c>
      <c r="H109" s="18" t="s">
        <v>1168</v>
      </c>
      <c r="I109" s="16" t="s">
        <v>1169</v>
      </c>
      <c r="J109" s="16" t="s">
        <v>86</v>
      </c>
      <c r="K109" s="16" t="s">
        <v>1170</v>
      </c>
      <c r="L109" s="16">
        <v>47540413</v>
      </c>
      <c r="M109" s="16" t="s">
        <v>234</v>
      </c>
      <c r="N109" s="16">
        <v>29304260201334</v>
      </c>
      <c r="O109" s="16" t="s">
        <v>1171</v>
      </c>
      <c r="P109" s="16" t="s">
        <v>1172</v>
      </c>
      <c r="Q109" s="16" t="s">
        <v>44</v>
      </c>
      <c r="R109" s="16" t="s">
        <v>91</v>
      </c>
      <c r="S109" s="19" t="s">
        <v>1173</v>
      </c>
      <c r="T109" s="20" t="s">
        <v>307</v>
      </c>
      <c r="U109" s="16" t="s">
        <v>152</v>
      </c>
      <c r="V109" s="16" t="s">
        <v>1174</v>
      </c>
      <c r="W109" s="30" t="s">
        <v>1175</v>
      </c>
      <c r="X109" s="18" t="s">
        <v>127</v>
      </c>
      <c r="Y109" s="18" t="s">
        <v>98</v>
      </c>
      <c r="Z109" s="18" t="s">
        <v>44</v>
      </c>
      <c r="AA109" s="16" t="s">
        <v>45</v>
      </c>
      <c r="AB109" s="16" t="s">
        <v>577</v>
      </c>
      <c r="AC109" s="16" t="s">
        <v>47</v>
      </c>
      <c r="AD109" s="123" t="str">
        <f t="shared" si="1"/>
        <v>External Transfer-Other banks</v>
      </c>
      <c r="AE109" s="123" t="str">
        <f>VLOOKUP(Table1[[#This Row],[Name of bank]],'اكواد البنوك'!$A$2:$B$34,2,0)</f>
        <v>CIBEEGCXXXX</v>
      </c>
      <c r="AF109" s="21" t="s">
        <v>1176</v>
      </c>
      <c r="AG109" s="15" t="s">
        <v>49</v>
      </c>
    </row>
    <row r="110" spans="1:33">
      <c r="A110" s="14">
        <v>109</v>
      </c>
      <c r="B110" s="14">
        <v>306</v>
      </c>
      <c r="C110" s="14">
        <v>404</v>
      </c>
      <c r="D110" s="15" t="s">
        <v>80</v>
      </c>
      <c r="E110" s="16" t="s">
        <v>1177</v>
      </c>
      <c r="F110" s="32" t="s">
        <v>1178</v>
      </c>
      <c r="G110" s="17" t="s">
        <v>1179</v>
      </c>
      <c r="H110" s="18" t="s">
        <v>1180</v>
      </c>
      <c r="I110" s="16" t="s">
        <v>1181</v>
      </c>
      <c r="J110" s="16" t="s">
        <v>86</v>
      </c>
      <c r="K110" s="16" t="s">
        <v>1182</v>
      </c>
      <c r="L110" s="16">
        <v>53873353</v>
      </c>
      <c r="M110" s="16" t="s">
        <v>1183</v>
      </c>
      <c r="N110" s="16">
        <v>28009140201025</v>
      </c>
      <c r="O110" s="16" t="s">
        <v>1184</v>
      </c>
      <c r="P110" s="16" t="s">
        <v>1185</v>
      </c>
      <c r="Q110" s="16" t="s">
        <v>44</v>
      </c>
      <c r="R110" s="16" t="s">
        <v>91</v>
      </c>
      <c r="S110" s="19" t="s">
        <v>1186</v>
      </c>
      <c r="T110" s="20" t="s">
        <v>307</v>
      </c>
      <c r="U110" s="16" t="s">
        <v>760</v>
      </c>
      <c r="V110" s="16" t="s">
        <v>1187</v>
      </c>
      <c r="W110" s="30" t="s">
        <v>1188</v>
      </c>
      <c r="X110" s="18" t="s">
        <v>127</v>
      </c>
      <c r="Y110" s="18" t="s">
        <v>98</v>
      </c>
      <c r="Z110" s="18" t="s">
        <v>44</v>
      </c>
      <c r="AA110" s="16" t="s">
        <v>45</v>
      </c>
      <c r="AB110" s="16" t="s">
        <v>577</v>
      </c>
      <c r="AC110" s="16" t="s">
        <v>47</v>
      </c>
      <c r="AD110" s="123" t="str">
        <f t="shared" si="1"/>
        <v>External Transfer-Other banks</v>
      </c>
      <c r="AE110" s="123" t="str">
        <f>VLOOKUP(Table1[[#This Row],[Name of bank]],'اكواد البنوك'!$A$2:$B$34,2,0)</f>
        <v>CIBEEGCXXXX</v>
      </c>
      <c r="AF110" s="21" t="s">
        <v>311</v>
      </c>
      <c r="AG110" s="15" t="s">
        <v>49</v>
      </c>
    </row>
    <row r="111" spans="1:33">
      <c r="A111" s="14">
        <v>110</v>
      </c>
      <c r="B111" s="14">
        <v>308</v>
      </c>
      <c r="C111" s="14" t="e">
        <v>#N/A</v>
      </c>
      <c r="D111" s="15" t="s">
        <v>80</v>
      </c>
      <c r="E111" s="16" t="s">
        <v>1189</v>
      </c>
      <c r="F111" s="32" t="s">
        <v>1190</v>
      </c>
      <c r="G111" s="17" t="s">
        <v>1191</v>
      </c>
      <c r="H111" s="18" t="s">
        <v>1192</v>
      </c>
      <c r="I111" s="16" t="s">
        <v>1193</v>
      </c>
      <c r="J111" s="16" t="s">
        <v>86</v>
      </c>
      <c r="K111" s="16" t="s">
        <v>1194</v>
      </c>
      <c r="L111" s="16">
        <v>68729113</v>
      </c>
      <c r="M111" s="16" t="s">
        <v>136</v>
      </c>
      <c r="N111" s="16" t="s">
        <v>1195</v>
      </c>
      <c r="O111" s="16" t="s">
        <v>1196</v>
      </c>
      <c r="P111" s="16" t="s">
        <v>1197</v>
      </c>
      <c r="Q111" s="16" t="s">
        <v>44</v>
      </c>
      <c r="R111" s="16" t="s">
        <v>91</v>
      </c>
      <c r="S111" s="19" t="s">
        <v>1198</v>
      </c>
      <c r="T111" s="20" t="s">
        <v>93</v>
      </c>
      <c r="U111" s="16" t="s">
        <v>1199</v>
      </c>
      <c r="V111" s="16" t="s">
        <v>1200</v>
      </c>
      <c r="W111" s="30" t="s">
        <v>1201</v>
      </c>
      <c r="X111" s="18" t="s">
        <v>127</v>
      </c>
      <c r="Y111" s="18" t="s">
        <v>98</v>
      </c>
      <c r="Z111" s="18" t="s">
        <v>44</v>
      </c>
      <c r="AA111" s="16" t="s">
        <v>45</v>
      </c>
      <c r="AB111" s="16" t="s">
        <v>577</v>
      </c>
      <c r="AC111" s="16" t="s">
        <v>47</v>
      </c>
      <c r="AD111" s="123" t="str">
        <f t="shared" si="1"/>
        <v>External Transfer-Other banks</v>
      </c>
      <c r="AE111" s="123" t="str">
        <f>VLOOKUP(Table1[[#This Row],[Name of bank]],'اكواد البنوك'!$A$2:$B$34,2,0)</f>
        <v>QNBAEGCXXXX</v>
      </c>
      <c r="AF111" s="21" t="s">
        <v>100</v>
      </c>
      <c r="AG111" s="15" t="s">
        <v>49</v>
      </c>
    </row>
    <row r="112" spans="1:33">
      <c r="A112" s="14">
        <v>111</v>
      </c>
      <c r="B112" s="14">
        <v>308</v>
      </c>
      <c r="C112" s="14" t="e">
        <v>#N/A</v>
      </c>
      <c r="D112" s="15" t="s">
        <v>80</v>
      </c>
      <c r="E112" s="16" t="s">
        <v>1202</v>
      </c>
      <c r="F112" s="32" t="s">
        <v>10199</v>
      </c>
      <c r="G112" s="17" t="s">
        <v>1203</v>
      </c>
      <c r="H112" s="18" t="s">
        <v>1204</v>
      </c>
      <c r="I112" s="16" t="s">
        <v>1205</v>
      </c>
      <c r="J112" s="16" t="s">
        <v>1206</v>
      </c>
      <c r="K112" s="16">
        <v>80581965</v>
      </c>
      <c r="L112" s="16" t="s">
        <v>427</v>
      </c>
      <c r="M112" s="16"/>
      <c r="N112" s="16">
        <v>29907230200364</v>
      </c>
      <c r="O112" s="16" t="s">
        <v>1207</v>
      </c>
      <c r="P112" s="16" t="s">
        <v>1208</v>
      </c>
      <c r="Q112" s="16" t="s">
        <v>44</v>
      </c>
      <c r="R112" s="16" t="s">
        <v>91</v>
      </c>
      <c r="S112" s="19" t="s">
        <v>1209</v>
      </c>
      <c r="T112" s="20" t="s">
        <v>93</v>
      </c>
      <c r="U112" s="16" t="s">
        <v>1210</v>
      </c>
      <c r="V112" s="16">
        <v>1130364476820</v>
      </c>
      <c r="W112" s="30" t="s">
        <v>1211</v>
      </c>
      <c r="X112" s="18" t="s">
        <v>542</v>
      </c>
      <c r="Y112" s="18" t="s">
        <v>98</v>
      </c>
      <c r="Z112" s="18" t="s">
        <v>44</v>
      </c>
      <c r="AA112" s="16" t="s">
        <v>45</v>
      </c>
      <c r="AB112" s="16" t="s">
        <v>577</v>
      </c>
      <c r="AC112" s="16" t="s">
        <v>47</v>
      </c>
      <c r="AD112" s="123" t="str">
        <f t="shared" si="1"/>
        <v>External Transfer-Other banks</v>
      </c>
      <c r="AE112" s="123" t="str">
        <f>VLOOKUP(Table1[[#This Row],[Name of bank]],'اكواد البنوك'!$A$2:$B$34,2,0)</f>
        <v>QNBAEGCXXXX</v>
      </c>
      <c r="AF112" s="21" t="s">
        <v>1324</v>
      </c>
      <c r="AG112" s="15" t="s">
        <v>167</v>
      </c>
    </row>
    <row r="113" spans="1:33">
      <c r="A113" s="14">
        <v>112</v>
      </c>
      <c r="B113" s="14" t="s">
        <v>312</v>
      </c>
      <c r="C113" s="14" t="s">
        <v>206</v>
      </c>
      <c r="D113" s="15" t="s">
        <v>34</v>
      </c>
      <c r="E113" s="16" t="s">
        <v>1212</v>
      </c>
      <c r="F113" s="32" t="s">
        <v>1213</v>
      </c>
      <c r="G113" s="17" t="s">
        <v>1214</v>
      </c>
      <c r="H113" s="18" t="s">
        <v>1215</v>
      </c>
      <c r="I113" s="16" t="s">
        <v>34</v>
      </c>
      <c r="J113" s="16"/>
      <c r="K113" s="16"/>
      <c r="L113" s="16"/>
      <c r="M113" s="16"/>
      <c r="N113" s="16" t="s">
        <v>1216</v>
      </c>
      <c r="O113" s="16"/>
      <c r="P113" s="16"/>
      <c r="Q113" s="16"/>
      <c r="R113" s="16"/>
      <c r="S113" s="19"/>
      <c r="T113" s="20" t="s">
        <v>40</v>
      </c>
      <c r="U113" s="16"/>
      <c r="V113" s="16"/>
      <c r="W113" s="30">
        <v>121</v>
      </c>
      <c r="X113" s="18" t="s">
        <v>78</v>
      </c>
      <c r="Y113" s="18" t="s">
        <v>43</v>
      </c>
      <c r="Z113" s="18" t="s">
        <v>44</v>
      </c>
      <c r="AA113" s="16" t="s">
        <v>45</v>
      </c>
      <c r="AB113" s="16" t="s">
        <v>577</v>
      </c>
      <c r="AC113" s="16" t="s">
        <v>47</v>
      </c>
      <c r="AD113" s="123" t="str">
        <f t="shared" si="1"/>
        <v>Internal Transfer</v>
      </c>
      <c r="AE113" s="123" t="str">
        <f>VLOOKUP(Table1[[#This Row],[Name of bank]],'اكواد البنوك'!$A$2:$B$34,2,0)</f>
        <v>NBEGEGCXXXX</v>
      </c>
      <c r="AF113" s="21" t="s">
        <v>1217</v>
      </c>
      <c r="AG113" s="15" t="s">
        <v>49</v>
      </c>
    </row>
    <row r="114" spans="1:33">
      <c r="A114" s="14">
        <v>113</v>
      </c>
      <c r="B114" s="14" t="s">
        <v>312</v>
      </c>
      <c r="C114" s="14">
        <v>513</v>
      </c>
      <c r="D114" s="15" t="s">
        <v>80</v>
      </c>
      <c r="E114" s="16" t="s">
        <v>1218</v>
      </c>
      <c r="F114" s="32" t="s">
        <v>1219</v>
      </c>
      <c r="G114" s="17" t="s">
        <v>1220</v>
      </c>
      <c r="H114" s="18" t="s">
        <v>1221</v>
      </c>
      <c r="I114" s="16" t="s">
        <v>1222</v>
      </c>
      <c r="J114" s="16" t="s">
        <v>86</v>
      </c>
      <c r="K114" s="16" t="s">
        <v>1223</v>
      </c>
      <c r="L114" s="16">
        <v>49796175</v>
      </c>
      <c r="M114" s="16" t="s">
        <v>1224</v>
      </c>
      <c r="N114" s="16" t="s">
        <v>1225</v>
      </c>
      <c r="O114" s="16" t="s">
        <v>1226</v>
      </c>
      <c r="P114" s="16" t="s">
        <v>1227</v>
      </c>
      <c r="Q114" s="16" t="s">
        <v>44</v>
      </c>
      <c r="R114" s="16" t="s">
        <v>91</v>
      </c>
      <c r="S114" s="19" t="s">
        <v>1218</v>
      </c>
      <c r="T114" s="20" t="s">
        <v>176</v>
      </c>
      <c r="U114" s="16" t="s">
        <v>1120</v>
      </c>
      <c r="V114" s="16" t="s">
        <v>1228</v>
      </c>
      <c r="W114" s="30" t="s">
        <v>1229</v>
      </c>
      <c r="X114" s="18" t="s">
        <v>97</v>
      </c>
      <c r="Y114" s="18" t="s">
        <v>98</v>
      </c>
      <c r="Z114" s="18" t="s">
        <v>44</v>
      </c>
      <c r="AA114" s="16" t="s">
        <v>45</v>
      </c>
      <c r="AB114" s="16" t="s">
        <v>577</v>
      </c>
      <c r="AC114" s="16" t="s">
        <v>47</v>
      </c>
      <c r="AD114" s="123" t="str">
        <f t="shared" si="1"/>
        <v>External Transfer-Other banks</v>
      </c>
      <c r="AE114" s="123" t="str">
        <f>VLOOKUP(Table1[[#This Row],[Name of bank]],'اكواد البنوك'!$A$2:$B$34,2,0)</f>
        <v>BMISEGCXXXX</v>
      </c>
      <c r="AF114" s="21" t="s">
        <v>1230</v>
      </c>
      <c r="AG114" s="15" t="s">
        <v>49</v>
      </c>
    </row>
    <row r="115" spans="1:33">
      <c r="A115" s="14">
        <v>114</v>
      </c>
      <c r="B115" s="14" t="s">
        <v>312</v>
      </c>
      <c r="C115" s="14">
        <v>219</v>
      </c>
      <c r="D115" s="15" t="s">
        <v>80</v>
      </c>
      <c r="E115" s="16" t="s">
        <v>1231</v>
      </c>
      <c r="F115" s="32" t="s">
        <v>10075</v>
      </c>
      <c r="G115" s="17" t="s">
        <v>1232</v>
      </c>
      <c r="H115" s="18" t="s">
        <v>1233</v>
      </c>
      <c r="I115" s="16" t="s">
        <v>1234</v>
      </c>
      <c r="J115" s="16" t="s">
        <v>86</v>
      </c>
      <c r="K115" s="16" t="s">
        <v>553</v>
      </c>
      <c r="L115" s="16" t="s">
        <v>136</v>
      </c>
      <c r="M115" s="16" t="s">
        <v>136</v>
      </c>
      <c r="N115" s="16">
        <v>29410010218686</v>
      </c>
      <c r="O115" s="16" t="s">
        <v>1235</v>
      </c>
      <c r="P115" s="16" t="s">
        <v>1236</v>
      </c>
      <c r="Q115" s="16" t="s">
        <v>44</v>
      </c>
      <c r="R115" s="16" t="s">
        <v>91</v>
      </c>
      <c r="S115" s="19" t="s">
        <v>1237</v>
      </c>
      <c r="T115" s="20" t="s">
        <v>1238</v>
      </c>
      <c r="U115" s="16" t="s">
        <v>1239</v>
      </c>
      <c r="V115" s="16">
        <v>42093708001</v>
      </c>
      <c r="W115" s="30" t="s">
        <v>1240</v>
      </c>
      <c r="X115" s="18" t="s">
        <v>97</v>
      </c>
      <c r="Y115" s="18" t="s">
        <v>98</v>
      </c>
      <c r="Z115" s="18" t="s">
        <v>44</v>
      </c>
      <c r="AA115" s="16" t="s">
        <v>45</v>
      </c>
      <c r="AB115" s="16" t="s">
        <v>577</v>
      </c>
      <c r="AC115" s="16" t="s">
        <v>47</v>
      </c>
      <c r="AD115" s="123" t="str">
        <f t="shared" si="1"/>
        <v>External Transfer-Other banks</v>
      </c>
      <c r="AE115" s="123" t="str">
        <f>VLOOKUP(Table1[[#This Row],[Name of bank]],'اكواد البنوك'!$A$2:$B$34,2,0)</f>
        <v>EBBKEGCXXXX</v>
      </c>
      <c r="AF115" s="21" t="s">
        <v>1242</v>
      </c>
      <c r="AG115" s="15" t="s">
        <v>49</v>
      </c>
    </row>
    <row r="116" spans="1:33">
      <c r="A116" s="14">
        <v>115</v>
      </c>
      <c r="B116" s="14">
        <v>400</v>
      </c>
      <c r="C116" s="14" t="e">
        <v>#N/A</v>
      </c>
      <c r="D116" s="15" t="s">
        <v>80</v>
      </c>
      <c r="E116" s="16" t="s">
        <v>1243</v>
      </c>
      <c r="F116" s="32" t="s">
        <v>1244</v>
      </c>
      <c r="G116" s="17" t="s">
        <v>1245</v>
      </c>
      <c r="H116" s="18" t="s">
        <v>1246</v>
      </c>
      <c r="I116" s="16" t="s">
        <v>1247</v>
      </c>
      <c r="J116" s="16" t="s">
        <v>928</v>
      </c>
      <c r="K116" s="16">
        <v>77941673</v>
      </c>
      <c r="L116" s="16" t="s">
        <v>929</v>
      </c>
      <c r="M116" s="16"/>
      <c r="N116" s="16">
        <v>27908190200705</v>
      </c>
      <c r="O116" s="16" t="s">
        <v>1248</v>
      </c>
      <c r="P116" s="16" t="s">
        <v>1249</v>
      </c>
      <c r="Q116" s="16" t="s">
        <v>44</v>
      </c>
      <c r="R116" s="16" t="s">
        <v>91</v>
      </c>
      <c r="S116" s="19" t="s">
        <v>1250</v>
      </c>
      <c r="T116" s="20" t="s">
        <v>40</v>
      </c>
      <c r="U116" s="16" t="s">
        <v>110</v>
      </c>
      <c r="V116" s="16" t="s">
        <v>1251</v>
      </c>
      <c r="W116" s="30" t="s">
        <v>1252</v>
      </c>
      <c r="X116" s="18" t="s">
        <v>542</v>
      </c>
      <c r="Y116" s="18" t="s">
        <v>98</v>
      </c>
      <c r="Z116" s="18" t="s">
        <v>44</v>
      </c>
      <c r="AA116" s="16" t="s">
        <v>45</v>
      </c>
      <c r="AB116" s="16" t="s">
        <v>577</v>
      </c>
      <c r="AC116" s="16" t="s">
        <v>47</v>
      </c>
      <c r="AD116" s="123" t="str">
        <f t="shared" si="1"/>
        <v>External Transfer-NBE</v>
      </c>
      <c r="AE116" s="123" t="str">
        <f>VLOOKUP(Table1[[#This Row],[Name of bank]],'اكواد البنوك'!$A$2:$B$34,2,0)</f>
        <v>NBEGEGCXXXX</v>
      </c>
      <c r="AF116" s="21" t="s">
        <v>751</v>
      </c>
      <c r="AG116" s="15" t="s">
        <v>167</v>
      </c>
    </row>
    <row r="117" spans="1:33">
      <c r="A117" s="14">
        <v>116</v>
      </c>
      <c r="B117" s="14">
        <v>400</v>
      </c>
      <c r="C117" s="14">
        <v>404</v>
      </c>
      <c r="D117" s="15" t="s">
        <v>80</v>
      </c>
      <c r="E117" s="16" t="s">
        <v>1253</v>
      </c>
      <c r="F117" s="32" t="s">
        <v>1254</v>
      </c>
      <c r="G117" s="17" t="s">
        <v>1255</v>
      </c>
      <c r="H117" s="18" t="s">
        <v>1256</v>
      </c>
      <c r="I117" s="16" t="s">
        <v>1257</v>
      </c>
      <c r="J117" s="16" t="s">
        <v>86</v>
      </c>
      <c r="K117" s="16" t="s">
        <v>1258</v>
      </c>
      <c r="L117" s="16">
        <v>18398515</v>
      </c>
      <c r="M117" s="16" t="s">
        <v>1259</v>
      </c>
      <c r="N117" s="16">
        <v>28810080201726</v>
      </c>
      <c r="O117" s="16" t="s">
        <v>1260</v>
      </c>
      <c r="P117" s="16" t="s">
        <v>1261</v>
      </c>
      <c r="Q117" s="16" t="s">
        <v>44</v>
      </c>
      <c r="R117" s="16" t="s">
        <v>91</v>
      </c>
      <c r="S117" s="19" t="s">
        <v>1262</v>
      </c>
      <c r="T117" s="20" t="s">
        <v>40</v>
      </c>
      <c r="U117" s="16" t="s">
        <v>308</v>
      </c>
      <c r="V117" s="16" t="s">
        <v>1263</v>
      </c>
      <c r="W117" s="30" t="s">
        <v>1264</v>
      </c>
      <c r="X117" s="18" t="s">
        <v>127</v>
      </c>
      <c r="Y117" s="18" t="s">
        <v>98</v>
      </c>
      <c r="Z117" s="18" t="s">
        <v>44</v>
      </c>
      <c r="AA117" s="16" t="s">
        <v>45</v>
      </c>
      <c r="AB117" s="16" t="s">
        <v>577</v>
      </c>
      <c r="AC117" s="16" t="s">
        <v>47</v>
      </c>
      <c r="AD117" s="123" t="str">
        <f t="shared" si="1"/>
        <v>External Transfer-NBE</v>
      </c>
      <c r="AE117" s="123" t="str">
        <f>VLOOKUP(Table1[[#This Row],[Name of bank]],'اكواد البنوك'!$A$2:$B$34,2,0)</f>
        <v>NBEGEGCXXXX</v>
      </c>
      <c r="AF117" s="21" t="s">
        <v>1265</v>
      </c>
      <c r="AG117" s="15" t="s">
        <v>49</v>
      </c>
    </row>
    <row r="118" spans="1:33">
      <c r="A118" s="14">
        <v>117</v>
      </c>
      <c r="B118" s="14">
        <v>402</v>
      </c>
      <c r="C118" s="14">
        <v>304</v>
      </c>
      <c r="D118" s="15" t="s">
        <v>80</v>
      </c>
      <c r="E118" s="16" t="s">
        <v>1266</v>
      </c>
      <c r="F118" s="32" t="s">
        <v>1267</v>
      </c>
      <c r="G118" s="17" t="s">
        <v>1268</v>
      </c>
      <c r="H118" s="18" t="s">
        <v>1269</v>
      </c>
      <c r="I118" s="16" t="s">
        <v>1270</v>
      </c>
      <c r="J118" s="16" t="s">
        <v>86</v>
      </c>
      <c r="K118" s="16" t="s">
        <v>257</v>
      </c>
      <c r="L118" s="16">
        <v>1943839</v>
      </c>
      <c r="M118" s="16" t="s">
        <v>136</v>
      </c>
      <c r="N118" s="16">
        <v>28201080202068</v>
      </c>
      <c r="O118" s="16" t="s">
        <v>1271</v>
      </c>
      <c r="P118" s="16" t="s">
        <v>1272</v>
      </c>
      <c r="Q118" s="16" t="s">
        <v>44</v>
      </c>
      <c r="R118" s="16" t="s">
        <v>91</v>
      </c>
      <c r="S118" s="19" t="s">
        <v>1273</v>
      </c>
      <c r="T118" s="20" t="s">
        <v>307</v>
      </c>
      <c r="U118" s="16" t="s">
        <v>1274</v>
      </c>
      <c r="V118" s="16" t="s">
        <v>1275</v>
      </c>
      <c r="W118" s="30" t="s">
        <v>1276</v>
      </c>
      <c r="X118" s="18" t="s">
        <v>542</v>
      </c>
      <c r="Y118" s="18" t="s">
        <v>98</v>
      </c>
      <c r="Z118" s="18" t="s">
        <v>44</v>
      </c>
      <c r="AA118" s="16" t="s">
        <v>45</v>
      </c>
      <c r="AB118" s="16" t="s">
        <v>577</v>
      </c>
      <c r="AC118" s="16" t="s">
        <v>47</v>
      </c>
      <c r="AD118" s="123" t="str">
        <f t="shared" si="1"/>
        <v>External Transfer-Other banks</v>
      </c>
      <c r="AE118" s="123" t="str">
        <f>VLOOKUP(Table1[[#This Row],[Name of bank]],'اكواد البنوك'!$A$2:$B$34,2,0)</f>
        <v>CIBEEGCXXXX</v>
      </c>
      <c r="AF118" s="21" t="s">
        <v>1277</v>
      </c>
      <c r="AG118" s="15" t="s">
        <v>49</v>
      </c>
    </row>
    <row r="119" spans="1:33">
      <c r="A119" s="14">
        <v>118</v>
      </c>
      <c r="B119" s="14">
        <v>402</v>
      </c>
      <c r="C119" s="14" t="e">
        <v>#N/A</v>
      </c>
      <c r="D119" s="15" t="s">
        <v>80</v>
      </c>
      <c r="E119" s="16" t="s">
        <v>1278</v>
      </c>
      <c r="F119" s="32" t="s">
        <v>10040</v>
      </c>
      <c r="G119" s="17" t="s">
        <v>1279</v>
      </c>
      <c r="H119" s="18" t="s">
        <v>1280</v>
      </c>
      <c r="I119" s="16" t="s">
        <v>1281</v>
      </c>
      <c r="J119" s="16" t="s">
        <v>86</v>
      </c>
      <c r="K119" s="16" t="s">
        <v>953</v>
      </c>
      <c r="L119" s="16">
        <v>16489961</v>
      </c>
      <c r="M119" s="16" t="s">
        <v>136</v>
      </c>
      <c r="N119" s="16" t="s">
        <v>1282</v>
      </c>
      <c r="O119" s="16" t="s">
        <v>1283</v>
      </c>
      <c r="P119" s="16" t="s">
        <v>1284</v>
      </c>
      <c r="Q119" s="16" t="s">
        <v>44</v>
      </c>
      <c r="R119" s="16" t="s">
        <v>91</v>
      </c>
      <c r="S119" s="19" t="s">
        <v>1278</v>
      </c>
      <c r="T119" s="20" t="s">
        <v>1285</v>
      </c>
      <c r="U119" s="16" t="s">
        <v>1286</v>
      </c>
      <c r="V119" s="16" t="s">
        <v>1287</v>
      </c>
      <c r="W119" s="30" t="s">
        <v>1288</v>
      </c>
      <c r="X119" s="18" t="s">
        <v>542</v>
      </c>
      <c r="Y119" s="18" t="s">
        <v>98</v>
      </c>
      <c r="Z119" s="18" t="s">
        <v>44</v>
      </c>
      <c r="AA119" s="16" t="s">
        <v>45</v>
      </c>
      <c r="AB119" s="16" t="s">
        <v>577</v>
      </c>
      <c r="AC119" s="16" t="s">
        <v>47</v>
      </c>
      <c r="AD119" s="123" t="str">
        <f t="shared" si="1"/>
        <v>External Transfer-Other banks</v>
      </c>
      <c r="AE119" s="123" t="str">
        <f>VLOOKUP(Table1[[#This Row],[Name of bank]],'اكواد البنوك'!$A$2:$B$34,2,0)</f>
        <v>ABDIEGCAXXX</v>
      </c>
      <c r="AF119" s="21" t="s">
        <v>1290</v>
      </c>
      <c r="AG119" s="15" t="s">
        <v>49</v>
      </c>
    </row>
    <row r="120" spans="1:33">
      <c r="A120" s="14">
        <v>119</v>
      </c>
      <c r="B120" s="14">
        <v>404</v>
      </c>
      <c r="C120" s="14">
        <v>505</v>
      </c>
      <c r="D120" s="15" t="s">
        <v>80</v>
      </c>
      <c r="E120" s="16" t="s">
        <v>1291</v>
      </c>
      <c r="F120" s="32" t="s">
        <v>10166</v>
      </c>
      <c r="G120" s="17" t="s">
        <v>1292</v>
      </c>
      <c r="H120" s="18" t="s">
        <v>1293</v>
      </c>
      <c r="I120" s="16" t="s">
        <v>1294</v>
      </c>
      <c r="J120" s="16" t="s">
        <v>173</v>
      </c>
      <c r="K120" s="16" t="s">
        <v>269</v>
      </c>
      <c r="L120" s="16">
        <v>5332918</v>
      </c>
      <c r="M120" s="16">
        <v>21188889427</v>
      </c>
      <c r="N120" s="16">
        <v>28610280202221</v>
      </c>
      <c r="O120" s="16" t="s">
        <v>1295</v>
      </c>
      <c r="P120" s="16" t="s">
        <v>1296</v>
      </c>
      <c r="Q120" s="16" t="s">
        <v>44</v>
      </c>
      <c r="R120" s="16" t="s">
        <v>91</v>
      </c>
      <c r="S120" s="19" t="s">
        <v>1297</v>
      </c>
      <c r="T120" s="20" t="s">
        <v>40</v>
      </c>
      <c r="U120" s="16" t="s">
        <v>1298</v>
      </c>
      <c r="V120" s="16" t="s">
        <v>1299</v>
      </c>
      <c r="W120" s="30" t="s">
        <v>1300</v>
      </c>
      <c r="X120" s="18" t="s">
        <v>542</v>
      </c>
      <c r="Y120" s="18" t="s">
        <v>98</v>
      </c>
      <c r="Z120" s="18" t="s">
        <v>44</v>
      </c>
      <c r="AA120" s="16" t="s">
        <v>45</v>
      </c>
      <c r="AB120" s="16" t="s">
        <v>577</v>
      </c>
      <c r="AC120" s="16" t="s">
        <v>47</v>
      </c>
      <c r="AD120" s="123" t="str">
        <f t="shared" si="1"/>
        <v>External Transfer-NBE</v>
      </c>
      <c r="AE120" s="123" t="str">
        <f>VLOOKUP(Table1[[#This Row],[Name of bank]],'اكواد البنوك'!$A$2:$B$34,2,0)</f>
        <v>NBEGEGCXXXX</v>
      </c>
      <c r="AF120" s="21" t="s">
        <v>1301</v>
      </c>
      <c r="AG120" s="15" t="s">
        <v>49</v>
      </c>
    </row>
    <row r="121" spans="1:33">
      <c r="A121" s="14">
        <v>120</v>
      </c>
      <c r="B121" s="14">
        <v>404</v>
      </c>
      <c r="C121" s="14" t="e">
        <v>#N/A</v>
      </c>
      <c r="D121" s="15" t="s">
        <v>80</v>
      </c>
      <c r="E121" s="16" t="s">
        <v>1302</v>
      </c>
      <c r="F121" s="32" t="s">
        <v>1303</v>
      </c>
      <c r="G121" s="17" t="s">
        <v>1304</v>
      </c>
      <c r="H121" s="18" t="s">
        <v>1305</v>
      </c>
      <c r="I121" s="16" t="s">
        <v>1306</v>
      </c>
      <c r="J121" s="16" t="s">
        <v>1307</v>
      </c>
      <c r="K121" s="16">
        <v>18530089</v>
      </c>
      <c r="L121" s="16" t="s">
        <v>234</v>
      </c>
      <c r="M121" s="16"/>
      <c r="N121" s="16">
        <v>28804010204817</v>
      </c>
      <c r="O121" s="16" t="s">
        <v>1308</v>
      </c>
      <c r="P121" s="16" t="s">
        <v>1309</v>
      </c>
      <c r="Q121" s="16" t="s">
        <v>44</v>
      </c>
      <c r="R121" s="16" t="s">
        <v>91</v>
      </c>
      <c r="S121" s="19" t="s">
        <v>1310</v>
      </c>
      <c r="T121" s="20" t="s">
        <v>40</v>
      </c>
      <c r="U121" s="16" t="s">
        <v>1311</v>
      </c>
      <c r="V121" s="16" t="s">
        <v>1312</v>
      </c>
      <c r="W121" s="30" t="s">
        <v>1313</v>
      </c>
      <c r="X121" s="18" t="s">
        <v>542</v>
      </c>
      <c r="Y121" s="18" t="s">
        <v>98</v>
      </c>
      <c r="Z121" s="18" t="s">
        <v>44</v>
      </c>
      <c r="AA121" s="16" t="s">
        <v>45</v>
      </c>
      <c r="AB121" s="16" t="s">
        <v>577</v>
      </c>
      <c r="AC121" s="16" t="s">
        <v>47</v>
      </c>
      <c r="AD121" s="123" t="str">
        <f t="shared" si="1"/>
        <v>External Transfer-NBE</v>
      </c>
      <c r="AE121" s="123" t="str">
        <f>VLOOKUP(Table1[[#This Row],[Name of bank]],'اكواد البنوك'!$A$2:$B$34,2,0)</f>
        <v>NBEGEGCXXXX</v>
      </c>
      <c r="AF121" s="21" t="s">
        <v>10371</v>
      </c>
      <c r="AG121" s="15" t="s">
        <v>167</v>
      </c>
    </row>
    <row r="122" spans="1:33">
      <c r="A122" s="14">
        <v>121</v>
      </c>
      <c r="B122" s="14">
        <v>406</v>
      </c>
      <c r="C122" s="14" t="e">
        <v>#N/A</v>
      </c>
      <c r="D122" s="15" t="s">
        <v>80</v>
      </c>
      <c r="E122" s="16" t="s">
        <v>1314</v>
      </c>
      <c r="F122" s="32" t="s">
        <v>10007</v>
      </c>
      <c r="G122" s="17" t="s">
        <v>1315</v>
      </c>
      <c r="H122" s="18" t="s">
        <v>1316</v>
      </c>
      <c r="I122" s="16" t="s">
        <v>1317</v>
      </c>
      <c r="J122" s="16" t="s">
        <v>86</v>
      </c>
      <c r="K122" s="16" t="s">
        <v>1318</v>
      </c>
      <c r="L122" s="16">
        <v>75314226</v>
      </c>
      <c r="M122" s="16" t="s">
        <v>234</v>
      </c>
      <c r="N122" s="16">
        <v>29407010208728</v>
      </c>
      <c r="O122" s="16" t="s">
        <v>1319</v>
      </c>
      <c r="P122" s="16" t="s">
        <v>1320</v>
      </c>
      <c r="Q122" s="16" t="s">
        <v>44</v>
      </c>
      <c r="R122" s="16" t="s">
        <v>91</v>
      </c>
      <c r="S122" s="19" t="s">
        <v>1321</v>
      </c>
      <c r="T122" s="20" t="s">
        <v>93</v>
      </c>
      <c r="U122" s="16" t="s">
        <v>1322</v>
      </c>
      <c r="V122" s="16">
        <v>1002445324220</v>
      </c>
      <c r="W122" s="30" t="s">
        <v>1323</v>
      </c>
      <c r="X122" s="18" t="s">
        <v>127</v>
      </c>
      <c r="Y122" s="18" t="s">
        <v>98</v>
      </c>
      <c r="Z122" s="18" t="s">
        <v>44</v>
      </c>
      <c r="AA122" s="16" t="s">
        <v>45</v>
      </c>
      <c r="AB122" s="16" t="s">
        <v>577</v>
      </c>
      <c r="AC122" s="16" t="s">
        <v>47</v>
      </c>
      <c r="AD122" s="123" t="str">
        <f t="shared" si="1"/>
        <v>External Transfer-Other banks</v>
      </c>
      <c r="AE122" s="123" t="str">
        <f>VLOOKUP(Table1[[#This Row],[Name of bank]],'اكواد البنوك'!$A$2:$B$34,2,0)</f>
        <v>QNBAEGCXXXX</v>
      </c>
      <c r="AF122" s="21" t="s">
        <v>1324</v>
      </c>
      <c r="AG122" s="15" t="s">
        <v>49</v>
      </c>
    </row>
    <row r="123" spans="1:33">
      <c r="A123" s="14">
        <v>122</v>
      </c>
      <c r="B123" s="14">
        <v>406</v>
      </c>
      <c r="C123" s="14" t="e">
        <v>#N/A</v>
      </c>
      <c r="D123" s="15" t="s">
        <v>80</v>
      </c>
      <c r="E123" s="16" t="s">
        <v>1325</v>
      </c>
      <c r="F123" s="32" t="s">
        <v>1326</v>
      </c>
      <c r="G123" s="17" t="s">
        <v>1327</v>
      </c>
      <c r="H123" s="18" t="s">
        <v>1328</v>
      </c>
      <c r="I123" s="16" t="s">
        <v>1329</v>
      </c>
      <c r="J123" s="16" t="s">
        <v>86</v>
      </c>
      <c r="K123" s="16" t="s">
        <v>1330</v>
      </c>
      <c r="L123" s="16">
        <v>75633568</v>
      </c>
      <c r="M123" s="16" t="s">
        <v>427</v>
      </c>
      <c r="N123" s="16">
        <v>27702198800046</v>
      </c>
      <c r="O123" s="16" t="s">
        <v>1331</v>
      </c>
      <c r="P123" s="16" t="s">
        <v>1332</v>
      </c>
      <c r="Q123" s="16" t="s">
        <v>44</v>
      </c>
      <c r="R123" s="16" t="s">
        <v>91</v>
      </c>
      <c r="S123" s="19" t="s">
        <v>1333</v>
      </c>
      <c r="T123" s="20" t="s">
        <v>40</v>
      </c>
      <c r="U123" s="16" t="s">
        <v>238</v>
      </c>
      <c r="V123" s="16" t="s">
        <v>1334</v>
      </c>
      <c r="W123" s="30" t="s">
        <v>1335</v>
      </c>
      <c r="X123" s="18" t="s">
        <v>542</v>
      </c>
      <c r="Y123" s="18" t="s">
        <v>98</v>
      </c>
      <c r="Z123" s="18" t="s">
        <v>44</v>
      </c>
      <c r="AA123" s="16" t="s">
        <v>45</v>
      </c>
      <c r="AB123" s="16" t="s">
        <v>577</v>
      </c>
      <c r="AC123" s="16" t="s">
        <v>47</v>
      </c>
      <c r="AD123" s="123" t="str">
        <f t="shared" si="1"/>
        <v>External Transfer-NBE</v>
      </c>
      <c r="AE123" s="123" t="str">
        <f>VLOOKUP(Table1[[#This Row],[Name of bank]],'اكواد البنوك'!$A$2:$B$34,2,0)</f>
        <v>NBEGEGCXXXX</v>
      </c>
      <c r="AF123" s="21" t="s">
        <v>241</v>
      </c>
      <c r="AG123" s="15" t="s">
        <v>49</v>
      </c>
    </row>
    <row r="124" spans="1:33">
      <c r="A124" s="14">
        <v>123</v>
      </c>
      <c r="B124" s="14">
        <v>408</v>
      </c>
      <c r="C124" s="14" t="e">
        <v>#N/A</v>
      </c>
      <c r="D124" s="15" t="s">
        <v>80</v>
      </c>
      <c r="E124" s="16" t="s">
        <v>1336</v>
      </c>
      <c r="F124" s="32" t="s">
        <v>1337</v>
      </c>
      <c r="G124" s="17" t="s">
        <v>1338</v>
      </c>
      <c r="H124" s="18" t="s">
        <v>1339</v>
      </c>
      <c r="I124" s="16" t="s">
        <v>1340</v>
      </c>
      <c r="J124" s="16" t="s">
        <v>86</v>
      </c>
      <c r="K124" s="16" t="s">
        <v>1341</v>
      </c>
      <c r="L124" s="16" t="s">
        <v>136</v>
      </c>
      <c r="M124" s="16" t="s">
        <v>136</v>
      </c>
      <c r="N124" s="16" t="s">
        <v>1342</v>
      </c>
      <c r="O124" s="16" t="s">
        <v>1343</v>
      </c>
      <c r="P124" s="16" t="s">
        <v>1344</v>
      </c>
      <c r="Q124" s="16" t="s">
        <v>44</v>
      </c>
      <c r="R124" s="16" t="s">
        <v>91</v>
      </c>
      <c r="S124" s="19" t="s">
        <v>1345</v>
      </c>
      <c r="T124" s="20" t="s">
        <v>176</v>
      </c>
      <c r="U124" s="16"/>
      <c r="V124" s="16"/>
      <c r="W124" s="30" t="s">
        <v>1346</v>
      </c>
      <c r="X124" s="18" t="s">
        <v>542</v>
      </c>
      <c r="Y124" s="18" t="s">
        <v>98</v>
      </c>
      <c r="Z124" s="18" t="s">
        <v>44</v>
      </c>
      <c r="AA124" s="16" t="s">
        <v>45</v>
      </c>
      <c r="AB124" s="16" t="s">
        <v>577</v>
      </c>
      <c r="AC124" s="16" t="s">
        <v>47</v>
      </c>
      <c r="AD124" s="123" t="str">
        <f t="shared" si="1"/>
        <v>External Transfer-Other banks</v>
      </c>
      <c r="AE124" s="123" t="str">
        <f>VLOOKUP(Table1[[#This Row],[Name of bank]],'اكواد البنوك'!$A$2:$B$34,2,0)</f>
        <v>BMISEGCXXXX</v>
      </c>
      <c r="AF124" s="21" t="s">
        <v>1347</v>
      </c>
      <c r="AG124" s="15" t="s">
        <v>49</v>
      </c>
    </row>
    <row r="125" spans="1:33">
      <c r="A125" s="14">
        <v>124</v>
      </c>
      <c r="B125" s="14">
        <v>408</v>
      </c>
      <c r="C125" s="14">
        <v>507</v>
      </c>
      <c r="D125" s="15" t="s">
        <v>80</v>
      </c>
      <c r="E125" s="16" t="s">
        <v>1348</v>
      </c>
      <c r="F125" s="32" t="s">
        <v>1349</v>
      </c>
      <c r="G125" s="17" t="s">
        <v>1350</v>
      </c>
      <c r="H125" s="18" t="s">
        <v>1351</v>
      </c>
      <c r="I125" s="16" t="s">
        <v>1352</v>
      </c>
      <c r="J125" s="16" t="s">
        <v>86</v>
      </c>
      <c r="K125" s="16" t="s">
        <v>1353</v>
      </c>
      <c r="L125" s="16">
        <v>27670034</v>
      </c>
      <c r="M125" s="16" t="s">
        <v>234</v>
      </c>
      <c r="N125" s="16" t="s">
        <v>1354</v>
      </c>
      <c r="O125" s="16" t="s">
        <v>1355</v>
      </c>
      <c r="P125" s="16" t="s">
        <v>1356</v>
      </c>
      <c r="Q125" s="16" t="s">
        <v>44</v>
      </c>
      <c r="R125" s="16" t="s">
        <v>91</v>
      </c>
      <c r="S125" s="19" t="s">
        <v>1357</v>
      </c>
      <c r="T125" s="20" t="s">
        <v>93</v>
      </c>
      <c r="U125" s="16" t="s">
        <v>94</v>
      </c>
      <c r="V125" s="16" t="s">
        <v>1358</v>
      </c>
      <c r="W125" s="30" t="s">
        <v>1359</v>
      </c>
      <c r="X125" s="18" t="s">
        <v>127</v>
      </c>
      <c r="Y125" s="18" t="s">
        <v>98</v>
      </c>
      <c r="Z125" s="18" t="s">
        <v>44</v>
      </c>
      <c r="AA125" s="16" t="s">
        <v>45</v>
      </c>
      <c r="AB125" s="16" t="s">
        <v>577</v>
      </c>
      <c r="AC125" s="16" t="s">
        <v>47</v>
      </c>
      <c r="AD125" s="123" t="str">
        <f t="shared" si="1"/>
        <v>External Transfer-Other banks</v>
      </c>
      <c r="AE125" s="123" t="str">
        <f>VLOOKUP(Table1[[#This Row],[Name of bank]],'اكواد البنوك'!$A$2:$B$34,2,0)</f>
        <v>QNBAEGCXXXX</v>
      </c>
      <c r="AF125" s="21" t="s">
        <v>100</v>
      </c>
      <c r="AG125" s="15" t="s">
        <v>49</v>
      </c>
    </row>
    <row r="126" spans="1:33">
      <c r="A126" s="14">
        <v>125</v>
      </c>
      <c r="B126" s="14">
        <v>410</v>
      </c>
      <c r="C126" s="14">
        <v>305</v>
      </c>
      <c r="D126" s="15" t="s">
        <v>80</v>
      </c>
      <c r="E126" s="16" t="s">
        <v>1360</v>
      </c>
      <c r="F126" s="32" t="s">
        <v>1361</v>
      </c>
      <c r="G126" s="17" t="s">
        <v>1362</v>
      </c>
      <c r="H126" s="18" t="s">
        <v>1363</v>
      </c>
      <c r="I126" s="16" t="s">
        <v>1090</v>
      </c>
      <c r="J126" s="16" t="s">
        <v>86</v>
      </c>
      <c r="K126" s="16" t="s">
        <v>1364</v>
      </c>
      <c r="L126" s="16">
        <v>65518679</v>
      </c>
      <c r="M126" s="16" t="s">
        <v>977</v>
      </c>
      <c r="N126" s="16">
        <v>28508210200125</v>
      </c>
      <c r="O126" s="16" t="s">
        <v>1365</v>
      </c>
      <c r="P126" s="16" t="s">
        <v>1366</v>
      </c>
      <c r="Q126" s="16" t="s">
        <v>44</v>
      </c>
      <c r="R126" s="16" t="s">
        <v>91</v>
      </c>
      <c r="S126" s="19" t="s">
        <v>1367</v>
      </c>
      <c r="T126" s="20" t="s">
        <v>40</v>
      </c>
      <c r="U126" s="16" t="s">
        <v>327</v>
      </c>
      <c r="V126" s="16" t="s">
        <v>1368</v>
      </c>
      <c r="W126" s="30" t="s">
        <v>1369</v>
      </c>
      <c r="X126" s="18" t="s">
        <v>542</v>
      </c>
      <c r="Y126" s="18" t="s">
        <v>98</v>
      </c>
      <c r="Z126" s="18" t="s">
        <v>44</v>
      </c>
      <c r="AA126" s="16" t="s">
        <v>45</v>
      </c>
      <c r="AB126" s="16" t="s">
        <v>577</v>
      </c>
      <c r="AC126" s="16" t="s">
        <v>47</v>
      </c>
      <c r="AD126" s="123" t="str">
        <f t="shared" si="1"/>
        <v>External Transfer-NBE</v>
      </c>
      <c r="AE126" s="123" t="str">
        <f>VLOOKUP(Table1[[#This Row],[Name of bank]],'اكواد البنوك'!$A$2:$B$34,2,0)</f>
        <v>NBEGEGCXXXX</v>
      </c>
      <c r="AF126" s="21" t="s">
        <v>330</v>
      </c>
      <c r="AG126" s="15" t="s">
        <v>49</v>
      </c>
    </row>
    <row r="127" spans="1:33">
      <c r="A127" s="14">
        <v>126</v>
      </c>
      <c r="B127" s="14">
        <v>410</v>
      </c>
      <c r="C127" s="14" t="e">
        <v>#N/A</v>
      </c>
      <c r="D127" s="15" t="s">
        <v>80</v>
      </c>
      <c r="E127" s="16" t="s">
        <v>1370</v>
      </c>
      <c r="F127" s="32" t="s">
        <v>1371</v>
      </c>
      <c r="G127" s="17" t="s">
        <v>1372</v>
      </c>
      <c r="H127" s="18" t="s">
        <v>1373</v>
      </c>
      <c r="I127" s="16"/>
      <c r="J127" s="16" t="s">
        <v>86</v>
      </c>
      <c r="K127" s="16" t="s">
        <v>1374</v>
      </c>
      <c r="L127" s="16">
        <v>41076362</v>
      </c>
      <c r="M127" s="16">
        <v>432781498</v>
      </c>
      <c r="N127" s="16">
        <v>29008190202143</v>
      </c>
      <c r="O127" s="16" t="s">
        <v>1375</v>
      </c>
      <c r="P127" s="16" t="s">
        <v>1376</v>
      </c>
      <c r="Q127" s="16" t="s">
        <v>44</v>
      </c>
      <c r="R127" s="16" t="s">
        <v>91</v>
      </c>
      <c r="S127" s="19" t="s">
        <v>1377</v>
      </c>
      <c r="T127" s="20" t="s">
        <v>223</v>
      </c>
      <c r="U127" s="16" t="s">
        <v>522</v>
      </c>
      <c r="V127" s="16" t="s">
        <v>1378</v>
      </c>
      <c r="W127" s="30" t="s">
        <v>1379</v>
      </c>
      <c r="X127" s="18" t="s">
        <v>542</v>
      </c>
      <c r="Y127" s="18" t="s">
        <v>98</v>
      </c>
      <c r="Z127" s="18" t="s">
        <v>44</v>
      </c>
      <c r="AA127" s="16" t="s">
        <v>45</v>
      </c>
      <c r="AB127" s="16" t="s">
        <v>577</v>
      </c>
      <c r="AC127" s="16" t="s">
        <v>47</v>
      </c>
      <c r="AD127" s="123" t="str">
        <f t="shared" si="1"/>
        <v>External Transfer-Other banks</v>
      </c>
      <c r="AE127" s="123" t="str">
        <f>VLOOKUP(Table1[[#This Row],[Name of bank]],'اكواد البنوك'!$A$2:$B$34,2,0)</f>
        <v>NBADEGCAXXX</v>
      </c>
      <c r="AF127" s="21" t="s">
        <v>227</v>
      </c>
      <c r="AG127" s="15" t="s">
        <v>49</v>
      </c>
    </row>
    <row r="128" spans="1:33">
      <c r="A128" s="14">
        <v>127</v>
      </c>
      <c r="B128" s="14" t="s">
        <v>1380</v>
      </c>
      <c r="C128" s="14">
        <v>405</v>
      </c>
      <c r="D128" s="15" t="s">
        <v>80</v>
      </c>
      <c r="E128" s="16" t="s">
        <v>1381</v>
      </c>
      <c r="F128" s="32" t="s">
        <v>1382</v>
      </c>
      <c r="G128" s="17" t="s">
        <v>1383</v>
      </c>
      <c r="H128" s="18" t="s">
        <v>1384</v>
      </c>
      <c r="I128" s="16" t="s">
        <v>1385</v>
      </c>
      <c r="J128" s="16" t="s">
        <v>86</v>
      </c>
      <c r="K128" s="16" t="s">
        <v>1386</v>
      </c>
      <c r="L128" s="16">
        <v>73922224</v>
      </c>
      <c r="M128" s="16">
        <v>432781498</v>
      </c>
      <c r="N128" s="16">
        <v>29107050202087</v>
      </c>
      <c r="O128" s="16" t="s">
        <v>1387</v>
      </c>
      <c r="P128" s="16" t="s">
        <v>1388</v>
      </c>
      <c r="Q128" s="16" t="s">
        <v>44</v>
      </c>
      <c r="R128" s="16" t="s">
        <v>91</v>
      </c>
      <c r="S128" s="19" t="s">
        <v>1382</v>
      </c>
      <c r="T128" s="20" t="s">
        <v>40</v>
      </c>
      <c r="U128" s="16" t="s">
        <v>1389</v>
      </c>
      <c r="V128" s="16" t="s">
        <v>1390</v>
      </c>
      <c r="W128" s="30" t="s">
        <v>1391</v>
      </c>
      <c r="X128" s="18" t="s">
        <v>542</v>
      </c>
      <c r="Y128" s="18" t="s">
        <v>98</v>
      </c>
      <c r="Z128" s="18" t="s">
        <v>44</v>
      </c>
      <c r="AA128" s="16" t="s">
        <v>45</v>
      </c>
      <c r="AB128" s="16" t="s">
        <v>577</v>
      </c>
      <c r="AC128" s="16" t="s">
        <v>47</v>
      </c>
      <c r="AD128" s="123" t="str">
        <f t="shared" si="1"/>
        <v>External Transfer-NBE</v>
      </c>
      <c r="AE128" s="123" t="str">
        <f>VLOOKUP(Table1[[#This Row],[Name of bank]],'اكواد البنوك'!$A$2:$B$34,2,0)</f>
        <v>NBEGEGCXXXX</v>
      </c>
      <c r="AF128" s="21" t="s">
        <v>1165</v>
      </c>
      <c r="AG128" s="15" t="s">
        <v>49</v>
      </c>
    </row>
    <row r="129" spans="1:33">
      <c r="A129" s="14">
        <v>128</v>
      </c>
      <c r="B129" s="14" t="s">
        <v>1380</v>
      </c>
      <c r="C129" s="14" t="e">
        <v>#N/A</v>
      </c>
      <c r="D129" s="15" t="s">
        <v>80</v>
      </c>
      <c r="E129" s="16" t="s">
        <v>1392</v>
      </c>
      <c r="F129" s="32" t="s">
        <v>1393</v>
      </c>
      <c r="G129" s="17" t="s">
        <v>1394</v>
      </c>
      <c r="H129" s="18" t="s">
        <v>1395</v>
      </c>
      <c r="I129" s="16" t="s">
        <v>1396</v>
      </c>
      <c r="J129" s="16" t="s">
        <v>86</v>
      </c>
      <c r="K129" s="16" t="s">
        <v>1397</v>
      </c>
      <c r="L129" s="16" t="s">
        <v>136</v>
      </c>
      <c r="M129" s="16" t="s">
        <v>136</v>
      </c>
      <c r="N129" s="16" t="s">
        <v>1398</v>
      </c>
      <c r="O129" s="16" t="s">
        <v>1399</v>
      </c>
      <c r="P129" s="16" t="s">
        <v>1400</v>
      </c>
      <c r="Q129" s="16" t="s">
        <v>44</v>
      </c>
      <c r="R129" s="16" t="s">
        <v>91</v>
      </c>
      <c r="S129" s="19" t="s">
        <v>1401</v>
      </c>
      <c r="T129" s="20" t="s">
        <v>176</v>
      </c>
      <c r="U129" s="16"/>
      <c r="V129" s="16"/>
      <c r="W129" s="30" t="s">
        <v>1402</v>
      </c>
      <c r="X129" s="18" t="s">
        <v>542</v>
      </c>
      <c r="Y129" s="18" t="s">
        <v>98</v>
      </c>
      <c r="Z129" s="18" t="s">
        <v>44</v>
      </c>
      <c r="AA129" s="16" t="s">
        <v>45</v>
      </c>
      <c r="AB129" s="16" t="s">
        <v>577</v>
      </c>
      <c r="AC129" s="16" t="s">
        <v>47</v>
      </c>
      <c r="AD129" s="123" t="str">
        <f t="shared" si="1"/>
        <v>External Transfer-Other banks</v>
      </c>
      <c r="AE129" s="123" t="str">
        <f>VLOOKUP(Table1[[#This Row],[Name of bank]],'اكواد البنوك'!$A$2:$B$34,2,0)</f>
        <v>BMISEGCXXXX</v>
      </c>
      <c r="AF129" s="21" t="s">
        <v>1230</v>
      </c>
      <c r="AG129" s="15" t="s">
        <v>49</v>
      </c>
    </row>
    <row r="130" spans="1:33">
      <c r="A130" s="14">
        <v>129</v>
      </c>
      <c r="B130" s="14" t="s">
        <v>1403</v>
      </c>
      <c r="C130" s="14" t="e">
        <v>#N/A</v>
      </c>
      <c r="D130" s="15" t="s">
        <v>80</v>
      </c>
      <c r="E130" s="16" t="s">
        <v>1404</v>
      </c>
      <c r="F130" s="32" t="s">
        <v>1405</v>
      </c>
      <c r="G130" s="17" t="s">
        <v>1406</v>
      </c>
      <c r="H130" s="18" t="s">
        <v>1407</v>
      </c>
      <c r="I130" s="16" t="s">
        <v>840</v>
      </c>
      <c r="J130" s="16" t="s">
        <v>86</v>
      </c>
      <c r="K130" s="16" t="s">
        <v>1036</v>
      </c>
      <c r="L130" s="16" t="s">
        <v>136</v>
      </c>
      <c r="M130" s="16" t="s">
        <v>136</v>
      </c>
      <c r="N130" s="16" t="s">
        <v>1408</v>
      </c>
      <c r="O130" s="16" t="s">
        <v>1409</v>
      </c>
      <c r="P130" s="16" t="s">
        <v>1410</v>
      </c>
      <c r="Q130" s="16" t="s">
        <v>44</v>
      </c>
      <c r="R130" s="16" t="s">
        <v>91</v>
      </c>
      <c r="S130" s="19" t="s">
        <v>1404</v>
      </c>
      <c r="T130" s="20" t="s">
        <v>93</v>
      </c>
      <c r="U130" s="92" t="s">
        <v>1411</v>
      </c>
      <c r="V130" s="16" t="s">
        <v>1412</v>
      </c>
      <c r="W130" s="113" t="s">
        <v>1413</v>
      </c>
      <c r="X130" s="18" t="s">
        <v>127</v>
      </c>
      <c r="Y130" s="18" t="s">
        <v>98</v>
      </c>
      <c r="Z130" s="18" t="s">
        <v>44</v>
      </c>
      <c r="AA130" s="16" t="s">
        <v>45</v>
      </c>
      <c r="AB130" s="16" t="s">
        <v>577</v>
      </c>
      <c r="AC130" s="16" t="s">
        <v>47</v>
      </c>
      <c r="AD130" s="123" t="str">
        <f t="shared" ref="AD130:AD193" si="2">IF(ISNUMBER(SEARCH("EXTERNAL CASH",T130)),
   "EXTERNAL CASH",
   IF(ISNUMBER(SEARCH("شيك من القاهرة",T130)),
      "FUE",
      IF(ISNUMBER(SEARCH("INTERNAL CASH",T130)),
         "INTRNAL CASH",
         IF(Y130="IP",
            "Internal Transfer",
            IF(ISNUMBER(SEARCH("National Bank of Egypt",T130)),
               "External Transfer-NBE",
               "External Transfer-Other banks"
            )
         )
      )
   )
)</f>
        <v>External Transfer-Other banks</v>
      </c>
      <c r="AE130" s="123" t="str">
        <f>VLOOKUP(Table1[[#This Row],[Name of bank]],'اكواد البنوك'!$A$2:$B$34,2,0)</f>
        <v>QNBAEGCXXXX</v>
      </c>
      <c r="AF130" s="114" t="s">
        <v>10388</v>
      </c>
      <c r="AG130" s="15" t="s">
        <v>167</v>
      </c>
    </row>
    <row r="131" spans="1:33">
      <c r="A131" s="14">
        <v>130</v>
      </c>
      <c r="B131" s="14" t="s">
        <v>1403</v>
      </c>
      <c r="C131" s="14" t="e">
        <v>#N/A</v>
      </c>
      <c r="D131" s="15" t="s">
        <v>80</v>
      </c>
      <c r="E131" s="16" t="s">
        <v>1415</v>
      </c>
      <c r="F131" s="32" t="s">
        <v>10101</v>
      </c>
      <c r="G131" s="17" t="s">
        <v>1416</v>
      </c>
      <c r="H131" s="18" t="s">
        <v>1417</v>
      </c>
      <c r="I131" s="16" t="s">
        <v>988</v>
      </c>
      <c r="J131" s="16" t="s">
        <v>86</v>
      </c>
      <c r="K131" s="16" t="s">
        <v>1318</v>
      </c>
      <c r="L131" s="16">
        <v>49891342</v>
      </c>
      <c r="M131" s="16" t="s">
        <v>136</v>
      </c>
      <c r="N131" s="16" t="s">
        <v>1418</v>
      </c>
      <c r="O131" s="16" t="s">
        <v>1419</v>
      </c>
      <c r="P131" s="16" t="s">
        <v>1420</v>
      </c>
      <c r="Q131" s="16" t="s">
        <v>44</v>
      </c>
      <c r="R131" s="16" t="s">
        <v>91</v>
      </c>
      <c r="S131" s="19" t="s">
        <v>1421</v>
      </c>
      <c r="T131" s="20" t="s">
        <v>93</v>
      </c>
      <c r="U131" s="16" t="s">
        <v>1422</v>
      </c>
      <c r="V131" s="16">
        <v>11309585716</v>
      </c>
      <c r="W131" s="30" t="s">
        <v>1423</v>
      </c>
      <c r="X131" s="18" t="s">
        <v>127</v>
      </c>
      <c r="Y131" s="18" t="s">
        <v>98</v>
      </c>
      <c r="Z131" s="18" t="s">
        <v>44</v>
      </c>
      <c r="AA131" s="16" t="s">
        <v>45</v>
      </c>
      <c r="AB131" s="16" t="s">
        <v>577</v>
      </c>
      <c r="AC131" s="16" t="s">
        <v>47</v>
      </c>
      <c r="AD131" s="123" t="str">
        <f t="shared" si="2"/>
        <v>External Transfer-Other banks</v>
      </c>
      <c r="AE131" s="123" t="str">
        <f>VLOOKUP(Table1[[#This Row],[Name of bank]],'اكواد البنوك'!$A$2:$B$34,2,0)</f>
        <v>QNBAEGCXXXX</v>
      </c>
      <c r="AF131" s="21" t="s">
        <v>1324</v>
      </c>
      <c r="AG131" s="15" t="s">
        <v>49</v>
      </c>
    </row>
    <row r="132" spans="1:33">
      <c r="A132" s="14">
        <v>131</v>
      </c>
      <c r="B132" s="14" t="s">
        <v>1403</v>
      </c>
      <c r="C132" s="14" t="e">
        <v>#N/A</v>
      </c>
      <c r="D132" s="15" t="s">
        <v>80</v>
      </c>
      <c r="E132" s="16" t="s">
        <v>1424</v>
      </c>
      <c r="F132" s="32" t="s">
        <v>1425</v>
      </c>
      <c r="G132" s="17" t="s">
        <v>1426</v>
      </c>
      <c r="H132" s="18" t="s">
        <v>1427</v>
      </c>
      <c r="I132" s="16" t="s">
        <v>359</v>
      </c>
      <c r="J132" s="16" t="s">
        <v>86</v>
      </c>
      <c r="K132" s="16" t="s">
        <v>1428</v>
      </c>
      <c r="L132" s="16">
        <v>84681833</v>
      </c>
      <c r="M132" s="16">
        <v>432781498</v>
      </c>
      <c r="N132" s="16">
        <v>30009200201649</v>
      </c>
      <c r="O132" s="16" t="s">
        <v>1429</v>
      </c>
      <c r="P132" s="16" t="s">
        <v>1430</v>
      </c>
      <c r="Q132" s="16" t="s">
        <v>44</v>
      </c>
      <c r="R132" s="16" t="s">
        <v>91</v>
      </c>
      <c r="S132" s="19" t="s">
        <v>1431</v>
      </c>
      <c r="T132" s="20" t="s">
        <v>93</v>
      </c>
      <c r="U132" s="16" t="s">
        <v>164</v>
      </c>
      <c r="V132" s="16" t="s">
        <v>1432</v>
      </c>
      <c r="W132" s="30" t="s">
        <v>1433</v>
      </c>
      <c r="X132" s="18" t="s">
        <v>127</v>
      </c>
      <c r="Y132" s="18" t="s">
        <v>98</v>
      </c>
      <c r="Z132" s="18" t="s">
        <v>44</v>
      </c>
      <c r="AA132" s="16" t="s">
        <v>45</v>
      </c>
      <c r="AB132" s="16" t="s">
        <v>577</v>
      </c>
      <c r="AC132" s="16" t="s">
        <v>47</v>
      </c>
      <c r="AD132" s="123" t="str">
        <f t="shared" si="2"/>
        <v>External Transfer-Other banks</v>
      </c>
      <c r="AE132" s="123" t="str">
        <f>VLOOKUP(Table1[[#This Row],[Name of bank]],'اكواد البنوك'!$A$2:$B$34,2,0)</f>
        <v>QNBAEGCXXXX</v>
      </c>
      <c r="AF132" s="21" t="s">
        <v>874</v>
      </c>
      <c r="AG132" s="15" t="s">
        <v>49</v>
      </c>
    </row>
    <row r="133" spans="1:33">
      <c r="A133" s="14">
        <v>132</v>
      </c>
      <c r="B133" s="14" t="s">
        <v>1434</v>
      </c>
      <c r="C133" s="14" t="s">
        <v>1434</v>
      </c>
      <c r="D133" s="15" t="s">
        <v>34</v>
      </c>
      <c r="E133" s="16" t="s">
        <v>1435</v>
      </c>
      <c r="F133" s="32" t="s">
        <v>9995</v>
      </c>
      <c r="G133" s="17"/>
      <c r="H133" s="18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9"/>
      <c r="T133" s="20" t="s">
        <v>40</v>
      </c>
      <c r="U133" s="16"/>
      <c r="V133" s="16"/>
      <c r="W133" s="30">
        <v>90</v>
      </c>
      <c r="X133" s="18" t="s">
        <v>1434</v>
      </c>
      <c r="Y133" s="18" t="s">
        <v>43</v>
      </c>
      <c r="Z133" s="18" t="s">
        <v>44</v>
      </c>
      <c r="AA133" s="16" t="s">
        <v>45</v>
      </c>
      <c r="AB133" s="16" t="s">
        <v>46</v>
      </c>
      <c r="AC133" s="16" t="s">
        <v>47</v>
      </c>
      <c r="AD133" s="123" t="str">
        <f t="shared" si="2"/>
        <v>Internal Transfer</v>
      </c>
      <c r="AE133" s="123" t="str">
        <f>VLOOKUP(Table1[[#This Row],[Name of bank]],'اكواد البنوك'!$A$2:$B$34,2,0)</f>
        <v>NBEGEGCXXXX</v>
      </c>
      <c r="AF133" s="21">
        <v>90</v>
      </c>
      <c r="AG133" s="15" t="s">
        <v>49</v>
      </c>
    </row>
    <row r="134" spans="1:33">
      <c r="A134" s="14">
        <v>133</v>
      </c>
      <c r="B134" s="14" t="s">
        <v>1434</v>
      </c>
      <c r="C134" s="14" t="s">
        <v>1434</v>
      </c>
      <c r="D134" s="15" t="s">
        <v>34</v>
      </c>
      <c r="E134" s="16" t="s">
        <v>1436</v>
      </c>
      <c r="F134" s="32" t="s">
        <v>9996</v>
      </c>
      <c r="G134" s="17"/>
      <c r="H134" s="18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9"/>
      <c r="T134" s="20" t="s">
        <v>40</v>
      </c>
      <c r="U134" s="16"/>
      <c r="V134" s="16"/>
      <c r="W134" s="30">
        <v>91</v>
      </c>
      <c r="X134" s="18" t="s">
        <v>1434</v>
      </c>
      <c r="Y134" s="18" t="s">
        <v>43</v>
      </c>
      <c r="Z134" s="18" t="s">
        <v>44</v>
      </c>
      <c r="AA134" s="16" t="s">
        <v>45</v>
      </c>
      <c r="AB134" s="16" t="s">
        <v>46</v>
      </c>
      <c r="AC134" s="16" t="s">
        <v>47</v>
      </c>
      <c r="AD134" s="123" t="str">
        <f t="shared" si="2"/>
        <v>Internal Transfer</v>
      </c>
      <c r="AE134" s="123" t="str">
        <f>VLOOKUP(Table1[[#This Row],[Name of bank]],'اكواد البنوك'!$A$2:$B$34,2,0)</f>
        <v>NBEGEGCXXXX</v>
      </c>
      <c r="AF134" s="21">
        <v>91</v>
      </c>
      <c r="AG134" s="15" t="s">
        <v>49</v>
      </c>
    </row>
    <row r="135" spans="1:33">
      <c r="A135" s="14">
        <v>134</v>
      </c>
      <c r="B135" s="14">
        <v>206</v>
      </c>
      <c r="C135" s="14">
        <v>206</v>
      </c>
      <c r="D135" s="15" t="s">
        <v>34</v>
      </c>
      <c r="E135" s="16" t="s">
        <v>1437</v>
      </c>
      <c r="F135" s="32" t="s">
        <v>1438</v>
      </c>
      <c r="G135" s="17" t="s">
        <v>1439</v>
      </c>
      <c r="H135" s="18" t="s">
        <v>1440</v>
      </c>
      <c r="I135" s="16" t="s">
        <v>34</v>
      </c>
      <c r="J135" s="16"/>
      <c r="K135" s="16"/>
      <c r="L135" s="16" t="s">
        <v>34</v>
      </c>
      <c r="M135" s="16" t="s">
        <v>34</v>
      </c>
      <c r="N135" s="16">
        <v>29503010200394</v>
      </c>
      <c r="O135" s="16"/>
      <c r="P135" s="16"/>
      <c r="Q135" s="16"/>
      <c r="R135" s="16"/>
      <c r="S135" s="19"/>
      <c r="T135" s="20" t="s">
        <v>40</v>
      </c>
      <c r="U135" s="16"/>
      <c r="V135" s="16"/>
      <c r="W135" s="30" t="s">
        <v>1441</v>
      </c>
      <c r="X135" s="18" t="s">
        <v>31</v>
      </c>
      <c r="Y135" s="18" t="s">
        <v>43</v>
      </c>
      <c r="Z135" s="18" t="s">
        <v>32</v>
      </c>
      <c r="AA135" s="16" t="s">
        <v>624</v>
      </c>
      <c r="AB135" s="16" t="s">
        <v>1442</v>
      </c>
      <c r="AC135" s="16" t="s">
        <v>625</v>
      </c>
      <c r="AD135" s="123" t="str">
        <f t="shared" si="2"/>
        <v>Internal Transfer</v>
      </c>
      <c r="AE135" s="123" t="str">
        <f>VLOOKUP(Table1[[#This Row],[Name of bank]],'اكواد البنوك'!$A$2:$B$34,2,0)</f>
        <v>NBEGEGCXXXX</v>
      </c>
      <c r="AF135" s="21" t="s">
        <v>1441</v>
      </c>
      <c r="AG135" s="15"/>
    </row>
    <row r="136" spans="1:33">
      <c r="A136" s="14">
        <v>135</v>
      </c>
      <c r="B136" s="14">
        <v>206</v>
      </c>
      <c r="C136" s="14">
        <v>206</v>
      </c>
      <c r="D136" s="15" t="s">
        <v>34</v>
      </c>
      <c r="E136" s="16" t="s">
        <v>1443</v>
      </c>
      <c r="F136" s="32" t="s">
        <v>1444</v>
      </c>
      <c r="G136" s="17" t="s">
        <v>1445</v>
      </c>
      <c r="H136" s="18" t="s">
        <v>1446</v>
      </c>
      <c r="I136" s="16" t="s">
        <v>34</v>
      </c>
      <c r="J136" s="16"/>
      <c r="K136" s="16" t="s">
        <v>1447</v>
      </c>
      <c r="L136" s="16" t="s">
        <v>34</v>
      </c>
      <c r="M136" s="16"/>
      <c r="N136" s="16"/>
      <c r="O136" s="16"/>
      <c r="P136" s="16"/>
      <c r="Q136" s="16"/>
      <c r="R136" s="16"/>
      <c r="S136" s="19"/>
      <c r="T136" s="20" t="s">
        <v>40</v>
      </c>
      <c r="U136" s="16"/>
      <c r="V136" s="16"/>
      <c r="W136" s="30">
        <v>104</v>
      </c>
      <c r="X136" s="18" t="s">
        <v>66</v>
      </c>
      <c r="Y136" s="18" t="s">
        <v>43</v>
      </c>
      <c r="Z136" s="18" t="s">
        <v>32</v>
      </c>
      <c r="AA136" s="16" t="s">
        <v>624</v>
      </c>
      <c r="AB136" s="16" t="s">
        <v>1442</v>
      </c>
      <c r="AC136" s="16" t="s">
        <v>625</v>
      </c>
      <c r="AD136" s="123" t="str">
        <f t="shared" si="2"/>
        <v>Internal Transfer</v>
      </c>
      <c r="AE136" s="123" t="str">
        <f>VLOOKUP(Table1[[#This Row],[Name of bank]],'اكواد البنوك'!$A$2:$B$34,2,0)</f>
        <v>NBEGEGCXXXX</v>
      </c>
      <c r="AF136" s="21" t="s">
        <v>1448</v>
      </c>
      <c r="AG136" s="15"/>
    </row>
    <row r="137" spans="1:33">
      <c r="A137" s="14">
        <v>136</v>
      </c>
      <c r="B137" s="14">
        <v>206</v>
      </c>
      <c r="C137" s="14">
        <v>206</v>
      </c>
      <c r="D137" s="15" t="s">
        <v>34</v>
      </c>
      <c r="E137" s="16" t="s">
        <v>1449</v>
      </c>
      <c r="F137" s="32" t="s">
        <v>1450</v>
      </c>
      <c r="G137" s="17" t="s">
        <v>1451</v>
      </c>
      <c r="H137" s="18" t="s">
        <v>1452</v>
      </c>
      <c r="I137" s="16" t="s">
        <v>34</v>
      </c>
      <c r="J137" s="16"/>
      <c r="K137" s="16" t="s">
        <v>1447</v>
      </c>
      <c r="L137" s="16" t="s">
        <v>34</v>
      </c>
      <c r="M137" s="16" t="s">
        <v>34</v>
      </c>
      <c r="N137" s="16" t="s">
        <v>1453</v>
      </c>
      <c r="O137" s="16"/>
      <c r="P137" s="16"/>
      <c r="Q137" s="16"/>
      <c r="R137" s="16"/>
      <c r="S137" s="19"/>
      <c r="T137" s="20" t="s">
        <v>40</v>
      </c>
      <c r="U137" s="16"/>
      <c r="V137" s="16"/>
      <c r="W137" s="93">
        <v>109</v>
      </c>
      <c r="X137" s="18" t="s">
        <v>66</v>
      </c>
      <c r="Y137" s="18" t="s">
        <v>43</v>
      </c>
      <c r="Z137" s="18" t="s">
        <v>32</v>
      </c>
      <c r="AA137" s="16" t="s">
        <v>624</v>
      </c>
      <c r="AB137" s="16" t="s">
        <v>1454</v>
      </c>
      <c r="AC137" s="16" t="s">
        <v>1455</v>
      </c>
      <c r="AD137" s="123" t="str">
        <f t="shared" si="2"/>
        <v>Internal Transfer</v>
      </c>
      <c r="AE137" s="123" t="str">
        <f>VLOOKUP(Table1[[#This Row],[Name of bank]],'اكواد البنوك'!$A$2:$B$34,2,0)</f>
        <v>NBEGEGCXXXX</v>
      </c>
      <c r="AF137" s="21" t="s">
        <v>1456</v>
      </c>
      <c r="AG137" s="15"/>
    </row>
    <row r="138" spans="1:33">
      <c r="A138" s="14">
        <v>137</v>
      </c>
      <c r="B138" s="14" t="s">
        <v>639</v>
      </c>
      <c r="C138" s="14" t="s">
        <v>9984</v>
      </c>
      <c r="D138" s="15" t="s">
        <v>34</v>
      </c>
      <c r="E138" s="16" t="s">
        <v>1457</v>
      </c>
      <c r="F138" s="32" t="s">
        <v>1458</v>
      </c>
      <c r="G138" s="17" t="s">
        <v>1459</v>
      </c>
      <c r="H138" s="18" t="s">
        <v>1460</v>
      </c>
      <c r="I138" s="16" t="s">
        <v>34</v>
      </c>
      <c r="J138" s="16"/>
      <c r="K138" s="16"/>
      <c r="L138" s="16" t="s">
        <v>34</v>
      </c>
      <c r="M138" s="16" t="s">
        <v>34</v>
      </c>
      <c r="N138" s="16" t="s">
        <v>1461</v>
      </c>
      <c r="O138" s="16"/>
      <c r="P138" s="16"/>
      <c r="Q138" s="16"/>
      <c r="R138" s="16"/>
      <c r="S138" s="19"/>
      <c r="T138" s="20" t="s">
        <v>40</v>
      </c>
      <c r="U138" s="16"/>
      <c r="V138" s="16"/>
      <c r="W138" s="30" t="s">
        <v>1462</v>
      </c>
      <c r="X138" s="18" t="s">
        <v>78</v>
      </c>
      <c r="Y138" s="18" t="s">
        <v>43</v>
      </c>
      <c r="Z138" s="18" t="s">
        <v>32</v>
      </c>
      <c r="AA138" s="16" t="s">
        <v>624</v>
      </c>
      <c r="AB138" s="16" t="s">
        <v>1442</v>
      </c>
      <c r="AC138" s="16" t="s">
        <v>625</v>
      </c>
      <c r="AD138" s="123" t="str">
        <f t="shared" si="2"/>
        <v>Internal Transfer</v>
      </c>
      <c r="AE138" s="123" t="str">
        <f>VLOOKUP(Table1[[#This Row],[Name of bank]],'اكواد البنوك'!$A$2:$B$34,2,0)</f>
        <v>NBEGEGCXXXX</v>
      </c>
      <c r="AF138" s="21" t="s">
        <v>1462</v>
      </c>
      <c r="AG138" s="15"/>
    </row>
    <row r="139" spans="1:33">
      <c r="A139" s="14">
        <v>138</v>
      </c>
      <c r="B139" s="14" t="str">
        <f>B138</f>
        <v>1st Floor</v>
      </c>
      <c r="C139" s="14" t="s">
        <v>9983</v>
      </c>
      <c r="D139" s="15" t="s">
        <v>1463</v>
      </c>
      <c r="E139" s="16" t="s">
        <v>1468</v>
      </c>
      <c r="F139" s="32" t="s">
        <v>1469</v>
      </c>
      <c r="G139" s="17" t="s">
        <v>1470</v>
      </c>
      <c r="H139" s="18">
        <v>201024213979</v>
      </c>
      <c r="I139" s="16" t="s">
        <v>1463</v>
      </c>
      <c r="J139" s="16"/>
      <c r="K139" s="16"/>
      <c r="L139" s="16">
        <v>76481978</v>
      </c>
      <c r="M139" s="16"/>
      <c r="N139" s="16">
        <v>29410208801085</v>
      </c>
      <c r="O139" s="16"/>
      <c r="P139" s="16"/>
      <c r="Q139" s="16"/>
      <c r="R139" s="16"/>
      <c r="S139" s="19" t="s">
        <v>1469</v>
      </c>
      <c r="T139" s="20" t="s">
        <v>1464</v>
      </c>
      <c r="U139" s="92" t="s">
        <v>1465</v>
      </c>
      <c r="V139" s="16"/>
      <c r="W139" s="93" t="s">
        <v>1471</v>
      </c>
      <c r="X139" s="18" t="s">
        <v>97</v>
      </c>
      <c r="Y139" s="18" t="s">
        <v>98</v>
      </c>
      <c r="Z139" s="18" t="s">
        <v>32</v>
      </c>
      <c r="AA139" s="16" t="s">
        <v>624</v>
      </c>
      <c r="AB139" s="16" t="s">
        <v>1442</v>
      </c>
      <c r="AC139" s="16" t="s">
        <v>625</v>
      </c>
      <c r="AD139" s="123" t="str">
        <f t="shared" si="2"/>
        <v>External Transfer-Other banks</v>
      </c>
      <c r="AE139" s="123" t="str">
        <f>VLOOKUP(Table1[[#This Row],[Name of bank]],'اكواد البنوك'!$A$2:$B$34,2,0)</f>
        <v>HDBKEGCAXXX</v>
      </c>
      <c r="AF139" s="21" t="s">
        <v>1467</v>
      </c>
      <c r="AG139" s="15" t="s">
        <v>10381</v>
      </c>
    </row>
    <row r="140" spans="1:33">
      <c r="A140" s="14">
        <v>139</v>
      </c>
      <c r="B140" s="14" t="s">
        <v>1472</v>
      </c>
      <c r="C140" s="14" t="s">
        <v>9986</v>
      </c>
      <c r="D140" s="15" t="s">
        <v>1463</v>
      </c>
      <c r="E140" s="16" t="s">
        <v>1473</v>
      </c>
      <c r="F140" s="32" t="s">
        <v>10028</v>
      </c>
      <c r="G140" s="17" t="s">
        <v>1475</v>
      </c>
      <c r="H140" s="18">
        <v>201063967107</v>
      </c>
      <c r="I140" s="16" t="s">
        <v>1463</v>
      </c>
      <c r="J140" s="16"/>
      <c r="K140" s="16"/>
      <c r="L140" s="16">
        <v>77164582</v>
      </c>
      <c r="M140" s="16"/>
      <c r="N140" s="16">
        <v>29402121101076</v>
      </c>
      <c r="O140" s="16"/>
      <c r="P140" s="16"/>
      <c r="Q140" s="16"/>
      <c r="R140" s="16"/>
      <c r="S140" s="19" t="s">
        <v>1474</v>
      </c>
      <c r="T140" s="20" t="s">
        <v>1464</v>
      </c>
      <c r="U140" s="16" t="s">
        <v>1465</v>
      </c>
      <c r="V140" s="16"/>
      <c r="W140" s="30" t="s">
        <v>1476</v>
      </c>
      <c r="X140" s="18" t="s">
        <v>542</v>
      </c>
      <c r="Y140" s="18" t="s">
        <v>98</v>
      </c>
      <c r="Z140" s="18" t="s">
        <v>32</v>
      </c>
      <c r="AA140" s="16" t="s">
        <v>624</v>
      </c>
      <c r="AB140" s="16" t="s">
        <v>1442</v>
      </c>
      <c r="AC140" s="16" t="s">
        <v>625</v>
      </c>
      <c r="AD140" s="123" t="str">
        <f t="shared" si="2"/>
        <v>External Transfer-Other banks</v>
      </c>
      <c r="AE140" s="123" t="str">
        <f>VLOOKUP(Table1[[#This Row],[Name of bank]],'اكواد البنوك'!$A$2:$B$34,2,0)</f>
        <v>HDBKEGCAXXX</v>
      </c>
      <c r="AF140" s="21" t="s">
        <v>1467</v>
      </c>
      <c r="AG140" s="15" t="s">
        <v>10381</v>
      </c>
    </row>
    <row r="141" spans="1:33">
      <c r="A141" s="14">
        <v>140</v>
      </c>
      <c r="B141" s="14" t="str">
        <f>B140</f>
        <v>E205</v>
      </c>
      <c r="C141" s="14" t="s">
        <v>9986</v>
      </c>
      <c r="D141" s="15" t="s">
        <v>1463</v>
      </c>
      <c r="E141" s="16" t="s">
        <v>1477</v>
      </c>
      <c r="F141" s="32" t="s">
        <v>1478</v>
      </c>
      <c r="G141" s="17" t="s">
        <v>1479</v>
      </c>
      <c r="H141" s="18">
        <v>201062796108</v>
      </c>
      <c r="I141" s="16" t="s">
        <v>1463</v>
      </c>
      <c r="J141" s="16"/>
      <c r="K141" s="16"/>
      <c r="L141" s="16">
        <v>69919512</v>
      </c>
      <c r="M141" s="16"/>
      <c r="N141" s="16">
        <v>28909011204973</v>
      </c>
      <c r="O141" s="16"/>
      <c r="P141" s="16"/>
      <c r="Q141" s="16"/>
      <c r="R141" s="16"/>
      <c r="S141" s="19" t="s">
        <v>1478</v>
      </c>
      <c r="T141" s="20" t="s">
        <v>1464</v>
      </c>
      <c r="U141" s="16" t="s">
        <v>1480</v>
      </c>
      <c r="V141" s="16"/>
      <c r="W141" s="30" t="s">
        <v>1481</v>
      </c>
      <c r="X141" s="18" t="s">
        <v>542</v>
      </c>
      <c r="Y141" s="18" t="s">
        <v>98</v>
      </c>
      <c r="Z141" s="18" t="s">
        <v>32</v>
      </c>
      <c r="AA141" s="16" t="s">
        <v>624</v>
      </c>
      <c r="AB141" s="16" t="s">
        <v>1442</v>
      </c>
      <c r="AC141" s="16" t="s">
        <v>625</v>
      </c>
      <c r="AD141" s="123" t="str">
        <f t="shared" si="2"/>
        <v>External Transfer-Other banks</v>
      </c>
      <c r="AE141" s="123" t="str">
        <f>VLOOKUP(Table1[[#This Row],[Name of bank]],'اكواد البنوك'!$A$2:$B$34,2,0)</f>
        <v>HDBKEGCAXXX</v>
      </c>
      <c r="AF141" s="21" t="s">
        <v>1467</v>
      </c>
      <c r="AG141" s="15" t="s">
        <v>10381</v>
      </c>
    </row>
    <row r="142" spans="1:33">
      <c r="A142" s="14">
        <v>141</v>
      </c>
      <c r="B142" s="14" t="str">
        <f>B141</f>
        <v>E205</v>
      </c>
      <c r="C142" s="14" t="s">
        <v>9984</v>
      </c>
      <c r="D142" s="15" t="s">
        <v>1463</v>
      </c>
      <c r="E142" s="16" t="s">
        <v>1482</v>
      </c>
      <c r="F142" s="32" t="s">
        <v>10092</v>
      </c>
      <c r="G142" s="17" t="s">
        <v>1484</v>
      </c>
      <c r="H142" s="18">
        <v>201009045212</v>
      </c>
      <c r="I142" s="16" t="s">
        <v>1463</v>
      </c>
      <c r="J142" s="16"/>
      <c r="K142" s="16"/>
      <c r="L142" s="16">
        <v>68741150</v>
      </c>
      <c r="M142" s="16"/>
      <c r="N142" s="16">
        <v>28909301200424</v>
      </c>
      <c r="O142" s="16"/>
      <c r="P142" s="16"/>
      <c r="Q142" s="16"/>
      <c r="R142" s="16"/>
      <c r="S142" s="19" t="s">
        <v>1483</v>
      </c>
      <c r="T142" s="20" t="s">
        <v>1464</v>
      </c>
      <c r="U142" s="16" t="s">
        <v>1465</v>
      </c>
      <c r="V142" s="16"/>
      <c r="W142" s="113" t="s">
        <v>1485</v>
      </c>
      <c r="X142" s="18" t="s">
        <v>542</v>
      </c>
      <c r="Y142" s="18" t="s">
        <v>98</v>
      </c>
      <c r="Z142" s="18" t="s">
        <v>32</v>
      </c>
      <c r="AA142" s="16" t="s">
        <v>624</v>
      </c>
      <c r="AB142" s="16" t="s">
        <v>1442</v>
      </c>
      <c r="AC142" s="16" t="s">
        <v>625</v>
      </c>
      <c r="AD142" s="123" t="str">
        <f t="shared" si="2"/>
        <v>External Transfer-Other banks</v>
      </c>
      <c r="AE142" s="123" t="str">
        <f>VLOOKUP(Table1[[#This Row],[Name of bank]],'اكواد البنوك'!$A$2:$B$34,2,0)</f>
        <v>HDBKEGCAXXX</v>
      </c>
      <c r="AF142" s="114" t="s">
        <v>1467</v>
      </c>
      <c r="AG142" s="15" t="s">
        <v>10381</v>
      </c>
    </row>
    <row r="143" spans="1:33">
      <c r="A143" s="14">
        <v>142</v>
      </c>
      <c r="B143" s="14" t="str">
        <f>B142</f>
        <v>E205</v>
      </c>
      <c r="C143" s="14" t="e">
        <v>#N/A</v>
      </c>
      <c r="D143" s="15" t="s">
        <v>1463</v>
      </c>
      <c r="E143" s="16" t="s">
        <v>1486</v>
      </c>
      <c r="F143" s="32" t="s">
        <v>1487</v>
      </c>
      <c r="G143" s="17" t="s">
        <v>1488</v>
      </c>
      <c r="H143" s="18">
        <v>201094785018</v>
      </c>
      <c r="I143" s="16" t="s">
        <v>1463</v>
      </c>
      <c r="J143" s="16"/>
      <c r="K143" s="16"/>
      <c r="L143" s="16">
        <v>82371064</v>
      </c>
      <c r="M143" s="16"/>
      <c r="N143" s="16">
        <v>30002130300224</v>
      </c>
      <c r="O143" s="16"/>
      <c r="P143" s="16"/>
      <c r="Q143" s="16"/>
      <c r="R143" s="16"/>
      <c r="S143" s="19" t="s">
        <v>1489</v>
      </c>
      <c r="T143" s="20" t="s">
        <v>1464</v>
      </c>
      <c r="U143" s="16" t="s">
        <v>1480</v>
      </c>
      <c r="V143" s="16"/>
      <c r="W143" s="30" t="s">
        <v>1490</v>
      </c>
      <c r="X143" s="18" t="s">
        <v>542</v>
      </c>
      <c r="Y143" s="18" t="s">
        <v>98</v>
      </c>
      <c r="Z143" s="18" t="s">
        <v>32</v>
      </c>
      <c r="AA143" s="16" t="s">
        <v>624</v>
      </c>
      <c r="AB143" s="16" t="s">
        <v>1442</v>
      </c>
      <c r="AC143" s="16" t="s">
        <v>625</v>
      </c>
      <c r="AD143" s="123" t="str">
        <f t="shared" si="2"/>
        <v>External Transfer-Other banks</v>
      </c>
      <c r="AE143" s="123" t="str">
        <f>VLOOKUP(Table1[[#This Row],[Name of bank]],'اكواد البنوك'!$A$2:$B$34,2,0)</f>
        <v>HDBKEGCAXXX</v>
      </c>
      <c r="AF143" s="21" t="s">
        <v>1467</v>
      </c>
      <c r="AG143" s="15" t="s">
        <v>10381</v>
      </c>
    </row>
    <row r="144" spans="1:33">
      <c r="A144" s="14">
        <v>143</v>
      </c>
      <c r="B144" s="14" t="s">
        <v>1491</v>
      </c>
      <c r="C144" s="14" t="e">
        <v>#N/A</v>
      </c>
      <c r="D144" s="15" t="s">
        <v>1463</v>
      </c>
      <c r="E144" s="16" t="s">
        <v>1492</v>
      </c>
      <c r="F144" s="32" t="s">
        <v>1493</v>
      </c>
      <c r="G144" s="17" t="s">
        <v>1494</v>
      </c>
      <c r="H144" s="18">
        <v>201066607773</v>
      </c>
      <c r="I144" s="16" t="s">
        <v>1463</v>
      </c>
      <c r="J144" s="16"/>
      <c r="K144" s="16"/>
      <c r="L144" s="16">
        <v>76237366</v>
      </c>
      <c r="M144" s="16"/>
      <c r="N144" s="16">
        <v>29506121100193</v>
      </c>
      <c r="O144" s="16"/>
      <c r="P144" s="16"/>
      <c r="Q144" s="16"/>
      <c r="R144" s="16"/>
      <c r="S144" s="19" t="s">
        <v>167</v>
      </c>
      <c r="T144" s="20" t="s">
        <v>1464</v>
      </c>
      <c r="U144" s="16" t="s">
        <v>1480</v>
      </c>
      <c r="V144" s="16"/>
      <c r="W144" s="113" t="s">
        <v>1495</v>
      </c>
      <c r="X144" s="18" t="s">
        <v>542</v>
      </c>
      <c r="Y144" s="18" t="s">
        <v>98</v>
      </c>
      <c r="Z144" s="18" t="s">
        <v>32</v>
      </c>
      <c r="AA144" s="16" t="s">
        <v>624</v>
      </c>
      <c r="AB144" s="16" t="s">
        <v>1442</v>
      </c>
      <c r="AC144" s="16" t="s">
        <v>625</v>
      </c>
      <c r="AD144" s="123" t="str">
        <f t="shared" si="2"/>
        <v>External Transfer-Other banks</v>
      </c>
      <c r="AE144" s="123" t="str">
        <f>VLOOKUP(Table1[[#This Row],[Name of bank]],'اكواد البنوك'!$A$2:$B$34,2,0)</f>
        <v>HDBKEGCAXXX</v>
      </c>
      <c r="AF144" s="114" t="s">
        <v>1467</v>
      </c>
      <c r="AG144" s="15" t="s">
        <v>167</v>
      </c>
    </row>
    <row r="145" spans="1:33">
      <c r="A145" s="14">
        <v>144</v>
      </c>
      <c r="B145" s="14" t="str">
        <f>B144</f>
        <v>E211</v>
      </c>
      <c r="C145" s="14" t="e">
        <v>#N/A</v>
      </c>
      <c r="D145" s="15" t="s">
        <v>1463</v>
      </c>
      <c r="E145" s="16" t="s">
        <v>1496</v>
      </c>
      <c r="F145" s="32" t="s">
        <v>1497</v>
      </c>
      <c r="G145" s="17" t="s">
        <v>1498</v>
      </c>
      <c r="H145" s="18">
        <v>201006291500</v>
      </c>
      <c r="I145" s="16" t="s">
        <v>1463</v>
      </c>
      <c r="J145" s="16"/>
      <c r="K145" s="16"/>
      <c r="L145" s="16">
        <v>79646960</v>
      </c>
      <c r="M145" s="16"/>
      <c r="N145" s="16">
        <v>29411121100516</v>
      </c>
      <c r="O145" s="16"/>
      <c r="P145" s="16"/>
      <c r="Q145" s="16"/>
      <c r="R145" s="16"/>
      <c r="S145" s="19" t="s">
        <v>1497</v>
      </c>
      <c r="T145" s="20" t="s">
        <v>1464</v>
      </c>
      <c r="U145" s="16" t="s">
        <v>1480</v>
      </c>
      <c r="V145" s="16"/>
      <c r="W145" s="30" t="s">
        <v>1499</v>
      </c>
      <c r="X145" s="18" t="s">
        <v>542</v>
      </c>
      <c r="Y145" s="18" t="s">
        <v>98</v>
      </c>
      <c r="Z145" s="18" t="s">
        <v>32</v>
      </c>
      <c r="AA145" s="16" t="s">
        <v>624</v>
      </c>
      <c r="AB145" s="16" t="s">
        <v>1442</v>
      </c>
      <c r="AC145" s="16" t="s">
        <v>625</v>
      </c>
      <c r="AD145" s="123" t="str">
        <f t="shared" si="2"/>
        <v>External Transfer-Other banks</v>
      </c>
      <c r="AE145" s="123" t="str">
        <f>VLOOKUP(Table1[[#This Row],[Name of bank]],'اكواد البنوك'!$A$2:$B$34,2,0)</f>
        <v>HDBKEGCAXXX</v>
      </c>
      <c r="AF145" s="21" t="s">
        <v>1467</v>
      </c>
      <c r="AG145" s="15" t="s">
        <v>10381</v>
      </c>
    </row>
    <row r="146" spans="1:33">
      <c r="A146" s="14">
        <v>145</v>
      </c>
      <c r="B146" s="14" t="s">
        <v>1500</v>
      </c>
      <c r="C146" s="14" t="e">
        <v>#N/A</v>
      </c>
      <c r="D146" s="15" t="s">
        <v>1463</v>
      </c>
      <c r="E146" s="16" t="s">
        <v>1501</v>
      </c>
      <c r="F146" s="121" t="s">
        <v>10394</v>
      </c>
      <c r="G146" s="17" t="s">
        <v>1503</v>
      </c>
      <c r="H146" s="18">
        <v>201011345923</v>
      </c>
      <c r="I146" s="16" t="s">
        <v>1463</v>
      </c>
      <c r="J146" s="16"/>
      <c r="K146" s="16"/>
      <c r="L146" s="16">
        <v>82310369</v>
      </c>
      <c r="M146" s="16"/>
      <c r="N146" s="16">
        <v>29209021200846</v>
      </c>
      <c r="O146" s="16"/>
      <c r="P146" s="16"/>
      <c r="Q146" s="16"/>
      <c r="R146" s="16"/>
      <c r="S146" s="19" t="s">
        <v>1502</v>
      </c>
      <c r="T146" s="20" t="s">
        <v>1464</v>
      </c>
      <c r="U146" s="16" t="s">
        <v>1480</v>
      </c>
      <c r="V146" s="16"/>
      <c r="W146" s="113" t="s">
        <v>1504</v>
      </c>
      <c r="X146" s="18" t="s">
        <v>542</v>
      </c>
      <c r="Y146" s="18" t="s">
        <v>98</v>
      </c>
      <c r="Z146" s="18" t="s">
        <v>32</v>
      </c>
      <c r="AA146" s="16" t="s">
        <v>624</v>
      </c>
      <c r="AB146" s="16" t="s">
        <v>1442</v>
      </c>
      <c r="AC146" s="16" t="s">
        <v>625</v>
      </c>
      <c r="AD146" s="123" t="str">
        <f t="shared" si="2"/>
        <v>External Transfer-Other banks</v>
      </c>
      <c r="AE146" s="123" t="str">
        <f>VLOOKUP(Table1[[#This Row],[Name of bank]],'اكواد البنوك'!$A$2:$B$34,2,0)</f>
        <v>HDBKEGCAXXX</v>
      </c>
      <c r="AF146" s="114" t="s">
        <v>1467</v>
      </c>
      <c r="AG146" s="15" t="s">
        <v>10381</v>
      </c>
    </row>
    <row r="147" spans="1:33">
      <c r="A147" s="14">
        <v>146</v>
      </c>
      <c r="B147" s="14" t="str">
        <f>B146</f>
        <v>E212</v>
      </c>
      <c r="C147" s="14" t="e">
        <v>#N/A</v>
      </c>
      <c r="D147" s="15" t="s">
        <v>1463</v>
      </c>
      <c r="E147" s="16" t="s">
        <v>1505</v>
      </c>
      <c r="F147" s="121" t="s">
        <v>10182</v>
      </c>
      <c r="G147" s="17" t="s">
        <v>1506</v>
      </c>
      <c r="H147" s="18">
        <v>201064430655</v>
      </c>
      <c r="I147" s="16" t="s">
        <v>1463</v>
      </c>
      <c r="J147" s="16"/>
      <c r="K147" s="16"/>
      <c r="L147" s="16">
        <v>18136680</v>
      </c>
      <c r="M147" s="16"/>
      <c r="N147" s="16">
        <v>28809291200493</v>
      </c>
      <c r="O147" s="16"/>
      <c r="P147" s="16"/>
      <c r="Q147" s="16"/>
      <c r="R147" s="16"/>
      <c r="S147" s="19" t="s">
        <v>167</v>
      </c>
      <c r="T147" s="115" t="s">
        <v>40</v>
      </c>
      <c r="U147" s="116" t="s">
        <v>10395</v>
      </c>
      <c r="V147" s="16"/>
      <c r="W147" s="113" t="s">
        <v>10396</v>
      </c>
      <c r="X147" s="18" t="s">
        <v>542</v>
      </c>
      <c r="Y147" s="18" t="s">
        <v>98</v>
      </c>
      <c r="Z147" s="18" t="s">
        <v>32</v>
      </c>
      <c r="AA147" s="16" t="s">
        <v>624</v>
      </c>
      <c r="AB147" s="16" t="s">
        <v>1442</v>
      </c>
      <c r="AC147" s="16" t="s">
        <v>625</v>
      </c>
      <c r="AD147" s="123" t="str">
        <f t="shared" si="2"/>
        <v>External Transfer-NBE</v>
      </c>
      <c r="AE147" s="123" t="str">
        <f>VLOOKUP(Table1[[#This Row],[Name of bank]],'اكواد البنوك'!$A$2:$B$34,2,0)</f>
        <v>NBEGEGCXXXX</v>
      </c>
      <c r="AF147" s="114" t="s">
        <v>10397</v>
      </c>
      <c r="AG147" s="15" t="s">
        <v>167</v>
      </c>
    </row>
    <row r="148" spans="1:33">
      <c r="A148" s="14">
        <v>147</v>
      </c>
      <c r="B148" s="14" t="s">
        <v>1507</v>
      </c>
      <c r="C148" s="14" t="s">
        <v>9988</v>
      </c>
      <c r="D148" s="15" t="s">
        <v>1463</v>
      </c>
      <c r="E148" s="16" t="s">
        <v>1508</v>
      </c>
      <c r="F148" s="32" t="s">
        <v>10100</v>
      </c>
      <c r="G148" s="17" t="s">
        <v>1509</v>
      </c>
      <c r="H148" s="18">
        <v>201022428783</v>
      </c>
      <c r="I148" s="16" t="s">
        <v>1463</v>
      </c>
      <c r="J148" s="16"/>
      <c r="K148" s="16"/>
      <c r="L148" s="16">
        <v>55390443</v>
      </c>
      <c r="M148" s="16"/>
      <c r="N148" s="16">
        <v>30105091202183</v>
      </c>
      <c r="O148" s="16"/>
      <c r="P148" s="16"/>
      <c r="Q148" s="16"/>
      <c r="R148" s="16"/>
      <c r="S148" s="19" t="s">
        <v>167</v>
      </c>
      <c r="T148" s="20" t="s">
        <v>1464</v>
      </c>
      <c r="U148" s="16" t="s">
        <v>1480</v>
      </c>
      <c r="V148" s="16"/>
      <c r="W148" s="113" t="s">
        <v>1510</v>
      </c>
      <c r="X148" s="18" t="s">
        <v>542</v>
      </c>
      <c r="Y148" s="18" t="s">
        <v>98</v>
      </c>
      <c r="Z148" s="18" t="s">
        <v>32</v>
      </c>
      <c r="AA148" s="16" t="s">
        <v>624</v>
      </c>
      <c r="AB148" s="16" t="s">
        <v>1442</v>
      </c>
      <c r="AC148" s="16" t="s">
        <v>625</v>
      </c>
      <c r="AD148" s="123" t="str">
        <f t="shared" si="2"/>
        <v>External Transfer-Other banks</v>
      </c>
      <c r="AE148" s="123" t="str">
        <f>VLOOKUP(Table1[[#This Row],[Name of bank]],'اكواد البنوك'!$A$2:$B$34,2,0)</f>
        <v>HDBKEGCAXXX</v>
      </c>
      <c r="AF148" s="114" t="s">
        <v>1467</v>
      </c>
      <c r="AG148" s="15" t="s">
        <v>167</v>
      </c>
    </row>
    <row r="149" spans="1:33">
      <c r="A149" s="14">
        <v>148</v>
      </c>
      <c r="B149" s="14" t="str">
        <f>B148</f>
        <v>E214</v>
      </c>
      <c r="C149" s="14" t="e">
        <v>#N/A</v>
      </c>
      <c r="D149" s="15" t="s">
        <v>1463</v>
      </c>
      <c r="E149" s="16" t="s">
        <v>1511</v>
      </c>
      <c r="F149" s="32" t="s">
        <v>1512</v>
      </c>
      <c r="G149" s="17" t="s">
        <v>1513</v>
      </c>
      <c r="H149" s="18" t="s">
        <v>1514</v>
      </c>
      <c r="I149" s="16" t="s">
        <v>1463</v>
      </c>
      <c r="J149" s="16"/>
      <c r="K149" s="16"/>
      <c r="L149" s="16">
        <v>86076674</v>
      </c>
      <c r="M149" s="16"/>
      <c r="N149" s="16">
        <v>29807121100436</v>
      </c>
      <c r="O149" s="16"/>
      <c r="P149" s="16"/>
      <c r="Q149" s="16"/>
      <c r="R149" s="16"/>
      <c r="S149" s="19" t="s">
        <v>1512</v>
      </c>
      <c r="T149" s="20" t="s">
        <v>1464</v>
      </c>
      <c r="U149" s="16" t="s">
        <v>1465</v>
      </c>
      <c r="V149" s="16"/>
      <c r="W149" s="30" t="s">
        <v>1515</v>
      </c>
      <c r="X149" s="18" t="s">
        <v>542</v>
      </c>
      <c r="Y149" s="18" t="s">
        <v>98</v>
      </c>
      <c r="Z149" s="18" t="s">
        <v>32</v>
      </c>
      <c r="AA149" s="16" t="s">
        <v>624</v>
      </c>
      <c r="AB149" s="16" t="s">
        <v>1516</v>
      </c>
      <c r="AC149" s="16" t="s">
        <v>625</v>
      </c>
      <c r="AD149" s="123" t="str">
        <f t="shared" si="2"/>
        <v>External Transfer-Other banks</v>
      </c>
      <c r="AE149" s="123" t="str">
        <f>VLOOKUP(Table1[[#This Row],[Name of bank]],'اكواد البنوك'!$A$2:$B$34,2,0)</f>
        <v>HDBKEGCAXXX</v>
      </c>
      <c r="AF149" s="21" t="s">
        <v>1467</v>
      </c>
      <c r="AG149" s="15" t="s">
        <v>10381</v>
      </c>
    </row>
    <row r="150" spans="1:33">
      <c r="A150" s="14">
        <v>149</v>
      </c>
      <c r="B150" s="14" t="s">
        <v>811</v>
      </c>
      <c r="C150" s="14" t="s">
        <v>9982</v>
      </c>
      <c r="D150" s="15" t="s">
        <v>34</v>
      </c>
      <c r="E150" s="16" t="s">
        <v>1517</v>
      </c>
      <c r="F150" s="32" t="s">
        <v>1518</v>
      </c>
      <c r="G150" s="17" t="s">
        <v>1519</v>
      </c>
      <c r="H150" s="18" t="s">
        <v>1520</v>
      </c>
      <c r="I150" s="16" t="s">
        <v>34</v>
      </c>
      <c r="J150" s="16"/>
      <c r="K150" s="16" t="s">
        <v>1447</v>
      </c>
      <c r="L150" s="16" t="s">
        <v>34</v>
      </c>
      <c r="M150" s="16"/>
      <c r="N150" s="16" t="s">
        <v>1521</v>
      </c>
      <c r="O150" s="16"/>
      <c r="P150" s="16"/>
      <c r="Q150" s="16"/>
      <c r="R150" s="16"/>
      <c r="S150" s="19"/>
      <c r="T150" s="20" t="s">
        <v>40</v>
      </c>
      <c r="U150" s="16"/>
      <c r="V150" s="16"/>
      <c r="W150" s="30">
        <v>107</v>
      </c>
      <c r="X150" s="18" t="s">
        <v>78</v>
      </c>
      <c r="Y150" s="18" t="s">
        <v>43</v>
      </c>
      <c r="Z150" s="18" t="s">
        <v>32</v>
      </c>
      <c r="AA150" s="16" t="s">
        <v>624</v>
      </c>
      <c r="AB150" s="16" t="s">
        <v>1522</v>
      </c>
      <c r="AC150" s="16" t="s">
        <v>625</v>
      </c>
      <c r="AD150" s="123" t="str">
        <f t="shared" si="2"/>
        <v>Internal Transfer</v>
      </c>
      <c r="AE150" s="123" t="str">
        <f>VLOOKUP(Table1[[#This Row],[Name of bank]],'اكواد البنوك'!$A$2:$B$34,2,0)</f>
        <v>NBEGEGCXXXX</v>
      </c>
      <c r="AF150" s="21" t="s">
        <v>1523</v>
      </c>
      <c r="AG150" s="15"/>
    </row>
    <row r="151" spans="1:33">
      <c r="A151" s="14">
        <v>150</v>
      </c>
      <c r="B151" s="14" t="str">
        <f>B150</f>
        <v>2nd floor</v>
      </c>
      <c r="C151" s="14" t="e">
        <v>#N/A</v>
      </c>
      <c r="D151" s="15" t="s">
        <v>1463</v>
      </c>
      <c r="E151" s="16" t="s">
        <v>1524</v>
      </c>
      <c r="F151" s="32" t="s">
        <v>10024</v>
      </c>
      <c r="G151" s="17" t="s">
        <v>1526</v>
      </c>
      <c r="H151" s="18">
        <v>201091144402</v>
      </c>
      <c r="I151" s="16" t="s">
        <v>1463</v>
      </c>
      <c r="J151" s="16"/>
      <c r="K151" s="16"/>
      <c r="L151" s="16">
        <v>3250355</v>
      </c>
      <c r="M151" s="16"/>
      <c r="N151" s="16">
        <v>28609051100336</v>
      </c>
      <c r="O151" s="16"/>
      <c r="P151" s="16"/>
      <c r="Q151" s="16"/>
      <c r="R151" s="16"/>
      <c r="S151" s="19" t="s">
        <v>1525</v>
      </c>
      <c r="T151" s="20" t="s">
        <v>1464</v>
      </c>
      <c r="U151" s="16" t="s">
        <v>1480</v>
      </c>
      <c r="V151" s="16"/>
      <c r="W151" s="30" t="s">
        <v>1527</v>
      </c>
      <c r="X151" s="18" t="s">
        <v>97</v>
      </c>
      <c r="Y151" s="18" t="s">
        <v>98</v>
      </c>
      <c r="Z151" s="18" t="s">
        <v>32</v>
      </c>
      <c r="AA151" s="16" t="s">
        <v>624</v>
      </c>
      <c r="AB151" s="16" t="s">
        <v>1442</v>
      </c>
      <c r="AC151" s="16" t="s">
        <v>625</v>
      </c>
      <c r="AD151" s="123" t="str">
        <f t="shared" si="2"/>
        <v>External Transfer-Other banks</v>
      </c>
      <c r="AE151" s="123" t="str">
        <f>VLOOKUP(Table1[[#This Row],[Name of bank]],'اكواد البنوك'!$A$2:$B$34,2,0)</f>
        <v>HDBKEGCAXXX</v>
      </c>
      <c r="AF151" s="21" t="s">
        <v>1467</v>
      </c>
      <c r="AG151" s="15" t="s">
        <v>10381</v>
      </c>
    </row>
    <row r="152" spans="1:33">
      <c r="A152" s="14">
        <v>151</v>
      </c>
      <c r="B152" s="14" t="str">
        <f>B151</f>
        <v>2nd floor</v>
      </c>
      <c r="C152" s="14" t="s">
        <v>9987</v>
      </c>
      <c r="D152" s="15" t="s">
        <v>34</v>
      </c>
      <c r="E152" s="16" t="s">
        <v>1528</v>
      </c>
      <c r="F152" s="32" t="s">
        <v>10013</v>
      </c>
      <c r="G152" s="17" t="s">
        <v>1529</v>
      </c>
      <c r="H152" s="18" t="s">
        <v>1530</v>
      </c>
      <c r="I152" s="16" t="s">
        <v>34</v>
      </c>
      <c r="J152" s="16"/>
      <c r="K152" s="16" t="s">
        <v>1447</v>
      </c>
      <c r="L152" s="16" t="s">
        <v>34</v>
      </c>
      <c r="M152" s="16"/>
      <c r="N152" s="16" t="s">
        <v>1531</v>
      </c>
      <c r="O152" s="16"/>
      <c r="P152" s="16"/>
      <c r="Q152" s="16"/>
      <c r="R152" s="16"/>
      <c r="S152" s="19"/>
      <c r="T152" s="20" t="s">
        <v>40</v>
      </c>
      <c r="U152" s="16"/>
      <c r="V152" s="16"/>
      <c r="W152" s="30">
        <v>140</v>
      </c>
      <c r="X152" s="18" t="s">
        <v>97</v>
      </c>
      <c r="Y152" s="18" t="s">
        <v>43</v>
      </c>
      <c r="Z152" s="18" t="s">
        <v>32</v>
      </c>
      <c r="AA152" s="16" t="s">
        <v>624</v>
      </c>
      <c r="AB152" s="16" t="s">
        <v>1442</v>
      </c>
      <c r="AC152" s="16" t="s">
        <v>625</v>
      </c>
      <c r="AD152" s="123" t="str">
        <f t="shared" si="2"/>
        <v>Internal Transfer</v>
      </c>
      <c r="AE152" s="123" t="str">
        <f>VLOOKUP(Table1[[#This Row],[Name of bank]],'اكواد البنوك'!$A$2:$B$34,2,0)</f>
        <v>NBEGEGCXXXX</v>
      </c>
      <c r="AF152" s="21" t="s">
        <v>1532</v>
      </c>
      <c r="AG152" s="15"/>
    </row>
    <row r="153" spans="1:33">
      <c r="A153" s="14">
        <v>152</v>
      </c>
      <c r="B153" s="14" t="s">
        <v>1533</v>
      </c>
      <c r="C153" s="14" t="s">
        <v>9986</v>
      </c>
      <c r="D153" s="15" t="s">
        <v>1463</v>
      </c>
      <c r="E153" s="16" t="s">
        <v>1534</v>
      </c>
      <c r="F153" s="32" t="s">
        <v>1535</v>
      </c>
      <c r="G153" s="17" t="s">
        <v>1536</v>
      </c>
      <c r="H153" s="18">
        <v>201069645212</v>
      </c>
      <c r="I153" s="16" t="s">
        <v>1463</v>
      </c>
      <c r="J153" s="16"/>
      <c r="K153" s="16"/>
      <c r="L153" s="16">
        <v>86184984</v>
      </c>
      <c r="M153" s="16"/>
      <c r="N153" s="16">
        <v>30009011206729</v>
      </c>
      <c r="O153" s="16"/>
      <c r="P153" s="16"/>
      <c r="Q153" s="16"/>
      <c r="R153" s="16"/>
      <c r="S153" s="19" t="s">
        <v>1535</v>
      </c>
      <c r="T153" s="20" t="s">
        <v>1464</v>
      </c>
      <c r="U153" s="16" t="s">
        <v>1480</v>
      </c>
      <c r="V153" s="16"/>
      <c r="W153" s="113" t="s">
        <v>1537</v>
      </c>
      <c r="X153" s="18" t="s">
        <v>542</v>
      </c>
      <c r="Y153" s="18" t="s">
        <v>98</v>
      </c>
      <c r="Z153" s="18" t="s">
        <v>32</v>
      </c>
      <c r="AA153" s="16" t="s">
        <v>624</v>
      </c>
      <c r="AB153" s="16" t="s">
        <v>1442</v>
      </c>
      <c r="AC153" s="16" t="s">
        <v>625</v>
      </c>
      <c r="AD153" s="123" t="str">
        <f t="shared" si="2"/>
        <v>External Transfer-Other banks</v>
      </c>
      <c r="AE153" s="123" t="str">
        <f>VLOOKUP(Table1[[#This Row],[Name of bank]],'اكواد البنوك'!$A$2:$B$34,2,0)</f>
        <v>HDBKEGCAXXX</v>
      </c>
      <c r="AF153" s="114" t="s">
        <v>1467</v>
      </c>
      <c r="AG153" s="15" t="s">
        <v>10381</v>
      </c>
    </row>
    <row r="154" spans="1:33">
      <c r="A154" s="14">
        <v>153</v>
      </c>
      <c r="B154" s="14" t="str">
        <f>B153</f>
        <v>E310</v>
      </c>
      <c r="C154" s="14" t="e">
        <v>#N/A</v>
      </c>
      <c r="D154" s="15" t="s">
        <v>1463</v>
      </c>
      <c r="E154" s="16" t="s">
        <v>1538</v>
      </c>
      <c r="F154" s="32" t="s">
        <v>1539</v>
      </c>
      <c r="G154" s="17" t="s">
        <v>1540</v>
      </c>
      <c r="H154" s="18">
        <v>201019819317</v>
      </c>
      <c r="I154" s="16" t="s">
        <v>1463</v>
      </c>
      <c r="J154" s="16"/>
      <c r="K154" s="16"/>
      <c r="L154" s="16">
        <v>76343481</v>
      </c>
      <c r="M154" s="16"/>
      <c r="N154" s="16">
        <v>29210011104642</v>
      </c>
      <c r="O154" s="16"/>
      <c r="P154" s="16"/>
      <c r="Q154" s="16"/>
      <c r="R154" s="16"/>
      <c r="S154" s="19" t="s">
        <v>167</v>
      </c>
      <c r="T154" s="20" t="s">
        <v>1464</v>
      </c>
      <c r="U154" s="16" t="s">
        <v>1480</v>
      </c>
      <c r="V154" s="16"/>
      <c r="W154" s="30" t="s">
        <v>1541</v>
      </c>
      <c r="X154" s="18" t="s">
        <v>542</v>
      </c>
      <c r="Y154" s="18" t="s">
        <v>98</v>
      </c>
      <c r="Z154" s="18" t="s">
        <v>32</v>
      </c>
      <c r="AA154" s="16" t="s">
        <v>624</v>
      </c>
      <c r="AB154" s="16" t="s">
        <v>1442</v>
      </c>
      <c r="AC154" s="16" t="s">
        <v>625</v>
      </c>
      <c r="AD154" s="123" t="str">
        <f t="shared" si="2"/>
        <v>External Transfer-Other banks</v>
      </c>
      <c r="AE154" s="123" t="str">
        <f>VLOOKUP(Table1[[#This Row],[Name of bank]],'اكواد البنوك'!$A$2:$B$34,2,0)</f>
        <v>HDBKEGCAXXX</v>
      </c>
      <c r="AF154" s="21">
        <v>1826</v>
      </c>
      <c r="AG154" s="15" t="s">
        <v>167</v>
      </c>
    </row>
    <row r="155" spans="1:33" ht="15.75">
      <c r="A155" s="14">
        <v>154</v>
      </c>
      <c r="B155" s="14" t="str">
        <f>B154</f>
        <v>E310</v>
      </c>
      <c r="C155" s="14" t="e">
        <v>#N/A</v>
      </c>
      <c r="D155" s="15" t="s">
        <v>1463</v>
      </c>
      <c r="E155" s="16" t="s">
        <v>1542</v>
      </c>
      <c r="F155" s="32" t="s">
        <v>1543</v>
      </c>
      <c r="G155" s="17" t="s">
        <v>1544</v>
      </c>
      <c r="H155" s="18">
        <v>201030554454</v>
      </c>
      <c r="I155" s="16" t="s">
        <v>1463</v>
      </c>
      <c r="J155" s="16"/>
      <c r="K155" s="16"/>
      <c r="L155" s="16">
        <v>79023320</v>
      </c>
      <c r="M155" s="16"/>
      <c r="N155" s="16">
        <v>29510011213399</v>
      </c>
      <c r="O155" s="16"/>
      <c r="P155" s="16"/>
      <c r="Q155" s="16"/>
      <c r="R155" s="16"/>
      <c r="S155" s="19" t="s">
        <v>1543</v>
      </c>
      <c r="T155" s="20" t="s">
        <v>1464</v>
      </c>
      <c r="U155" s="16" t="s">
        <v>1480</v>
      </c>
      <c r="V155" s="16"/>
      <c r="W155" s="30" t="s">
        <v>1545</v>
      </c>
      <c r="X155" s="18" t="s">
        <v>542</v>
      </c>
      <c r="Y155" s="18" t="s">
        <v>98</v>
      </c>
      <c r="Z155" s="18" t="s">
        <v>32</v>
      </c>
      <c r="AA155" s="16" t="s">
        <v>624</v>
      </c>
      <c r="AB155" s="16" t="s">
        <v>1442</v>
      </c>
      <c r="AC155" s="16" t="s">
        <v>625</v>
      </c>
      <c r="AD155" s="123" t="str">
        <f t="shared" si="2"/>
        <v>External Transfer-Other banks</v>
      </c>
      <c r="AE155" s="123" t="str">
        <f>VLOOKUP(Table1[[#This Row],[Name of bank]],'اكواد البنوك'!$A$2:$B$34,2,0)</f>
        <v>HDBKEGCAXXX</v>
      </c>
      <c r="AF155" s="21" t="s">
        <v>1467</v>
      </c>
      <c r="AG155" s="15" t="s">
        <v>10381</v>
      </c>
    </row>
    <row r="156" spans="1:33" ht="15.75">
      <c r="A156" s="14">
        <v>155</v>
      </c>
      <c r="B156" s="14" t="str">
        <f>B155</f>
        <v>E310</v>
      </c>
      <c r="C156" s="14" t="e">
        <v>#N/A</v>
      </c>
      <c r="D156" s="15" t="s">
        <v>1463</v>
      </c>
      <c r="E156" s="16" t="s">
        <v>1546</v>
      </c>
      <c r="F156" s="32" t="s">
        <v>1547</v>
      </c>
      <c r="G156" s="17" t="s">
        <v>1548</v>
      </c>
      <c r="H156" s="18">
        <v>201003599113</v>
      </c>
      <c r="I156" s="16" t="s">
        <v>1463</v>
      </c>
      <c r="J156" s="16"/>
      <c r="K156" s="16"/>
      <c r="L156" s="16">
        <v>17661913</v>
      </c>
      <c r="M156" s="16"/>
      <c r="N156" s="16">
        <v>291011141201174</v>
      </c>
      <c r="O156" s="16"/>
      <c r="P156" s="16"/>
      <c r="Q156" s="16"/>
      <c r="R156" s="16"/>
      <c r="S156" s="19" t="s">
        <v>1547</v>
      </c>
      <c r="T156" s="20" t="s">
        <v>1464</v>
      </c>
      <c r="U156" s="16" t="s">
        <v>1480</v>
      </c>
      <c r="V156" s="16"/>
      <c r="W156" s="30" t="s">
        <v>1549</v>
      </c>
      <c r="X156" s="18" t="s">
        <v>542</v>
      </c>
      <c r="Y156" s="18" t="s">
        <v>98</v>
      </c>
      <c r="Z156" s="18" t="s">
        <v>32</v>
      </c>
      <c r="AA156" s="16" t="s">
        <v>624</v>
      </c>
      <c r="AB156" s="16" t="s">
        <v>1442</v>
      </c>
      <c r="AC156" s="16" t="s">
        <v>625</v>
      </c>
      <c r="AD156" s="123" t="str">
        <f t="shared" si="2"/>
        <v>External Transfer-Other banks</v>
      </c>
      <c r="AE156" s="123" t="str">
        <f>VLOOKUP(Table1[[#This Row],[Name of bank]],'اكواد البنوك'!$A$2:$B$34,2,0)</f>
        <v>HDBKEGCAXXX</v>
      </c>
      <c r="AF156" s="21" t="s">
        <v>1467</v>
      </c>
      <c r="AG156" s="15" t="s">
        <v>10381</v>
      </c>
    </row>
    <row r="157" spans="1:33">
      <c r="A157" s="14">
        <v>156</v>
      </c>
      <c r="B157" s="14" t="s">
        <v>1550</v>
      </c>
      <c r="C157" s="14" t="e">
        <v>#N/A</v>
      </c>
      <c r="D157" s="15" t="s">
        <v>1463</v>
      </c>
      <c r="E157" s="16" t="s">
        <v>1551</v>
      </c>
      <c r="F157" s="32" t="s">
        <v>1552</v>
      </c>
      <c r="G157" s="17" t="s">
        <v>1553</v>
      </c>
      <c r="H157" s="18">
        <v>201554550409</v>
      </c>
      <c r="I157" s="16" t="s">
        <v>1463</v>
      </c>
      <c r="J157" s="16"/>
      <c r="K157" s="16"/>
      <c r="L157" s="16">
        <v>83717105</v>
      </c>
      <c r="M157" s="16"/>
      <c r="N157" s="16">
        <v>29707141100292</v>
      </c>
      <c r="O157" s="16"/>
      <c r="P157" s="16"/>
      <c r="Q157" s="16"/>
      <c r="R157" s="16"/>
      <c r="S157" s="19" t="s">
        <v>1554</v>
      </c>
      <c r="T157" s="20" t="s">
        <v>1464</v>
      </c>
      <c r="U157" s="16" t="s">
        <v>1480</v>
      </c>
      <c r="V157" s="16"/>
      <c r="W157" s="30" t="s">
        <v>1555</v>
      </c>
      <c r="X157" s="18" t="s">
        <v>542</v>
      </c>
      <c r="Y157" s="18" t="s">
        <v>98</v>
      </c>
      <c r="Z157" s="18" t="s">
        <v>32</v>
      </c>
      <c r="AA157" s="16" t="s">
        <v>624</v>
      </c>
      <c r="AB157" s="16" t="s">
        <v>1442</v>
      </c>
      <c r="AC157" s="16" t="s">
        <v>625</v>
      </c>
      <c r="AD157" s="123" t="str">
        <f t="shared" si="2"/>
        <v>External Transfer-Other banks</v>
      </c>
      <c r="AE157" s="123" t="str">
        <f>VLOOKUP(Table1[[#This Row],[Name of bank]],'اكواد البنوك'!$A$2:$B$34,2,0)</f>
        <v>HDBKEGCAXXX</v>
      </c>
      <c r="AF157" s="21" t="s">
        <v>1467</v>
      </c>
      <c r="AG157" s="15" t="s">
        <v>10381</v>
      </c>
    </row>
    <row r="158" spans="1:33">
      <c r="A158" s="14">
        <v>157</v>
      </c>
      <c r="B158" s="14" t="str">
        <f>B157</f>
        <v>E316</v>
      </c>
      <c r="C158" s="14" t="e">
        <v>#N/A</v>
      </c>
      <c r="D158" s="15" t="s">
        <v>1463</v>
      </c>
      <c r="E158" s="16" t="s">
        <v>1556</v>
      </c>
      <c r="F158" s="32" t="s">
        <v>1557</v>
      </c>
      <c r="G158" s="17" t="s">
        <v>1558</v>
      </c>
      <c r="H158" s="18">
        <v>201004958784</v>
      </c>
      <c r="I158" s="16" t="s">
        <v>1463</v>
      </c>
      <c r="J158" s="16"/>
      <c r="K158" s="16"/>
      <c r="L158" s="16">
        <v>77997349</v>
      </c>
      <c r="M158" s="16"/>
      <c r="N158" s="16">
        <v>29504011222231</v>
      </c>
      <c r="O158" s="16"/>
      <c r="P158" s="16"/>
      <c r="Q158" s="16"/>
      <c r="R158" s="16"/>
      <c r="S158" s="19" t="s">
        <v>167</v>
      </c>
      <c r="T158" s="115" t="s">
        <v>93</v>
      </c>
      <c r="U158" s="116" t="s">
        <v>10398</v>
      </c>
      <c r="V158" s="16"/>
      <c r="W158" s="113" t="s">
        <v>10399</v>
      </c>
      <c r="X158" s="18" t="s">
        <v>542</v>
      </c>
      <c r="Y158" s="18" t="s">
        <v>98</v>
      </c>
      <c r="Z158" s="18" t="s">
        <v>32</v>
      </c>
      <c r="AA158" s="16" t="s">
        <v>624</v>
      </c>
      <c r="AB158" s="16" t="s">
        <v>1442</v>
      </c>
      <c r="AC158" s="16" t="s">
        <v>625</v>
      </c>
      <c r="AD158" s="123" t="str">
        <f t="shared" si="2"/>
        <v>External Transfer-Other banks</v>
      </c>
      <c r="AE158" s="123" t="str">
        <f>VLOOKUP(Table1[[#This Row],[Name of bank]],'اكواد البنوك'!$A$2:$B$34,2,0)</f>
        <v>QNBAEGCXXXX</v>
      </c>
      <c r="AF158" s="114" t="s">
        <v>4257</v>
      </c>
      <c r="AG158" s="15" t="s">
        <v>167</v>
      </c>
    </row>
    <row r="159" spans="1:33">
      <c r="A159" s="14">
        <v>158</v>
      </c>
      <c r="B159" s="14" t="s">
        <v>1559</v>
      </c>
      <c r="C159" s="14" t="e">
        <v>#N/A</v>
      </c>
      <c r="D159" s="15" t="s">
        <v>1463</v>
      </c>
      <c r="E159" s="16" t="s">
        <v>1560</v>
      </c>
      <c r="F159" s="32" t="s">
        <v>1561</v>
      </c>
      <c r="G159" s="17" t="s">
        <v>1562</v>
      </c>
      <c r="H159" s="18">
        <v>201020251043</v>
      </c>
      <c r="I159" s="16" t="s">
        <v>1463</v>
      </c>
      <c r="J159" s="16" t="s">
        <v>1563</v>
      </c>
      <c r="K159" s="16"/>
      <c r="L159" s="16" t="s">
        <v>1564</v>
      </c>
      <c r="M159" s="16"/>
      <c r="N159" s="16"/>
      <c r="O159" s="16"/>
      <c r="P159" s="16"/>
      <c r="Q159" s="16"/>
      <c r="R159" s="16"/>
      <c r="S159" s="19" t="s">
        <v>1565</v>
      </c>
      <c r="T159" s="20" t="s">
        <v>1566</v>
      </c>
      <c r="U159" s="16" t="s">
        <v>1480</v>
      </c>
      <c r="V159" s="16"/>
      <c r="W159" s="30" t="s">
        <v>1567</v>
      </c>
      <c r="X159" s="18" t="s">
        <v>127</v>
      </c>
      <c r="Y159" s="18" t="s">
        <v>98</v>
      </c>
      <c r="Z159" s="18" t="s">
        <v>32</v>
      </c>
      <c r="AA159" s="16" t="s">
        <v>624</v>
      </c>
      <c r="AB159" s="16" t="s">
        <v>1442</v>
      </c>
      <c r="AC159" s="16" t="s">
        <v>625</v>
      </c>
      <c r="AD159" s="123" t="str">
        <f t="shared" si="2"/>
        <v>External Transfer-Other banks</v>
      </c>
      <c r="AE159" s="123" t="str">
        <f>VLOOKUP(Table1[[#This Row],[Name of bank]],'اكواد البنوك'!$A$2:$B$34,2,0)</f>
        <v>HDBKEGCAXXX</v>
      </c>
      <c r="AF159" s="21" t="s">
        <v>1467</v>
      </c>
      <c r="AG159" s="15" t="s">
        <v>10381</v>
      </c>
    </row>
    <row r="160" spans="1:33">
      <c r="A160" s="14">
        <v>159</v>
      </c>
      <c r="B160" s="14" t="str">
        <f>B159</f>
        <v>E317</v>
      </c>
      <c r="C160" s="14" t="e">
        <v>#N/A</v>
      </c>
      <c r="D160" s="15" t="s">
        <v>1463</v>
      </c>
      <c r="E160" s="16" t="s">
        <v>1568</v>
      </c>
      <c r="F160" s="32" t="s">
        <v>1569</v>
      </c>
      <c r="G160" s="17" t="s">
        <v>1570</v>
      </c>
      <c r="H160" s="18">
        <v>201025106102</v>
      </c>
      <c r="I160" s="16" t="s">
        <v>1463</v>
      </c>
      <c r="J160" s="16"/>
      <c r="K160" s="16"/>
      <c r="L160" s="16">
        <v>69367665</v>
      </c>
      <c r="M160" s="16"/>
      <c r="N160" s="16">
        <v>29611101200424</v>
      </c>
      <c r="O160" s="16"/>
      <c r="P160" s="16"/>
      <c r="Q160" s="16"/>
      <c r="R160" s="16"/>
      <c r="S160" s="19" t="s">
        <v>1569</v>
      </c>
      <c r="T160" s="20" t="s">
        <v>1566</v>
      </c>
      <c r="U160" s="16" t="s">
        <v>1480</v>
      </c>
      <c r="V160" s="16"/>
      <c r="W160" s="113" t="s">
        <v>1571</v>
      </c>
      <c r="X160" s="18" t="s">
        <v>542</v>
      </c>
      <c r="Y160" s="18" t="s">
        <v>98</v>
      </c>
      <c r="Z160" s="18" t="s">
        <v>32</v>
      </c>
      <c r="AA160" s="16" t="s">
        <v>624</v>
      </c>
      <c r="AB160" s="16" t="s">
        <v>1442</v>
      </c>
      <c r="AC160" s="16" t="s">
        <v>1572</v>
      </c>
      <c r="AD160" s="123" t="str">
        <f t="shared" si="2"/>
        <v>External Transfer-Other banks</v>
      </c>
      <c r="AE160" s="123" t="str">
        <f>VLOOKUP(Table1[[#This Row],[Name of bank]],'اكواد البنوك'!$A$2:$B$34,2,0)</f>
        <v>HDBKEGCAXXX</v>
      </c>
      <c r="AF160" s="114" t="s">
        <v>1467</v>
      </c>
      <c r="AG160" s="15" t="s">
        <v>10381</v>
      </c>
    </row>
    <row r="161" spans="1:33">
      <c r="A161" s="14">
        <v>160</v>
      </c>
      <c r="B161" s="14" t="s">
        <v>1573</v>
      </c>
      <c r="C161" s="14" t="e">
        <v>#N/A</v>
      </c>
      <c r="D161" s="15" t="s">
        <v>1463</v>
      </c>
      <c r="E161" s="16" t="s">
        <v>1574</v>
      </c>
      <c r="F161" s="32" t="s">
        <v>10029</v>
      </c>
      <c r="G161" s="17" t="s">
        <v>1576</v>
      </c>
      <c r="H161" s="18">
        <v>201006060738</v>
      </c>
      <c r="I161" s="16" t="s">
        <v>1463</v>
      </c>
      <c r="J161" s="16"/>
      <c r="K161" s="16"/>
      <c r="L161" s="16">
        <v>665387068</v>
      </c>
      <c r="M161" s="16"/>
      <c r="N161" s="16">
        <v>28503111200995</v>
      </c>
      <c r="O161" s="16"/>
      <c r="P161" s="16"/>
      <c r="Q161" s="16"/>
      <c r="R161" s="16"/>
      <c r="S161" s="19" t="s">
        <v>1575</v>
      </c>
      <c r="T161" s="20" t="s">
        <v>1464</v>
      </c>
      <c r="U161" s="16" t="s">
        <v>1465</v>
      </c>
      <c r="V161" s="16"/>
      <c r="W161" s="113" t="s">
        <v>1577</v>
      </c>
      <c r="X161" s="18" t="s">
        <v>542</v>
      </c>
      <c r="Y161" s="18" t="s">
        <v>98</v>
      </c>
      <c r="Z161" s="18" t="s">
        <v>32</v>
      </c>
      <c r="AA161" s="16" t="s">
        <v>624</v>
      </c>
      <c r="AB161" s="16" t="s">
        <v>1442</v>
      </c>
      <c r="AC161" s="16" t="s">
        <v>625</v>
      </c>
      <c r="AD161" s="123" t="str">
        <f t="shared" si="2"/>
        <v>External Transfer-Other banks</v>
      </c>
      <c r="AE161" s="123" t="str">
        <f>VLOOKUP(Table1[[#This Row],[Name of bank]],'اكواد البنوك'!$A$2:$B$34,2,0)</f>
        <v>HDBKEGCAXXX</v>
      </c>
      <c r="AF161" s="114" t="s">
        <v>1467</v>
      </c>
      <c r="AG161" s="15" t="s">
        <v>10381</v>
      </c>
    </row>
    <row r="162" spans="1:33">
      <c r="A162" s="14">
        <v>161</v>
      </c>
      <c r="B162" s="14" t="str">
        <f>B161</f>
        <v>E319</v>
      </c>
      <c r="C162" s="14" t="e">
        <v>#N/A</v>
      </c>
      <c r="D162" s="15" t="s">
        <v>1463</v>
      </c>
      <c r="E162" s="16" t="s">
        <v>1578</v>
      </c>
      <c r="F162" s="121" t="s">
        <v>10400</v>
      </c>
      <c r="G162" s="17" t="s">
        <v>1580</v>
      </c>
      <c r="H162" s="18">
        <v>201025376237</v>
      </c>
      <c r="I162" s="16" t="s">
        <v>1463</v>
      </c>
      <c r="J162" s="16"/>
      <c r="K162" s="16"/>
      <c r="L162" s="16">
        <v>72706962</v>
      </c>
      <c r="M162" s="16"/>
      <c r="N162" s="16">
        <v>29009151202078</v>
      </c>
      <c r="O162" s="16"/>
      <c r="P162" s="16"/>
      <c r="Q162" s="16"/>
      <c r="R162" s="16"/>
      <c r="S162" s="19" t="s">
        <v>1579</v>
      </c>
      <c r="T162" s="20" t="s">
        <v>1464</v>
      </c>
      <c r="U162" s="16" t="s">
        <v>1465</v>
      </c>
      <c r="V162" s="16"/>
      <c r="W162" s="113" t="s">
        <v>1581</v>
      </c>
      <c r="X162" s="18" t="s">
        <v>542</v>
      </c>
      <c r="Y162" s="18" t="s">
        <v>98</v>
      </c>
      <c r="Z162" s="18" t="s">
        <v>32</v>
      </c>
      <c r="AA162" s="16" t="s">
        <v>624</v>
      </c>
      <c r="AB162" s="16" t="s">
        <v>1442</v>
      </c>
      <c r="AC162" s="16" t="s">
        <v>625</v>
      </c>
      <c r="AD162" s="123" t="str">
        <f t="shared" si="2"/>
        <v>External Transfer-Other banks</v>
      </c>
      <c r="AE162" s="123" t="str">
        <f>VLOOKUP(Table1[[#This Row],[Name of bank]],'اكواد البنوك'!$A$2:$B$34,2,0)</f>
        <v>HDBKEGCAXXX</v>
      </c>
      <c r="AF162" s="114" t="s">
        <v>1467</v>
      </c>
      <c r="AG162" s="15" t="s">
        <v>10381</v>
      </c>
    </row>
    <row r="163" spans="1:33">
      <c r="A163" s="14">
        <v>162</v>
      </c>
      <c r="B163" s="14" t="s">
        <v>1582</v>
      </c>
      <c r="C163" s="14" t="e">
        <v>#N/A</v>
      </c>
      <c r="D163" s="15" t="s">
        <v>1463</v>
      </c>
      <c r="E163" s="16" t="s">
        <v>1583</v>
      </c>
      <c r="F163" s="121" t="s">
        <v>10401</v>
      </c>
      <c r="G163" s="17" t="s">
        <v>1584</v>
      </c>
      <c r="H163" s="18">
        <v>201000042415</v>
      </c>
      <c r="I163" s="16"/>
      <c r="J163" s="16"/>
      <c r="K163" s="16"/>
      <c r="L163" s="16">
        <v>70252148</v>
      </c>
      <c r="M163" s="16"/>
      <c r="N163" s="16">
        <v>29210011238932</v>
      </c>
      <c r="O163" s="16"/>
      <c r="P163" s="16"/>
      <c r="Q163" s="16"/>
      <c r="R163" s="16"/>
      <c r="S163" s="19" t="s">
        <v>167</v>
      </c>
      <c r="T163" s="20" t="s">
        <v>176</v>
      </c>
      <c r="U163" s="16"/>
      <c r="V163" s="16"/>
      <c r="W163" s="113" t="s">
        <v>10402</v>
      </c>
      <c r="X163" s="18" t="s">
        <v>542</v>
      </c>
      <c r="Y163" s="18" t="s">
        <v>98</v>
      </c>
      <c r="Z163" s="18" t="s">
        <v>32</v>
      </c>
      <c r="AA163" s="16" t="s">
        <v>624</v>
      </c>
      <c r="AB163" s="16" t="s">
        <v>1442</v>
      </c>
      <c r="AC163" s="16" t="s">
        <v>625</v>
      </c>
      <c r="AD163" s="123" t="str">
        <f t="shared" si="2"/>
        <v>External Transfer-Other banks</v>
      </c>
      <c r="AE163" s="123" t="str">
        <f>VLOOKUP(Table1[[#This Row],[Name of bank]],'اكواد البنوك'!$A$2:$B$34,2,0)</f>
        <v>BMISEGCXXXX</v>
      </c>
      <c r="AF163" s="114" t="s">
        <v>10403</v>
      </c>
      <c r="AG163" s="15" t="s">
        <v>167</v>
      </c>
    </row>
    <row r="164" spans="1:33">
      <c r="A164" s="14">
        <v>163</v>
      </c>
      <c r="B164" s="14" t="str">
        <f>B163</f>
        <v>E320</v>
      </c>
      <c r="C164" s="14" t="s">
        <v>9983</v>
      </c>
      <c r="D164" s="15" t="s">
        <v>1463</v>
      </c>
      <c r="E164" s="16" t="s">
        <v>1585</v>
      </c>
      <c r="F164" s="32" t="s">
        <v>10173</v>
      </c>
      <c r="G164" s="17" t="s">
        <v>1587</v>
      </c>
      <c r="H164" s="18">
        <v>201091523074</v>
      </c>
      <c r="I164" s="16" t="s">
        <v>1463</v>
      </c>
      <c r="J164" s="16"/>
      <c r="K164" s="16"/>
      <c r="L164" s="16">
        <v>41498608</v>
      </c>
      <c r="M164" s="16"/>
      <c r="N164" s="16">
        <v>29009021100222</v>
      </c>
      <c r="O164" s="16"/>
      <c r="P164" s="16"/>
      <c r="Q164" s="16"/>
      <c r="R164" s="16"/>
      <c r="S164" s="19" t="s">
        <v>1586</v>
      </c>
      <c r="T164" s="20" t="s">
        <v>1464</v>
      </c>
      <c r="U164" s="16" t="s">
        <v>1465</v>
      </c>
      <c r="V164" s="16"/>
      <c r="W164" s="30" t="s">
        <v>1588</v>
      </c>
      <c r="X164" s="18" t="s">
        <v>542</v>
      </c>
      <c r="Y164" s="18" t="s">
        <v>98</v>
      </c>
      <c r="Z164" s="18" t="s">
        <v>32</v>
      </c>
      <c r="AA164" s="16" t="s">
        <v>624</v>
      </c>
      <c r="AB164" s="16" t="s">
        <v>1442</v>
      </c>
      <c r="AC164" s="16" t="s">
        <v>625</v>
      </c>
      <c r="AD164" s="123" t="str">
        <f t="shared" si="2"/>
        <v>External Transfer-Other banks</v>
      </c>
      <c r="AE164" s="123" t="str">
        <f>VLOOKUP(Table1[[#This Row],[Name of bank]],'اكواد البنوك'!$A$2:$B$34,2,0)</f>
        <v>HDBKEGCAXXX</v>
      </c>
      <c r="AF164" s="21" t="s">
        <v>1467</v>
      </c>
      <c r="AG164" s="15" t="s">
        <v>10381</v>
      </c>
    </row>
    <row r="165" spans="1:33">
      <c r="A165" s="14">
        <v>164</v>
      </c>
      <c r="B165" s="14" t="s">
        <v>1589</v>
      </c>
      <c r="C165" s="14" t="s">
        <v>9982</v>
      </c>
      <c r="D165" s="15" t="s">
        <v>34</v>
      </c>
      <c r="E165" s="16" t="s">
        <v>1590</v>
      </c>
      <c r="F165" s="32" t="s">
        <v>1591</v>
      </c>
      <c r="G165" s="17" t="s">
        <v>1592</v>
      </c>
      <c r="H165" s="18" t="s">
        <v>1593</v>
      </c>
      <c r="I165" s="16" t="s">
        <v>34</v>
      </c>
      <c r="J165" s="16"/>
      <c r="K165" s="16"/>
      <c r="L165" s="16" t="s">
        <v>34</v>
      </c>
      <c r="M165" s="16"/>
      <c r="N165" s="16" t="s">
        <v>1594</v>
      </c>
      <c r="O165" s="16"/>
      <c r="P165" s="16"/>
      <c r="Q165" s="16"/>
      <c r="R165" s="16"/>
      <c r="S165" s="19"/>
      <c r="T165" s="20" t="s">
        <v>40</v>
      </c>
      <c r="U165" s="16"/>
      <c r="V165" s="16"/>
      <c r="W165" s="30">
        <v>85</v>
      </c>
      <c r="X165" s="18" t="s">
        <v>78</v>
      </c>
      <c r="Y165" s="18" t="s">
        <v>43</v>
      </c>
      <c r="Z165" s="18" t="s">
        <v>32</v>
      </c>
      <c r="AA165" s="16" t="s">
        <v>624</v>
      </c>
      <c r="AB165" s="16" t="s">
        <v>1442</v>
      </c>
      <c r="AC165" s="16" t="s">
        <v>625</v>
      </c>
      <c r="AD165" s="123" t="str">
        <f t="shared" si="2"/>
        <v>Internal Transfer</v>
      </c>
      <c r="AE165" s="123" t="str">
        <f>VLOOKUP(Table1[[#This Row],[Name of bank]],'اكواد البنوك'!$A$2:$B$34,2,0)</f>
        <v>NBEGEGCXXXX</v>
      </c>
      <c r="AF165" s="30">
        <v>85</v>
      </c>
      <c r="AG165" s="15"/>
    </row>
    <row r="166" spans="1:33">
      <c r="A166" s="14">
        <v>165</v>
      </c>
      <c r="B166" s="14" t="str">
        <f>B165</f>
        <v>3rd floor</v>
      </c>
      <c r="C166" s="14" t="s">
        <v>9983</v>
      </c>
      <c r="D166" s="15" t="s">
        <v>1463</v>
      </c>
      <c r="E166" s="16" t="s">
        <v>1595</v>
      </c>
      <c r="F166" s="32" t="s">
        <v>1596</v>
      </c>
      <c r="G166" s="17" t="s">
        <v>1597</v>
      </c>
      <c r="H166" s="18">
        <v>201007323987</v>
      </c>
      <c r="I166" s="16" t="s">
        <v>1463</v>
      </c>
      <c r="J166" s="16"/>
      <c r="K166" s="16"/>
      <c r="L166" s="16">
        <v>71432617</v>
      </c>
      <c r="M166" s="16"/>
      <c r="N166" s="16">
        <v>29702151206798</v>
      </c>
      <c r="O166" s="16"/>
      <c r="P166" s="16"/>
      <c r="Q166" s="16"/>
      <c r="R166" s="16"/>
      <c r="S166" s="19" t="s">
        <v>167</v>
      </c>
      <c r="T166" s="20" t="s">
        <v>1464</v>
      </c>
      <c r="U166" s="16" t="s">
        <v>1465</v>
      </c>
      <c r="V166" s="16"/>
      <c r="W166" s="113" t="s">
        <v>1598</v>
      </c>
      <c r="X166" s="18" t="s">
        <v>97</v>
      </c>
      <c r="Y166" s="18" t="s">
        <v>98</v>
      </c>
      <c r="Z166" s="18" t="s">
        <v>32</v>
      </c>
      <c r="AA166" s="16" t="s">
        <v>624</v>
      </c>
      <c r="AB166" s="16" t="s">
        <v>1442</v>
      </c>
      <c r="AC166" s="16" t="s">
        <v>625</v>
      </c>
      <c r="AD166" s="123" t="str">
        <f t="shared" si="2"/>
        <v>External Transfer-Other banks</v>
      </c>
      <c r="AE166" s="123" t="str">
        <f>VLOOKUP(Table1[[#This Row],[Name of bank]],'اكواد البنوك'!$A$2:$B$34,2,0)</f>
        <v>HDBKEGCAXXX</v>
      </c>
      <c r="AF166" s="114" t="s">
        <v>1467</v>
      </c>
      <c r="AG166" s="15" t="s">
        <v>167</v>
      </c>
    </row>
    <row r="167" spans="1:33">
      <c r="A167" s="14">
        <v>166</v>
      </c>
      <c r="B167" s="14" t="str">
        <f>B166</f>
        <v>3rd floor</v>
      </c>
      <c r="C167" s="14" t="s">
        <v>9982</v>
      </c>
      <c r="D167" s="15" t="s">
        <v>34</v>
      </c>
      <c r="E167" s="16" t="s">
        <v>1599</v>
      </c>
      <c r="F167" s="32" t="s">
        <v>1600</v>
      </c>
      <c r="G167" s="17" t="s">
        <v>1601</v>
      </c>
      <c r="H167" s="18" t="s">
        <v>1602</v>
      </c>
      <c r="I167" s="16" t="s">
        <v>34</v>
      </c>
      <c r="J167" s="16"/>
      <c r="K167" s="16" t="s">
        <v>1447</v>
      </c>
      <c r="L167" s="16" t="s">
        <v>34</v>
      </c>
      <c r="M167" s="16"/>
      <c r="N167" s="16" t="s">
        <v>1603</v>
      </c>
      <c r="O167" s="16"/>
      <c r="P167" s="16"/>
      <c r="Q167" s="16"/>
      <c r="R167" s="16"/>
      <c r="S167" s="19"/>
      <c r="T167" s="20" t="s">
        <v>40</v>
      </c>
      <c r="U167" s="16"/>
      <c r="V167" s="16"/>
      <c r="W167" s="30">
        <v>106</v>
      </c>
      <c r="X167" s="18" t="s">
        <v>97</v>
      </c>
      <c r="Y167" s="18" t="s">
        <v>43</v>
      </c>
      <c r="Z167" s="18" t="s">
        <v>32</v>
      </c>
      <c r="AA167" s="16" t="s">
        <v>624</v>
      </c>
      <c r="AB167" s="16" t="s">
        <v>1454</v>
      </c>
      <c r="AC167" s="16" t="s">
        <v>1455</v>
      </c>
      <c r="AD167" s="123" t="str">
        <f t="shared" si="2"/>
        <v>Internal Transfer</v>
      </c>
      <c r="AE167" s="123" t="str">
        <f>VLOOKUP(Table1[[#This Row],[Name of bank]],'اكواد البنوك'!$A$2:$B$34,2,0)</f>
        <v>NBEGEGCXXXX</v>
      </c>
      <c r="AF167" s="21" t="s">
        <v>1604</v>
      </c>
      <c r="AG167" s="15"/>
    </row>
    <row r="168" spans="1:33">
      <c r="A168" s="14">
        <v>167</v>
      </c>
      <c r="B168" s="14" t="str">
        <f>B167</f>
        <v>3rd floor</v>
      </c>
      <c r="C168" s="14" t="s">
        <v>9987</v>
      </c>
      <c r="D168" s="15" t="s">
        <v>1463</v>
      </c>
      <c r="E168" s="16" t="s">
        <v>1605</v>
      </c>
      <c r="F168" s="32" t="s">
        <v>10020</v>
      </c>
      <c r="G168" s="17" t="s">
        <v>1607</v>
      </c>
      <c r="H168" s="18" t="s">
        <v>1608</v>
      </c>
      <c r="I168" s="16" t="s">
        <v>1463</v>
      </c>
      <c r="J168" s="16"/>
      <c r="K168" s="16"/>
      <c r="L168" s="16">
        <v>25735882</v>
      </c>
      <c r="M168" s="16"/>
      <c r="N168" s="16">
        <v>28505051200152</v>
      </c>
      <c r="O168" s="16"/>
      <c r="P168" s="16"/>
      <c r="Q168" s="16"/>
      <c r="R168" s="16"/>
      <c r="S168" s="19" t="s">
        <v>1606</v>
      </c>
      <c r="T168" s="20" t="s">
        <v>1464</v>
      </c>
      <c r="U168" s="16" t="s">
        <v>1480</v>
      </c>
      <c r="V168" s="16"/>
      <c r="W168" s="30" t="s">
        <v>1609</v>
      </c>
      <c r="X168" s="18" t="s">
        <v>97</v>
      </c>
      <c r="Y168" s="18" t="s">
        <v>98</v>
      </c>
      <c r="Z168" s="18" t="s">
        <v>32</v>
      </c>
      <c r="AA168" s="16" t="s">
        <v>624</v>
      </c>
      <c r="AB168" s="16" t="s">
        <v>1442</v>
      </c>
      <c r="AC168" s="16" t="s">
        <v>625</v>
      </c>
      <c r="AD168" s="123" t="str">
        <f t="shared" si="2"/>
        <v>External Transfer-Other banks</v>
      </c>
      <c r="AE168" s="123" t="str">
        <f>VLOOKUP(Table1[[#This Row],[Name of bank]],'اكواد البنوك'!$A$2:$B$34,2,0)</f>
        <v>HDBKEGCAXXX</v>
      </c>
      <c r="AF168" s="21" t="s">
        <v>1467</v>
      </c>
      <c r="AG168" s="15" t="s">
        <v>10381</v>
      </c>
    </row>
    <row r="169" spans="1:33">
      <c r="A169" s="14">
        <v>168</v>
      </c>
      <c r="B169" s="14" t="s">
        <v>1610</v>
      </c>
      <c r="C169" s="14" t="s">
        <v>9985</v>
      </c>
      <c r="D169" s="15" t="s">
        <v>1463</v>
      </c>
      <c r="E169" s="16" t="s">
        <v>1611</v>
      </c>
      <c r="F169" s="32" t="s">
        <v>1612</v>
      </c>
      <c r="G169" s="17" t="s">
        <v>1613</v>
      </c>
      <c r="H169" s="18">
        <v>201553002939</v>
      </c>
      <c r="I169" s="16" t="s">
        <v>1463</v>
      </c>
      <c r="J169" s="16"/>
      <c r="K169" s="16"/>
      <c r="L169" s="16">
        <v>3481194</v>
      </c>
      <c r="M169" s="16"/>
      <c r="N169" s="16">
        <v>28601111203678</v>
      </c>
      <c r="O169" s="16"/>
      <c r="P169" s="16"/>
      <c r="Q169" s="16"/>
      <c r="R169" s="16"/>
      <c r="S169" s="19" t="s">
        <v>1612</v>
      </c>
      <c r="T169" s="20" t="s">
        <v>1464</v>
      </c>
      <c r="U169" s="16" t="s">
        <v>1465</v>
      </c>
      <c r="V169" s="16"/>
      <c r="W169" s="30" t="s">
        <v>1614</v>
      </c>
      <c r="X169" s="18" t="s">
        <v>542</v>
      </c>
      <c r="Y169" s="18" t="s">
        <v>98</v>
      </c>
      <c r="Z169" s="18" t="s">
        <v>32</v>
      </c>
      <c r="AA169" s="16" t="s">
        <v>624</v>
      </c>
      <c r="AB169" s="16" t="s">
        <v>1442</v>
      </c>
      <c r="AC169" s="16" t="s">
        <v>625</v>
      </c>
      <c r="AD169" s="123" t="str">
        <f t="shared" si="2"/>
        <v>External Transfer-Other banks</v>
      </c>
      <c r="AE169" s="123" t="str">
        <f>VLOOKUP(Table1[[#This Row],[Name of bank]],'اكواد البنوك'!$A$2:$B$34,2,0)</f>
        <v>HDBKEGCAXXX</v>
      </c>
      <c r="AF169" s="21" t="s">
        <v>1467</v>
      </c>
      <c r="AG169" s="15" t="s">
        <v>10381</v>
      </c>
    </row>
    <row r="170" spans="1:33">
      <c r="A170" s="14">
        <v>169</v>
      </c>
      <c r="B170" s="14" t="str">
        <f>B169</f>
        <v>E412</v>
      </c>
      <c r="C170" s="14" t="e">
        <v>#N/A</v>
      </c>
      <c r="D170" s="15" t="s">
        <v>1463</v>
      </c>
      <c r="E170" s="16" t="s">
        <v>1615</v>
      </c>
      <c r="F170" s="32" t="s">
        <v>10135</v>
      </c>
      <c r="G170" s="17" t="s">
        <v>1617</v>
      </c>
      <c r="H170" s="18">
        <v>20100067720</v>
      </c>
      <c r="I170" s="16" t="s">
        <v>1463</v>
      </c>
      <c r="J170" s="16"/>
      <c r="K170" s="16"/>
      <c r="L170" s="16">
        <v>67757734</v>
      </c>
      <c r="M170" s="16"/>
      <c r="N170" s="16">
        <v>28108101100058</v>
      </c>
      <c r="O170" s="16"/>
      <c r="P170" s="16"/>
      <c r="Q170" s="16"/>
      <c r="R170" s="16"/>
      <c r="S170" s="19" t="s">
        <v>1616</v>
      </c>
      <c r="T170" s="20" t="s">
        <v>1464</v>
      </c>
      <c r="U170" s="16" t="s">
        <v>1465</v>
      </c>
      <c r="V170" s="16"/>
      <c r="W170" s="30" t="s">
        <v>1618</v>
      </c>
      <c r="X170" s="18" t="s">
        <v>542</v>
      </c>
      <c r="Y170" s="18" t="s">
        <v>98</v>
      </c>
      <c r="Z170" s="18" t="s">
        <v>32</v>
      </c>
      <c r="AA170" s="16" t="s">
        <v>624</v>
      </c>
      <c r="AB170" s="16" t="s">
        <v>1442</v>
      </c>
      <c r="AC170" s="16" t="s">
        <v>625</v>
      </c>
      <c r="AD170" s="123" t="str">
        <f t="shared" si="2"/>
        <v>External Transfer-Other banks</v>
      </c>
      <c r="AE170" s="123" t="str">
        <f>VLOOKUP(Table1[[#This Row],[Name of bank]],'اكواد البنوك'!$A$2:$B$34,2,0)</f>
        <v>HDBKEGCAXXX</v>
      </c>
      <c r="AF170" s="21" t="s">
        <v>1467</v>
      </c>
      <c r="AG170" s="15" t="s">
        <v>10381</v>
      </c>
    </row>
    <row r="171" spans="1:33">
      <c r="A171" s="14">
        <v>170</v>
      </c>
      <c r="B171" s="14" t="str">
        <f>B170</f>
        <v>E412</v>
      </c>
      <c r="C171" s="14" t="e">
        <v>#N/A</v>
      </c>
      <c r="D171" s="15" t="s">
        <v>1463</v>
      </c>
      <c r="E171" s="16" t="s">
        <v>1619</v>
      </c>
      <c r="F171" s="121" t="s">
        <v>10404</v>
      </c>
      <c r="G171" s="17" t="s">
        <v>1621</v>
      </c>
      <c r="H171" s="18">
        <v>201090743928</v>
      </c>
      <c r="I171" s="16" t="s">
        <v>1463</v>
      </c>
      <c r="J171" s="16"/>
      <c r="K171" s="16"/>
      <c r="L171" s="16">
        <v>86038497</v>
      </c>
      <c r="M171" s="16"/>
      <c r="N171" s="16">
        <v>29912021201861</v>
      </c>
      <c r="O171" s="16"/>
      <c r="P171" s="16"/>
      <c r="Q171" s="16"/>
      <c r="R171" s="16"/>
      <c r="S171" s="19" t="s">
        <v>1620</v>
      </c>
      <c r="T171" s="20" t="s">
        <v>1464</v>
      </c>
      <c r="U171" s="16" t="s">
        <v>1465</v>
      </c>
      <c r="V171" s="16"/>
      <c r="W171" s="113" t="s">
        <v>1622</v>
      </c>
      <c r="X171" s="18" t="s">
        <v>542</v>
      </c>
      <c r="Y171" s="18" t="s">
        <v>98</v>
      </c>
      <c r="Z171" s="18" t="s">
        <v>32</v>
      </c>
      <c r="AA171" s="16" t="s">
        <v>624</v>
      </c>
      <c r="AB171" s="16" t="s">
        <v>1442</v>
      </c>
      <c r="AC171" s="16" t="s">
        <v>625</v>
      </c>
      <c r="AD171" s="123" t="str">
        <f t="shared" si="2"/>
        <v>External Transfer-Other banks</v>
      </c>
      <c r="AE171" s="123" t="str">
        <f>VLOOKUP(Table1[[#This Row],[Name of bank]],'اكواد البنوك'!$A$2:$B$34,2,0)</f>
        <v>HDBKEGCAXXX</v>
      </c>
      <c r="AF171" s="114" t="s">
        <v>1467</v>
      </c>
      <c r="AG171" s="15" t="s">
        <v>10381</v>
      </c>
    </row>
    <row r="172" spans="1:33">
      <c r="A172" s="14">
        <v>171</v>
      </c>
      <c r="B172" s="14" t="str">
        <f>B171</f>
        <v>E412</v>
      </c>
      <c r="C172" s="14" t="e">
        <v>#N/A</v>
      </c>
      <c r="D172" s="15" t="s">
        <v>1463</v>
      </c>
      <c r="E172" s="16" t="s">
        <v>1623</v>
      </c>
      <c r="F172" s="32" t="s">
        <v>1624</v>
      </c>
      <c r="G172" s="17" t="s">
        <v>1625</v>
      </c>
      <c r="H172" s="18">
        <v>201063106141</v>
      </c>
      <c r="I172" s="16" t="s">
        <v>1463</v>
      </c>
      <c r="J172" s="16"/>
      <c r="K172" s="16"/>
      <c r="L172" s="16">
        <v>68741150</v>
      </c>
      <c r="M172" s="16"/>
      <c r="N172" s="16">
        <v>28906201201831</v>
      </c>
      <c r="O172" s="16"/>
      <c r="P172" s="16"/>
      <c r="Q172" s="16"/>
      <c r="R172" s="16"/>
      <c r="S172" s="19" t="s">
        <v>167</v>
      </c>
      <c r="T172" s="20" t="s">
        <v>1464</v>
      </c>
      <c r="U172" s="16" t="s">
        <v>1465</v>
      </c>
      <c r="V172" s="16"/>
      <c r="W172" s="30" t="s">
        <v>1626</v>
      </c>
      <c r="X172" s="18" t="s">
        <v>542</v>
      </c>
      <c r="Y172" s="18" t="s">
        <v>98</v>
      </c>
      <c r="Z172" s="18" t="s">
        <v>32</v>
      </c>
      <c r="AA172" s="16" t="s">
        <v>624</v>
      </c>
      <c r="AB172" s="16" t="s">
        <v>1516</v>
      </c>
      <c r="AC172" s="16" t="s">
        <v>625</v>
      </c>
      <c r="AD172" s="123" t="str">
        <f t="shared" si="2"/>
        <v>External Transfer-Other banks</v>
      </c>
      <c r="AE172" s="123" t="str">
        <f>VLOOKUP(Table1[[#This Row],[Name of bank]],'اكواد البنوك'!$A$2:$B$34,2,0)</f>
        <v>HDBKEGCAXXX</v>
      </c>
      <c r="AF172" s="21" t="s">
        <v>1467</v>
      </c>
      <c r="AG172" s="15" t="s">
        <v>167</v>
      </c>
    </row>
    <row r="173" spans="1:33">
      <c r="A173" s="14">
        <v>172</v>
      </c>
      <c r="B173" s="14" t="s">
        <v>1627</v>
      </c>
      <c r="C173" s="14" t="e">
        <v>#N/A</v>
      </c>
      <c r="D173" s="15" t="s">
        <v>1463</v>
      </c>
      <c r="E173" s="16" t="s">
        <v>1628</v>
      </c>
      <c r="F173" s="32" t="s">
        <v>1629</v>
      </c>
      <c r="G173" s="17" t="s">
        <v>1630</v>
      </c>
      <c r="H173" s="18">
        <v>201009964520</v>
      </c>
      <c r="I173" s="16" t="s">
        <v>1463</v>
      </c>
      <c r="J173" s="16"/>
      <c r="K173" s="16"/>
      <c r="L173" s="16">
        <v>86037500</v>
      </c>
      <c r="M173" s="16"/>
      <c r="N173" s="16">
        <v>29901151203333</v>
      </c>
      <c r="O173" s="16"/>
      <c r="P173" s="16"/>
      <c r="Q173" s="16"/>
      <c r="R173" s="16"/>
      <c r="S173" s="19" t="s">
        <v>1629</v>
      </c>
      <c r="T173" s="20" t="s">
        <v>1464</v>
      </c>
      <c r="U173" s="16" t="s">
        <v>1465</v>
      </c>
      <c r="V173" s="16"/>
      <c r="W173" s="113" t="s">
        <v>1631</v>
      </c>
      <c r="X173" s="18" t="s">
        <v>542</v>
      </c>
      <c r="Y173" s="18" t="s">
        <v>98</v>
      </c>
      <c r="Z173" s="18" t="s">
        <v>32</v>
      </c>
      <c r="AA173" s="16" t="s">
        <v>624</v>
      </c>
      <c r="AB173" s="16" t="s">
        <v>1442</v>
      </c>
      <c r="AC173" s="16" t="s">
        <v>625</v>
      </c>
      <c r="AD173" s="123" t="str">
        <f t="shared" si="2"/>
        <v>External Transfer-Other banks</v>
      </c>
      <c r="AE173" s="123" t="str">
        <f>VLOOKUP(Table1[[#This Row],[Name of bank]],'اكواد البنوك'!$A$2:$B$34,2,0)</f>
        <v>HDBKEGCAXXX</v>
      </c>
      <c r="AF173" s="114" t="s">
        <v>1467</v>
      </c>
      <c r="AG173" s="15" t="s">
        <v>10381</v>
      </c>
    </row>
    <row r="174" spans="1:33">
      <c r="A174" s="14">
        <v>173</v>
      </c>
      <c r="B174" s="14" t="str">
        <f>B173</f>
        <v>E418</v>
      </c>
      <c r="C174" s="14" t="e">
        <v>#N/A</v>
      </c>
      <c r="D174" s="15" t="s">
        <v>1463</v>
      </c>
      <c r="E174" s="16" t="s">
        <v>1632</v>
      </c>
      <c r="F174" s="32" t="s">
        <v>1633</v>
      </c>
      <c r="G174" s="17" t="s">
        <v>1634</v>
      </c>
      <c r="H174" s="18">
        <v>201020687542</v>
      </c>
      <c r="I174" s="16" t="s">
        <v>1463</v>
      </c>
      <c r="J174" s="16"/>
      <c r="K174" s="16"/>
      <c r="L174" s="16">
        <v>76312821</v>
      </c>
      <c r="M174" s="16"/>
      <c r="N174" s="16">
        <v>29411011200612</v>
      </c>
      <c r="O174" s="16"/>
      <c r="P174" s="16"/>
      <c r="Q174" s="16"/>
      <c r="R174" s="16"/>
      <c r="S174" s="19" t="s">
        <v>167</v>
      </c>
      <c r="T174" s="20" t="s">
        <v>1464</v>
      </c>
      <c r="U174" s="16" t="s">
        <v>1465</v>
      </c>
      <c r="V174" s="16"/>
      <c r="W174" s="113" t="s">
        <v>1635</v>
      </c>
      <c r="X174" s="18" t="s">
        <v>542</v>
      </c>
      <c r="Y174" s="18" t="s">
        <v>98</v>
      </c>
      <c r="Z174" s="18" t="s">
        <v>32</v>
      </c>
      <c r="AA174" s="16" t="s">
        <v>624</v>
      </c>
      <c r="AB174" s="16" t="s">
        <v>1442</v>
      </c>
      <c r="AC174" s="16" t="s">
        <v>625</v>
      </c>
      <c r="AD174" s="123" t="str">
        <f t="shared" si="2"/>
        <v>External Transfer-Other banks</v>
      </c>
      <c r="AE174" s="123" t="str">
        <f>VLOOKUP(Table1[[#This Row],[Name of bank]],'اكواد البنوك'!$A$2:$B$34,2,0)</f>
        <v>HDBKEGCAXXX</v>
      </c>
      <c r="AF174" s="114" t="s">
        <v>1467</v>
      </c>
      <c r="AG174" s="15" t="s">
        <v>167</v>
      </c>
    </row>
    <row r="175" spans="1:33" ht="15.75">
      <c r="A175" s="14">
        <v>174</v>
      </c>
      <c r="B175" s="14" t="s">
        <v>1636</v>
      </c>
      <c r="C175" s="14" t="s">
        <v>9985</v>
      </c>
      <c r="D175" s="15" t="s">
        <v>1463</v>
      </c>
      <c r="E175" s="16" t="s">
        <v>1637</v>
      </c>
      <c r="F175" s="32" t="s">
        <v>10129</v>
      </c>
      <c r="G175" s="17" t="s">
        <v>1639</v>
      </c>
      <c r="H175" s="18">
        <v>201093052289</v>
      </c>
      <c r="I175" s="16" t="s">
        <v>1463</v>
      </c>
      <c r="J175" s="16"/>
      <c r="K175" s="16"/>
      <c r="L175" s="16">
        <v>81082453</v>
      </c>
      <c r="M175" s="16"/>
      <c r="N175" s="16">
        <v>29409131100323</v>
      </c>
      <c r="O175" s="16"/>
      <c r="P175" s="16"/>
      <c r="Q175" s="16"/>
      <c r="R175" s="16"/>
      <c r="S175" s="19" t="s">
        <v>1638</v>
      </c>
      <c r="T175" s="20" t="s">
        <v>1464</v>
      </c>
      <c r="U175" s="16" t="s">
        <v>1465</v>
      </c>
      <c r="V175" s="16"/>
      <c r="W175" s="113" t="s">
        <v>1640</v>
      </c>
      <c r="X175" s="18" t="s">
        <v>542</v>
      </c>
      <c r="Y175" s="18" t="s">
        <v>98</v>
      </c>
      <c r="Z175" s="18" t="s">
        <v>32</v>
      </c>
      <c r="AA175" s="16" t="s">
        <v>624</v>
      </c>
      <c r="AB175" s="16" t="s">
        <v>1442</v>
      </c>
      <c r="AC175" s="16" t="s">
        <v>625</v>
      </c>
      <c r="AD175" s="123" t="str">
        <f t="shared" si="2"/>
        <v>External Transfer-Other banks</v>
      </c>
      <c r="AE175" s="123" t="str">
        <f>VLOOKUP(Table1[[#This Row],[Name of bank]],'اكواد البنوك'!$A$2:$B$34,2,0)</f>
        <v>HDBKEGCAXXX</v>
      </c>
      <c r="AF175" s="114" t="s">
        <v>1467</v>
      </c>
      <c r="AG175" s="15" t="s">
        <v>10381</v>
      </c>
    </row>
    <row r="176" spans="1:33" ht="15.75">
      <c r="A176" s="14">
        <v>175</v>
      </c>
      <c r="B176" s="14" t="str">
        <f>B175</f>
        <v>E419</v>
      </c>
      <c r="C176" s="14" t="s">
        <v>9985</v>
      </c>
      <c r="D176" s="15" t="s">
        <v>1463</v>
      </c>
      <c r="E176" s="16" t="s">
        <v>1641</v>
      </c>
      <c r="F176" s="32" t="s">
        <v>10023</v>
      </c>
      <c r="G176" s="17" t="s">
        <v>1643</v>
      </c>
      <c r="H176" s="18">
        <v>201004819770</v>
      </c>
      <c r="I176" s="16" t="s">
        <v>1463</v>
      </c>
      <c r="J176" s="16"/>
      <c r="K176" s="16"/>
      <c r="L176" s="16">
        <v>80211579</v>
      </c>
      <c r="M176" s="16"/>
      <c r="N176" s="16">
        <v>29302071200375</v>
      </c>
      <c r="O176" s="16"/>
      <c r="P176" s="16"/>
      <c r="Q176" s="16"/>
      <c r="R176" s="16"/>
      <c r="S176" s="19" t="s">
        <v>1642</v>
      </c>
      <c r="T176" s="20" t="s">
        <v>1464</v>
      </c>
      <c r="U176" s="16" t="s">
        <v>1465</v>
      </c>
      <c r="V176" s="16"/>
      <c r="W176" s="113" t="s">
        <v>1644</v>
      </c>
      <c r="X176" s="18" t="s">
        <v>542</v>
      </c>
      <c r="Y176" s="18" t="s">
        <v>98</v>
      </c>
      <c r="Z176" s="18" t="s">
        <v>32</v>
      </c>
      <c r="AA176" s="16" t="s">
        <v>624</v>
      </c>
      <c r="AB176" s="16" t="s">
        <v>1442</v>
      </c>
      <c r="AC176" s="16" t="s">
        <v>625</v>
      </c>
      <c r="AD176" s="123" t="str">
        <f t="shared" si="2"/>
        <v>External Transfer-Other banks</v>
      </c>
      <c r="AE176" s="123" t="str">
        <f>VLOOKUP(Table1[[#This Row],[Name of bank]],'اكواد البنوك'!$A$2:$B$34,2,0)</f>
        <v>HDBKEGCAXXX</v>
      </c>
      <c r="AF176" s="114" t="s">
        <v>1467</v>
      </c>
      <c r="AG176" s="15" t="s">
        <v>10381</v>
      </c>
    </row>
    <row r="177" spans="1:33">
      <c r="A177" s="14">
        <v>176</v>
      </c>
      <c r="B177" s="14" t="s">
        <v>1645</v>
      </c>
      <c r="C177" s="14" t="e">
        <v>#N/A</v>
      </c>
      <c r="D177" s="15" t="s">
        <v>1463</v>
      </c>
      <c r="E177" s="16" t="s">
        <v>1646</v>
      </c>
      <c r="F177" s="32" t="s">
        <v>1647</v>
      </c>
      <c r="G177" s="17" t="s">
        <v>1648</v>
      </c>
      <c r="H177" s="18" t="s">
        <v>1649</v>
      </c>
      <c r="I177" s="16" t="s">
        <v>1463</v>
      </c>
      <c r="J177" s="16"/>
      <c r="K177" s="16"/>
      <c r="L177" s="16">
        <v>54313472</v>
      </c>
      <c r="M177" s="16"/>
      <c r="N177" s="16">
        <v>29605181600771</v>
      </c>
      <c r="O177" s="16"/>
      <c r="P177" s="16"/>
      <c r="Q177" s="16"/>
      <c r="R177" s="16"/>
      <c r="S177" s="19" t="s">
        <v>1647</v>
      </c>
      <c r="T177" s="20" t="s">
        <v>1464</v>
      </c>
      <c r="U177" s="16" t="s">
        <v>1465</v>
      </c>
      <c r="V177" s="16"/>
      <c r="W177" s="30" t="s">
        <v>1650</v>
      </c>
      <c r="X177" s="18" t="s">
        <v>542</v>
      </c>
      <c r="Y177" s="18" t="s">
        <v>98</v>
      </c>
      <c r="Z177" s="18" t="s">
        <v>32</v>
      </c>
      <c r="AA177" s="16" t="s">
        <v>624</v>
      </c>
      <c r="AB177" s="16" t="s">
        <v>1516</v>
      </c>
      <c r="AC177" s="16" t="s">
        <v>625</v>
      </c>
      <c r="AD177" s="123" t="str">
        <f t="shared" si="2"/>
        <v>External Transfer-Other banks</v>
      </c>
      <c r="AE177" s="123" t="str">
        <f>VLOOKUP(Table1[[#This Row],[Name of bank]],'اكواد البنوك'!$A$2:$B$34,2,0)</f>
        <v>HDBKEGCAXXX</v>
      </c>
      <c r="AF177" s="21" t="s">
        <v>1467</v>
      </c>
      <c r="AG177" s="15" t="s">
        <v>10381</v>
      </c>
    </row>
    <row r="178" spans="1:33" ht="15.75">
      <c r="A178" s="14">
        <v>177</v>
      </c>
      <c r="B178" s="14" t="str">
        <f>B177</f>
        <v>E420</v>
      </c>
      <c r="C178" s="14" t="e">
        <v>#N/A</v>
      </c>
      <c r="D178" s="15" t="s">
        <v>1463</v>
      </c>
      <c r="E178" s="16" t="s">
        <v>1651</v>
      </c>
      <c r="F178" s="32" t="s">
        <v>1652</v>
      </c>
      <c r="G178" s="17" t="s">
        <v>1653</v>
      </c>
      <c r="H178" s="18" t="s">
        <v>1654</v>
      </c>
      <c r="I178" s="16" t="s">
        <v>1463</v>
      </c>
      <c r="J178" s="16"/>
      <c r="K178" s="16"/>
      <c r="L178" s="16">
        <v>77827206</v>
      </c>
      <c r="M178" s="16"/>
      <c r="N178" s="16">
        <v>29506201100321</v>
      </c>
      <c r="O178" s="16"/>
      <c r="P178" s="16"/>
      <c r="Q178" s="16"/>
      <c r="R178" s="16"/>
      <c r="S178" s="19" t="s">
        <v>1652</v>
      </c>
      <c r="T178" s="20" t="s">
        <v>1464</v>
      </c>
      <c r="U178" s="16" t="s">
        <v>1465</v>
      </c>
      <c r="V178" s="16"/>
      <c r="W178" s="30" t="s">
        <v>1655</v>
      </c>
      <c r="X178" s="18" t="s">
        <v>542</v>
      </c>
      <c r="Y178" s="18" t="s">
        <v>98</v>
      </c>
      <c r="Z178" s="18" t="s">
        <v>32</v>
      </c>
      <c r="AA178" s="16" t="s">
        <v>624</v>
      </c>
      <c r="AB178" s="16" t="s">
        <v>1516</v>
      </c>
      <c r="AC178" s="16" t="s">
        <v>625</v>
      </c>
      <c r="AD178" s="123" t="str">
        <f t="shared" si="2"/>
        <v>External Transfer-Other banks</v>
      </c>
      <c r="AE178" s="123" t="str">
        <f>VLOOKUP(Table1[[#This Row],[Name of bank]],'اكواد البنوك'!$A$2:$B$34,2,0)</f>
        <v>HDBKEGCAXXX</v>
      </c>
      <c r="AF178" s="21" t="s">
        <v>1467</v>
      </c>
      <c r="AG178" s="15" t="s">
        <v>10381</v>
      </c>
    </row>
    <row r="179" spans="1:33">
      <c r="A179" s="14">
        <v>178</v>
      </c>
      <c r="B179" s="14" t="s">
        <v>30</v>
      </c>
      <c r="C179" s="14" t="s">
        <v>9984</v>
      </c>
      <c r="D179" s="15" t="s">
        <v>1463</v>
      </c>
      <c r="E179" s="16" t="s">
        <v>1656</v>
      </c>
      <c r="F179" s="32" t="s">
        <v>1657</v>
      </c>
      <c r="G179" s="17" t="s">
        <v>1658</v>
      </c>
      <c r="H179" s="18" t="s">
        <v>1659</v>
      </c>
      <c r="I179" s="16"/>
      <c r="J179" s="16"/>
      <c r="K179" s="16"/>
      <c r="L179" s="16">
        <v>34001827</v>
      </c>
      <c r="M179" s="16"/>
      <c r="N179" s="16">
        <v>28908271100261</v>
      </c>
      <c r="O179" s="16"/>
      <c r="P179" s="16"/>
      <c r="Q179" s="16"/>
      <c r="R179" s="16"/>
      <c r="S179" s="19" t="s">
        <v>1657</v>
      </c>
      <c r="T179" s="20" t="s">
        <v>1464</v>
      </c>
      <c r="U179" s="16" t="s">
        <v>1480</v>
      </c>
      <c r="V179" s="16"/>
      <c r="W179" s="113" t="s">
        <v>1660</v>
      </c>
      <c r="X179" s="18" t="s">
        <v>542</v>
      </c>
      <c r="Y179" s="18" t="s">
        <v>98</v>
      </c>
      <c r="Z179" s="18" t="s">
        <v>32</v>
      </c>
      <c r="AA179" s="16" t="s">
        <v>624</v>
      </c>
      <c r="AB179" s="16" t="s">
        <v>1516</v>
      </c>
      <c r="AC179" s="16" t="s">
        <v>625</v>
      </c>
      <c r="AD179" s="123" t="str">
        <f t="shared" si="2"/>
        <v>External Transfer-Other banks</v>
      </c>
      <c r="AE179" s="123" t="str">
        <f>VLOOKUP(Table1[[#This Row],[Name of bank]],'اكواد البنوك'!$A$2:$B$34,2,0)</f>
        <v>HDBKEGCAXXX</v>
      </c>
      <c r="AF179" s="114" t="s">
        <v>1467</v>
      </c>
      <c r="AG179" s="15" t="s">
        <v>10381</v>
      </c>
    </row>
    <row r="180" spans="1:33">
      <c r="A180" s="14">
        <v>179</v>
      </c>
      <c r="B180" s="14" t="s">
        <v>30</v>
      </c>
      <c r="C180" s="14" t="s">
        <v>9988</v>
      </c>
      <c r="D180" s="15" t="s">
        <v>1463</v>
      </c>
      <c r="E180" s="16" t="s">
        <v>1661</v>
      </c>
      <c r="F180" s="32" t="s">
        <v>1662</v>
      </c>
      <c r="G180" s="17" t="s">
        <v>1663</v>
      </c>
      <c r="H180" s="18">
        <v>201009069310</v>
      </c>
      <c r="I180" s="16"/>
      <c r="J180" s="16"/>
      <c r="K180" s="16"/>
      <c r="L180" s="16">
        <v>5719456</v>
      </c>
      <c r="M180" s="16"/>
      <c r="N180" s="16">
        <v>28608071200357</v>
      </c>
      <c r="O180" s="16"/>
      <c r="P180" s="16"/>
      <c r="Q180" s="16"/>
      <c r="R180" s="16"/>
      <c r="S180" s="19" t="s">
        <v>1664</v>
      </c>
      <c r="T180" s="20" t="s">
        <v>1464</v>
      </c>
      <c r="U180" s="16" t="s">
        <v>1480</v>
      </c>
      <c r="V180" s="16"/>
      <c r="W180" s="113" t="s">
        <v>1665</v>
      </c>
      <c r="X180" s="18" t="s">
        <v>542</v>
      </c>
      <c r="Y180" s="18" t="s">
        <v>98</v>
      </c>
      <c r="Z180" s="18" t="s">
        <v>32</v>
      </c>
      <c r="AA180" s="16" t="s">
        <v>624</v>
      </c>
      <c r="AB180" s="16" t="s">
        <v>1516</v>
      </c>
      <c r="AC180" s="16" t="s">
        <v>625</v>
      </c>
      <c r="AD180" s="123" t="str">
        <f t="shared" si="2"/>
        <v>External Transfer-Other banks</v>
      </c>
      <c r="AE180" s="123" t="str">
        <f>VLOOKUP(Table1[[#This Row],[Name of bank]],'اكواد البنوك'!$A$2:$B$34,2,0)</f>
        <v>HDBKEGCAXXX</v>
      </c>
      <c r="AF180" s="114" t="s">
        <v>1467</v>
      </c>
      <c r="AG180" s="15" t="s">
        <v>1664</v>
      </c>
    </row>
    <row r="181" spans="1:33">
      <c r="A181" s="14">
        <v>180</v>
      </c>
      <c r="B181" s="14" t="s">
        <v>1666</v>
      </c>
      <c r="C181" s="14" t="e">
        <v>#N/A</v>
      </c>
      <c r="D181" s="15" t="s">
        <v>1463</v>
      </c>
      <c r="E181" s="16" t="s">
        <v>1667</v>
      </c>
      <c r="F181" s="32" t="s">
        <v>10172</v>
      </c>
      <c r="G181" s="17" t="s">
        <v>1669</v>
      </c>
      <c r="H181" s="18" t="s">
        <v>1670</v>
      </c>
      <c r="I181" s="16" t="s">
        <v>1463</v>
      </c>
      <c r="J181" s="16"/>
      <c r="K181" s="16"/>
      <c r="L181" s="16">
        <v>53016144</v>
      </c>
      <c r="M181" s="16"/>
      <c r="N181" s="16">
        <v>27910041203267</v>
      </c>
      <c r="O181" s="16"/>
      <c r="P181" s="16"/>
      <c r="Q181" s="16"/>
      <c r="R181" s="16"/>
      <c r="S181" s="19" t="s">
        <v>1668</v>
      </c>
      <c r="T181" s="20" t="s">
        <v>1464</v>
      </c>
      <c r="U181" s="16" t="s">
        <v>1465</v>
      </c>
      <c r="V181" s="16"/>
      <c r="W181" s="113" t="s">
        <v>1671</v>
      </c>
      <c r="X181" s="18" t="s">
        <v>542</v>
      </c>
      <c r="Y181" s="18" t="s">
        <v>98</v>
      </c>
      <c r="Z181" s="18" t="s">
        <v>32</v>
      </c>
      <c r="AA181" s="16" t="s">
        <v>624</v>
      </c>
      <c r="AB181" s="16" t="s">
        <v>1516</v>
      </c>
      <c r="AC181" s="16" t="s">
        <v>625</v>
      </c>
      <c r="AD181" s="123" t="str">
        <f t="shared" si="2"/>
        <v>External Transfer-Other banks</v>
      </c>
      <c r="AE181" s="123" t="str">
        <f>VLOOKUP(Table1[[#This Row],[Name of bank]],'اكواد البنوك'!$A$2:$B$34,2,0)</f>
        <v>HDBKEGCAXXX</v>
      </c>
      <c r="AF181" s="114" t="s">
        <v>1467</v>
      </c>
      <c r="AG181" s="15" t="s">
        <v>10381</v>
      </c>
    </row>
    <row r="182" spans="1:33">
      <c r="A182" s="14">
        <v>181</v>
      </c>
      <c r="B182" s="14" t="str">
        <f>B181</f>
        <v>E421</v>
      </c>
      <c r="C182" s="14" t="s">
        <v>9983</v>
      </c>
      <c r="D182" s="15" t="s">
        <v>1463</v>
      </c>
      <c r="E182" s="16" t="s">
        <v>1672</v>
      </c>
      <c r="F182" s="32" t="s">
        <v>1673</v>
      </c>
      <c r="G182" s="17" t="s">
        <v>1674</v>
      </c>
      <c r="H182" s="18" t="s">
        <v>1675</v>
      </c>
      <c r="I182" s="16" t="s">
        <v>1463</v>
      </c>
      <c r="J182" s="16"/>
      <c r="K182" s="16"/>
      <c r="L182" s="16">
        <v>68537439</v>
      </c>
      <c r="M182" s="16"/>
      <c r="N182" s="16">
        <v>29003051200053</v>
      </c>
      <c r="O182" s="16"/>
      <c r="P182" s="16"/>
      <c r="Q182" s="16"/>
      <c r="R182" s="16"/>
      <c r="S182" s="19" t="s">
        <v>1673</v>
      </c>
      <c r="T182" s="20" t="s">
        <v>1464</v>
      </c>
      <c r="U182" s="16" t="s">
        <v>1465</v>
      </c>
      <c r="V182" s="16"/>
      <c r="W182" s="113" t="s">
        <v>1676</v>
      </c>
      <c r="X182" s="18" t="s">
        <v>542</v>
      </c>
      <c r="Y182" s="18" t="s">
        <v>98</v>
      </c>
      <c r="Z182" s="18" t="s">
        <v>32</v>
      </c>
      <c r="AA182" s="16" t="s">
        <v>624</v>
      </c>
      <c r="AB182" s="16" t="s">
        <v>1516</v>
      </c>
      <c r="AC182" s="16" t="s">
        <v>625</v>
      </c>
      <c r="AD182" s="123" t="str">
        <f t="shared" si="2"/>
        <v>External Transfer-Other banks</v>
      </c>
      <c r="AE182" s="123" t="str">
        <f>VLOOKUP(Table1[[#This Row],[Name of bank]],'اكواد البنوك'!$A$2:$B$34,2,0)</f>
        <v>HDBKEGCAXXX</v>
      </c>
      <c r="AF182" s="114" t="s">
        <v>1467</v>
      </c>
      <c r="AG182" s="15" t="s">
        <v>10381</v>
      </c>
    </row>
    <row r="183" spans="1:33">
      <c r="A183" s="14">
        <v>182</v>
      </c>
      <c r="B183" s="14" t="s">
        <v>1677</v>
      </c>
      <c r="C183" s="14" t="e">
        <v>#N/A</v>
      </c>
      <c r="D183" s="15" t="s">
        <v>1463</v>
      </c>
      <c r="E183" s="16" t="s">
        <v>1678</v>
      </c>
      <c r="F183" s="32" t="s">
        <v>1679</v>
      </c>
      <c r="G183" s="17" t="s">
        <v>1680</v>
      </c>
      <c r="H183" s="18">
        <v>201008252505</v>
      </c>
      <c r="I183" s="16" t="s">
        <v>1681</v>
      </c>
      <c r="J183" s="16"/>
      <c r="K183" s="16"/>
      <c r="L183" s="16"/>
      <c r="M183" s="16"/>
      <c r="N183" s="16">
        <v>28807121100254</v>
      </c>
      <c r="O183" s="16">
        <v>18919697</v>
      </c>
      <c r="P183" s="16"/>
      <c r="Q183" s="16"/>
      <c r="R183" s="16"/>
      <c r="S183" s="19" t="s">
        <v>1678</v>
      </c>
      <c r="T183" s="20" t="s">
        <v>1464</v>
      </c>
      <c r="U183" s="16" t="s">
        <v>1682</v>
      </c>
      <c r="V183" s="16"/>
      <c r="W183" s="30" t="s">
        <v>1683</v>
      </c>
      <c r="X183" s="18" t="s">
        <v>542</v>
      </c>
      <c r="Y183" s="18" t="s">
        <v>98</v>
      </c>
      <c r="Z183" s="18" t="s">
        <v>32</v>
      </c>
      <c r="AA183" s="16" t="s">
        <v>624</v>
      </c>
      <c r="AB183" s="16" t="s">
        <v>1516</v>
      </c>
      <c r="AC183" s="16" t="s">
        <v>625</v>
      </c>
      <c r="AD183" s="123" t="str">
        <f t="shared" si="2"/>
        <v>External Transfer-Other banks</v>
      </c>
      <c r="AE183" s="123" t="str">
        <f>VLOOKUP(Table1[[#This Row],[Name of bank]],'اكواد البنوك'!$A$2:$B$34,2,0)</f>
        <v>HDBKEGCAXXX</v>
      </c>
      <c r="AF183" s="21" t="s">
        <v>1467</v>
      </c>
      <c r="AG183" s="15" t="s">
        <v>167</v>
      </c>
    </row>
    <row r="184" spans="1:33">
      <c r="A184" s="14">
        <v>183</v>
      </c>
      <c r="B184" s="14" t="str">
        <f>B183</f>
        <v>E422</v>
      </c>
      <c r="C184" s="14" t="e">
        <v>#N/A</v>
      </c>
      <c r="D184" s="15" t="s">
        <v>1463</v>
      </c>
      <c r="E184" s="16" t="s">
        <v>1684</v>
      </c>
      <c r="F184" s="32" t="s">
        <v>1685</v>
      </c>
      <c r="G184" s="17" t="s">
        <v>1686</v>
      </c>
      <c r="H184" s="18">
        <v>201114064419</v>
      </c>
      <c r="I184" s="16" t="s">
        <v>1463</v>
      </c>
      <c r="J184" s="16"/>
      <c r="K184" s="16"/>
      <c r="L184" s="16">
        <v>7192755</v>
      </c>
      <c r="M184" s="16"/>
      <c r="N184" s="16">
        <v>28611171202064</v>
      </c>
      <c r="O184" s="16"/>
      <c r="P184" s="16"/>
      <c r="Q184" s="16"/>
      <c r="R184" s="16"/>
      <c r="S184" s="19" t="s">
        <v>167</v>
      </c>
      <c r="T184" s="20" t="s">
        <v>1464</v>
      </c>
      <c r="U184" s="16" t="s">
        <v>1480</v>
      </c>
      <c r="V184" s="16"/>
      <c r="W184" s="113" t="s">
        <v>1687</v>
      </c>
      <c r="X184" s="18" t="s">
        <v>542</v>
      </c>
      <c r="Y184" s="18" t="s">
        <v>98</v>
      </c>
      <c r="Z184" s="18" t="s">
        <v>32</v>
      </c>
      <c r="AA184" s="16" t="s">
        <v>624</v>
      </c>
      <c r="AB184" s="16" t="s">
        <v>1516</v>
      </c>
      <c r="AC184" s="16" t="s">
        <v>625</v>
      </c>
      <c r="AD184" s="123" t="str">
        <f t="shared" si="2"/>
        <v>External Transfer-Other banks</v>
      </c>
      <c r="AE184" s="123" t="str">
        <f>VLOOKUP(Table1[[#This Row],[Name of bank]],'اكواد البنوك'!$A$2:$B$34,2,0)</f>
        <v>HDBKEGCAXXX</v>
      </c>
      <c r="AF184" s="114" t="s">
        <v>1467</v>
      </c>
      <c r="AG184" s="15" t="s">
        <v>167</v>
      </c>
    </row>
    <row r="185" spans="1:33">
      <c r="A185" s="14">
        <v>184</v>
      </c>
      <c r="B185" s="14" t="s">
        <v>1688</v>
      </c>
      <c r="C185" s="14" t="e">
        <v>#N/A</v>
      </c>
      <c r="D185" s="15" t="s">
        <v>1463</v>
      </c>
      <c r="E185" s="16" t="s">
        <v>1689</v>
      </c>
      <c r="F185" s="32" t="s">
        <v>10037</v>
      </c>
      <c r="G185" s="17" t="s">
        <v>1691</v>
      </c>
      <c r="H185" s="18">
        <v>201090090375</v>
      </c>
      <c r="I185" s="16" t="s">
        <v>1463</v>
      </c>
      <c r="J185" s="16"/>
      <c r="K185" s="16"/>
      <c r="L185" s="16">
        <v>75837346</v>
      </c>
      <c r="M185" s="16"/>
      <c r="N185" s="16">
        <v>29406101100257</v>
      </c>
      <c r="O185" s="16"/>
      <c r="P185" s="16"/>
      <c r="Q185" s="16"/>
      <c r="R185" s="16"/>
      <c r="S185" s="19" t="s">
        <v>1690</v>
      </c>
      <c r="T185" s="20" t="s">
        <v>1464</v>
      </c>
      <c r="U185" s="16" t="s">
        <v>1465</v>
      </c>
      <c r="V185" s="16"/>
      <c r="W185" s="30" t="s">
        <v>1692</v>
      </c>
      <c r="X185" s="18" t="s">
        <v>542</v>
      </c>
      <c r="Y185" s="18" t="s">
        <v>98</v>
      </c>
      <c r="Z185" s="18" t="s">
        <v>32</v>
      </c>
      <c r="AA185" s="16" t="s">
        <v>624</v>
      </c>
      <c r="AB185" s="16" t="s">
        <v>1516</v>
      </c>
      <c r="AC185" s="16" t="s">
        <v>625</v>
      </c>
      <c r="AD185" s="123" t="str">
        <f t="shared" si="2"/>
        <v>External Transfer-Other banks</v>
      </c>
      <c r="AE185" s="123" t="str">
        <f>VLOOKUP(Table1[[#This Row],[Name of bank]],'اكواد البنوك'!$A$2:$B$34,2,0)</f>
        <v>HDBKEGCAXXX</v>
      </c>
      <c r="AF185" s="21" t="s">
        <v>1467</v>
      </c>
      <c r="AG185" s="15" t="s">
        <v>10381</v>
      </c>
    </row>
    <row r="186" spans="1:33">
      <c r="A186" s="14">
        <v>185</v>
      </c>
      <c r="B186" s="14" t="str">
        <f>B185</f>
        <v>E426</v>
      </c>
      <c r="C186" s="14" t="e">
        <v>#N/A</v>
      </c>
      <c r="D186" s="15" t="s">
        <v>1463</v>
      </c>
      <c r="E186" s="16" t="s">
        <v>1693</v>
      </c>
      <c r="F186" s="32" t="s">
        <v>10033</v>
      </c>
      <c r="G186" s="17" t="s">
        <v>1694</v>
      </c>
      <c r="H186" s="18">
        <v>201117766986</v>
      </c>
      <c r="I186" s="16" t="s">
        <v>1463</v>
      </c>
      <c r="J186" s="16"/>
      <c r="K186" s="16"/>
      <c r="L186" s="16">
        <v>66803219</v>
      </c>
      <c r="M186" s="16"/>
      <c r="N186" s="16">
        <v>29608011101272</v>
      </c>
      <c r="O186" s="16"/>
      <c r="P186" s="16"/>
      <c r="Q186" s="16"/>
      <c r="R186" s="16"/>
      <c r="S186" s="19" t="s">
        <v>167</v>
      </c>
      <c r="T186" s="20" t="s">
        <v>1464</v>
      </c>
      <c r="U186" s="16" t="s">
        <v>1465</v>
      </c>
      <c r="V186" s="16"/>
      <c r="W186" s="30" t="s">
        <v>1695</v>
      </c>
      <c r="X186" s="18" t="s">
        <v>542</v>
      </c>
      <c r="Y186" s="18" t="s">
        <v>98</v>
      </c>
      <c r="Z186" s="18" t="s">
        <v>32</v>
      </c>
      <c r="AA186" s="16" t="s">
        <v>624</v>
      </c>
      <c r="AB186" s="16" t="s">
        <v>1516</v>
      </c>
      <c r="AC186" s="16" t="s">
        <v>625</v>
      </c>
      <c r="AD186" s="123" t="str">
        <f t="shared" si="2"/>
        <v>External Transfer-Other banks</v>
      </c>
      <c r="AE186" s="123" t="str">
        <f>VLOOKUP(Table1[[#This Row],[Name of bank]],'اكواد البنوك'!$A$2:$B$34,2,0)</f>
        <v>HDBKEGCAXXX</v>
      </c>
      <c r="AF186" s="21">
        <v>2205</v>
      </c>
      <c r="AG186" s="15" t="s">
        <v>167</v>
      </c>
    </row>
    <row r="187" spans="1:33" ht="15.75">
      <c r="A187" s="14">
        <v>186</v>
      </c>
      <c r="B187" s="14" t="str">
        <f>B186</f>
        <v>E426</v>
      </c>
      <c r="C187" s="14" t="e">
        <v>#N/A</v>
      </c>
      <c r="D187" s="15" t="s">
        <v>1463</v>
      </c>
      <c r="E187" s="16" t="s">
        <v>1696</v>
      </c>
      <c r="F187" s="32" t="s">
        <v>1697</v>
      </c>
      <c r="G187" s="17" t="s">
        <v>1698</v>
      </c>
      <c r="H187" s="18">
        <v>201553606021</v>
      </c>
      <c r="I187" s="16" t="s">
        <v>1463</v>
      </c>
      <c r="J187" s="16"/>
      <c r="K187" s="16"/>
      <c r="L187" s="16">
        <v>82093684</v>
      </c>
      <c r="M187" s="16"/>
      <c r="N187" s="16">
        <v>29701051100031</v>
      </c>
      <c r="O187" s="16"/>
      <c r="P187" s="16"/>
      <c r="Q187" s="16"/>
      <c r="R187" s="16"/>
      <c r="S187" s="19" t="s">
        <v>1697</v>
      </c>
      <c r="T187" s="20" t="s">
        <v>1464</v>
      </c>
      <c r="U187" s="16" t="s">
        <v>1465</v>
      </c>
      <c r="V187" s="16"/>
      <c r="W187" s="30" t="s">
        <v>1699</v>
      </c>
      <c r="X187" s="18" t="s">
        <v>542</v>
      </c>
      <c r="Y187" s="18" t="s">
        <v>98</v>
      </c>
      <c r="Z187" s="18" t="s">
        <v>32</v>
      </c>
      <c r="AA187" s="16" t="s">
        <v>624</v>
      </c>
      <c r="AB187" s="16" t="s">
        <v>1442</v>
      </c>
      <c r="AC187" s="16" t="s">
        <v>625</v>
      </c>
      <c r="AD187" s="123" t="str">
        <f t="shared" si="2"/>
        <v>External Transfer-Other banks</v>
      </c>
      <c r="AE187" s="123" t="str">
        <f>VLOOKUP(Table1[[#This Row],[Name of bank]],'اكواد البنوك'!$A$2:$B$34,2,0)</f>
        <v>HDBKEGCAXXX</v>
      </c>
      <c r="AF187" s="21" t="s">
        <v>1467</v>
      </c>
      <c r="AG187" s="15" t="s">
        <v>10381</v>
      </c>
    </row>
    <row r="188" spans="1:33">
      <c r="A188" s="14">
        <v>187</v>
      </c>
      <c r="B188" s="14" t="s">
        <v>1434</v>
      </c>
      <c r="C188" s="14" t="s">
        <v>1701</v>
      </c>
      <c r="D188" s="15" t="s">
        <v>34</v>
      </c>
      <c r="E188" s="16" t="s">
        <v>1700</v>
      </c>
      <c r="F188" s="32" t="s">
        <v>10136</v>
      </c>
      <c r="G188" s="17"/>
      <c r="H188" s="18">
        <v>201026188529</v>
      </c>
      <c r="I188" s="16" t="s">
        <v>34</v>
      </c>
      <c r="J188" s="16"/>
      <c r="K188" s="16"/>
      <c r="L188" s="16"/>
      <c r="M188" s="16"/>
      <c r="N188" s="16">
        <v>27711210200831</v>
      </c>
      <c r="O188" s="16"/>
      <c r="P188" s="16"/>
      <c r="Q188" s="16"/>
      <c r="R188" s="16"/>
      <c r="S188" s="19"/>
      <c r="T188" s="20" t="s">
        <v>40</v>
      </c>
      <c r="U188" s="16"/>
      <c r="V188" s="16"/>
      <c r="W188" s="30">
        <v>89</v>
      </c>
      <c r="X188" s="18" t="s">
        <v>1701</v>
      </c>
      <c r="Y188" s="18" t="s">
        <v>43</v>
      </c>
      <c r="Z188" s="18" t="s">
        <v>32</v>
      </c>
      <c r="AA188" s="16" t="s">
        <v>624</v>
      </c>
      <c r="AB188" s="16" t="s">
        <v>1442</v>
      </c>
      <c r="AC188" s="16" t="s">
        <v>625</v>
      </c>
      <c r="AD188" s="123" t="str">
        <f t="shared" si="2"/>
        <v>Internal Transfer</v>
      </c>
      <c r="AE188" s="123" t="str">
        <f>VLOOKUP(Table1[[#This Row],[Name of bank]],'اكواد البنوك'!$A$2:$B$34,2,0)</f>
        <v>NBEGEGCXXXX</v>
      </c>
      <c r="AF188" s="30">
        <v>89</v>
      </c>
      <c r="AG188" s="15"/>
    </row>
    <row r="189" spans="1:33">
      <c r="A189" s="14">
        <v>188</v>
      </c>
      <c r="B189" s="14" t="s">
        <v>1702</v>
      </c>
      <c r="C189" s="14" t="s">
        <v>1702</v>
      </c>
      <c r="D189" s="15" t="s">
        <v>1703</v>
      </c>
      <c r="E189" s="16" t="s">
        <v>1704</v>
      </c>
      <c r="F189" s="32" t="s">
        <v>1705</v>
      </c>
      <c r="G189" s="17" t="s">
        <v>1706</v>
      </c>
      <c r="H189" s="18" t="s">
        <v>1707</v>
      </c>
      <c r="I189" s="16" t="s">
        <v>1703</v>
      </c>
      <c r="J189" s="16"/>
      <c r="K189" s="16"/>
      <c r="L189" s="16"/>
      <c r="M189" s="16"/>
      <c r="N189" s="16"/>
      <c r="O189" s="16"/>
      <c r="P189" s="16"/>
      <c r="Q189" s="16"/>
      <c r="R189" s="16"/>
      <c r="S189" s="19"/>
      <c r="T189" s="20" t="s">
        <v>40</v>
      </c>
      <c r="U189" s="16" t="s">
        <v>1708</v>
      </c>
      <c r="V189" s="16"/>
      <c r="W189" s="30">
        <v>5</v>
      </c>
      <c r="X189" s="18" t="s">
        <v>31</v>
      </c>
      <c r="Y189" s="18" t="s">
        <v>43</v>
      </c>
      <c r="Z189" s="18" t="s">
        <v>1709</v>
      </c>
      <c r="AA189" s="16" t="s">
        <v>1710</v>
      </c>
      <c r="AB189" s="16" t="s">
        <v>1711</v>
      </c>
      <c r="AC189" s="16" t="s">
        <v>1712</v>
      </c>
      <c r="AD189" s="123" t="str">
        <f t="shared" si="2"/>
        <v>Internal Transfer</v>
      </c>
      <c r="AE189" s="123" t="str">
        <f>VLOOKUP(Table1[[#This Row],[Name of bank]],'اكواد البنوك'!$A$2:$B$34,2,0)</f>
        <v>NBEGEGCXXXX</v>
      </c>
      <c r="AF189" s="21" t="s">
        <v>1713</v>
      </c>
      <c r="AG189" s="15"/>
    </row>
    <row r="190" spans="1:33">
      <c r="A190" s="14">
        <v>189</v>
      </c>
      <c r="B190" s="14" t="s">
        <v>1702</v>
      </c>
      <c r="C190" s="14" t="s">
        <v>1702</v>
      </c>
      <c r="D190" s="15" t="s">
        <v>1718</v>
      </c>
      <c r="E190" s="16" t="s">
        <v>1714</v>
      </c>
      <c r="F190" s="32" t="s">
        <v>1715</v>
      </c>
      <c r="G190" s="17" t="s">
        <v>1716</v>
      </c>
      <c r="H190" s="18" t="s">
        <v>1717</v>
      </c>
      <c r="I190" s="16" t="s">
        <v>1718</v>
      </c>
      <c r="J190" s="16"/>
      <c r="K190" s="16"/>
      <c r="L190" s="16"/>
      <c r="M190" s="16"/>
      <c r="N190" s="16"/>
      <c r="O190" s="16"/>
      <c r="P190" s="16"/>
      <c r="Q190" s="16"/>
      <c r="R190" s="16"/>
      <c r="S190" s="19"/>
      <c r="T190" s="20" t="s">
        <v>40</v>
      </c>
      <c r="U190" s="16"/>
      <c r="V190" s="16"/>
      <c r="W190" s="30" t="s">
        <v>1718</v>
      </c>
      <c r="X190" s="18" t="s">
        <v>66</v>
      </c>
      <c r="Y190" s="18" t="s">
        <v>43</v>
      </c>
      <c r="Z190" s="18" t="s">
        <v>1709</v>
      </c>
      <c r="AA190" s="16" t="s">
        <v>1710</v>
      </c>
      <c r="AB190" s="16" t="s">
        <v>1711</v>
      </c>
      <c r="AC190" s="16" t="s">
        <v>1712</v>
      </c>
      <c r="AD190" s="123" t="str">
        <f t="shared" si="2"/>
        <v>Internal Transfer</v>
      </c>
      <c r="AE190" s="123" t="str">
        <f>VLOOKUP(Table1[[#This Row],[Name of bank]],'اكواد البنوك'!$A$2:$B$34,2,0)</f>
        <v>NBEGEGCXXXX</v>
      </c>
      <c r="AF190" s="30" t="s">
        <v>1718</v>
      </c>
      <c r="AG190" s="15"/>
    </row>
    <row r="191" spans="1:33">
      <c r="A191" s="14">
        <v>190</v>
      </c>
      <c r="B191" s="14" t="s">
        <v>1719</v>
      </c>
      <c r="C191" s="14" t="s">
        <v>1719</v>
      </c>
      <c r="D191" s="15" t="s">
        <v>1703</v>
      </c>
      <c r="E191" s="16" t="s">
        <v>1720</v>
      </c>
      <c r="F191" s="32" t="s">
        <v>1721</v>
      </c>
      <c r="G191" s="17" t="s">
        <v>1722</v>
      </c>
      <c r="H191" s="18" t="s">
        <v>1723</v>
      </c>
      <c r="I191" s="16" t="s">
        <v>1703</v>
      </c>
      <c r="J191" s="16"/>
      <c r="K191" s="16" t="s">
        <v>78</v>
      </c>
      <c r="L191" s="16"/>
      <c r="M191" s="16"/>
      <c r="N191" s="16"/>
      <c r="O191" s="16"/>
      <c r="P191" s="16"/>
      <c r="Q191" s="16"/>
      <c r="R191" s="16"/>
      <c r="S191" s="19"/>
      <c r="T191" s="20" t="s">
        <v>40</v>
      </c>
      <c r="U191" s="16"/>
      <c r="V191" s="16"/>
      <c r="W191" s="30">
        <v>27</v>
      </c>
      <c r="X191" s="18" t="s">
        <v>78</v>
      </c>
      <c r="Y191" s="18" t="s">
        <v>43</v>
      </c>
      <c r="Z191" s="18" t="s">
        <v>1709</v>
      </c>
      <c r="AA191" s="16" t="s">
        <v>1710</v>
      </c>
      <c r="AB191" s="16" t="s">
        <v>1711</v>
      </c>
      <c r="AC191" s="16" t="s">
        <v>1712</v>
      </c>
      <c r="AD191" s="123" t="str">
        <f t="shared" si="2"/>
        <v>Internal Transfer</v>
      </c>
      <c r="AE191" s="123" t="str">
        <f>VLOOKUP(Table1[[#This Row],[Name of bank]],'اكواد البنوك'!$A$2:$B$34,2,0)</f>
        <v>NBEGEGCXXXX</v>
      </c>
      <c r="AF191" s="30">
        <v>27</v>
      </c>
      <c r="AG191" s="15"/>
    </row>
    <row r="192" spans="1:33">
      <c r="A192" s="14">
        <v>191</v>
      </c>
      <c r="B192" s="14" t="str">
        <f>B191</f>
        <v xml:space="preserve">1st Floor </v>
      </c>
      <c r="C192" s="14" t="s">
        <v>1736</v>
      </c>
      <c r="D192" s="15" t="s">
        <v>1724</v>
      </c>
      <c r="E192" s="16" t="s">
        <v>1725</v>
      </c>
      <c r="F192" s="32" t="s">
        <v>1726</v>
      </c>
      <c r="G192" s="17" t="s">
        <v>1727</v>
      </c>
      <c r="H192" s="18" t="s">
        <v>1728</v>
      </c>
      <c r="I192" s="16" t="s">
        <v>1729</v>
      </c>
      <c r="J192" s="16"/>
      <c r="K192" s="16" t="s">
        <v>1730</v>
      </c>
      <c r="L192" s="16">
        <v>7474159</v>
      </c>
      <c r="M192" s="16" t="s">
        <v>1731</v>
      </c>
      <c r="N192" s="16">
        <v>27610260102201</v>
      </c>
      <c r="O192" s="16"/>
      <c r="P192" s="16"/>
      <c r="Q192" s="16" t="s">
        <v>1708</v>
      </c>
      <c r="R192" s="16" t="s">
        <v>1732</v>
      </c>
      <c r="S192" s="19" t="s">
        <v>1725</v>
      </c>
      <c r="T192" s="20" t="s">
        <v>176</v>
      </c>
      <c r="U192" s="16" t="s">
        <v>1708</v>
      </c>
      <c r="V192" s="16" t="s">
        <v>1733</v>
      </c>
      <c r="W192" s="113" t="s">
        <v>1734</v>
      </c>
      <c r="X192" s="18" t="s">
        <v>97</v>
      </c>
      <c r="Y192" s="18" t="s">
        <v>98</v>
      </c>
      <c r="Z192" s="18" t="s">
        <v>1709</v>
      </c>
      <c r="AA192" s="16" t="s">
        <v>1710</v>
      </c>
      <c r="AB192" s="16" t="s">
        <v>1711</v>
      </c>
      <c r="AC192" s="16" t="s">
        <v>1712</v>
      </c>
      <c r="AD192" s="123" t="str">
        <f t="shared" si="2"/>
        <v>External Transfer-Other banks</v>
      </c>
      <c r="AE192" s="123" t="str">
        <f>VLOOKUP(Table1[[#This Row],[Name of bank]],'اكواد البنوك'!$A$2:$B$34,2,0)</f>
        <v>BMISEGCXXXX</v>
      </c>
      <c r="AF192" s="114" t="s">
        <v>1735</v>
      </c>
      <c r="AG192" s="15" t="s">
        <v>167</v>
      </c>
    </row>
    <row r="193" spans="1:33">
      <c r="A193" s="14">
        <v>192</v>
      </c>
      <c r="B193" s="14" t="s">
        <v>1736</v>
      </c>
      <c r="C193" s="14" t="e">
        <v>#N/A</v>
      </c>
      <c r="D193" s="15" t="s">
        <v>1724</v>
      </c>
      <c r="E193" s="16" t="s">
        <v>1737</v>
      </c>
      <c r="F193" s="121" t="s">
        <v>10406</v>
      </c>
      <c r="G193" s="17" t="s">
        <v>1738</v>
      </c>
      <c r="H193" s="18" t="s">
        <v>1739</v>
      </c>
      <c r="I193" s="16" t="s">
        <v>1729</v>
      </c>
      <c r="J193" s="16"/>
      <c r="K193" s="16" t="s">
        <v>1740</v>
      </c>
      <c r="L193" s="16">
        <v>77416906</v>
      </c>
      <c r="M193" s="16" t="s">
        <v>1731</v>
      </c>
      <c r="N193" s="16">
        <v>29605041702158</v>
      </c>
      <c r="O193" s="16"/>
      <c r="P193" s="16"/>
      <c r="Q193" s="16" t="s">
        <v>1708</v>
      </c>
      <c r="R193" s="16" t="s">
        <v>1732</v>
      </c>
      <c r="S193" s="19" t="s">
        <v>1737</v>
      </c>
      <c r="T193" s="20" t="s">
        <v>1741</v>
      </c>
      <c r="U193" s="16" t="s">
        <v>1708</v>
      </c>
      <c r="V193" s="16" t="s">
        <v>1742</v>
      </c>
      <c r="W193" s="113" t="s">
        <v>1743</v>
      </c>
      <c r="X193" s="18" t="s">
        <v>542</v>
      </c>
      <c r="Y193" s="18" t="s">
        <v>98</v>
      </c>
      <c r="Z193" s="18" t="s">
        <v>1709</v>
      </c>
      <c r="AA193" s="16" t="s">
        <v>1710</v>
      </c>
      <c r="AB193" s="16" t="s">
        <v>1711</v>
      </c>
      <c r="AC193" s="16" t="s">
        <v>1712</v>
      </c>
      <c r="AD193" s="123" t="str">
        <f t="shared" si="2"/>
        <v>External Transfer-Other banks</v>
      </c>
      <c r="AE193" s="123" t="str">
        <f>VLOOKUP(Table1[[#This Row],[Name of bank]],'اكواد البنوك'!$A$2:$B$34,2,0)</f>
        <v>SUCAEGCXXXX</v>
      </c>
      <c r="AF193" s="114" t="s">
        <v>1745</v>
      </c>
      <c r="AG193" s="15" t="s">
        <v>167</v>
      </c>
    </row>
    <row r="194" spans="1:33">
      <c r="A194" s="14">
        <v>193</v>
      </c>
      <c r="B194" s="14" t="s">
        <v>1736</v>
      </c>
      <c r="C194" s="14" t="e">
        <v>#N/A</v>
      </c>
      <c r="D194" s="15" t="s">
        <v>1724</v>
      </c>
      <c r="E194" s="16" t="s">
        <v>1746</v>
      </c>
      <c r="F194" s="32" t="s">
        <v>10056</v>
      </c>
      <c r="G194" s="17" t="s">
        <v>1747</v>
      </c>
      <c r="H194" s="18">
        <v>201098383420</v>
      </c>
      <c r="I194" s="16" t="s">
        <v>1729</v>
      </c>
      <c r="J194" s="16"/>
      <c r="K194" s="16" t="s">
        <v>542</v>
      </c>
      <c r="L194" s="16">
        <v>87622986</v>
      </c>
      <c r="M194" s="16" t="s">
        <v>1731</v>
      </c>
      <c r="N194" s="16">
        <v>30301251702602</v>
      </c>
      <c r="O194" s="16"/>
      <c r="P194" s="16"/>
      <c r="Q194" s="16" t="s">
        <v>1708</v>
      </c>
      <c r="R194" s="16" t="s">
        <v>1732</v>
      </c>
      <c r="S194" s="19" t="s">
        <v>1746</v>
      </c>
      <c r="T194" s="20" t="s">
        <v>1741</v>
      </c>
      <c r="U194" s="16" t="s">
        <v>1708</v>
      </c>
      <c r="V194" s="16" t="s">
        <v>1748</v>
      </c>
      <c r="W194" s="113" t="s">
        <v>1749</v>
      </c>
      <c r="X194" s="18" t="s">
        <v>542</v>
      </c>
      <c r="Y194" s="18" t="s">
        <v>98</v>
      </c>
      <c r="Z194" s="18" t="s">
        <v>1709</v>
      </c>
      <c r="AA194" s="16" t="s">
        <v>1710</v>
      </c>
      <c r="AB194" s="16" t="s">
        <v>1711</v>
      </c>
      <c r="AC194" s="16" t="s">
        <v>1712</v>
      </c>
      <c r="AD194" s="123" t="str">
        <f t="shared" ref="AD194:AD257" si="3">IF(ISNUMBER(SEARCH("EXTERNAL CASH",T194)),
   "EXTERNAL CASH",
   IF(ISNUMBER(SEARCH("شيك من القاهرة",T194)),
      "FUE",
      IF(ISNUMBER(SEARCH("INTERNAL CASH",T194)),
         "INTRNAL CASH",
         IF(Y194="IP",
            "Internal Transfer",
            IF(ISNUMBER(SEARCH("National Bank of Egypt",T194)),
               "External Transfer-NBE",
               "External Transfer-Other banks"
            )
         )
      )
   )
)</f>
        <v>External Transfer-Other banks</v>
      </c>
      <c r="AE194" s="123" t="str">
        <f>VLOOKUP(Table1[[#This Row],[Name of bank]],'اكواد البنوك'!$A$2:$B$34,2,0)</f>
        <v>SUCAEGCXXXX</v>
      </c>
      <c r="AF194" s="114" t="s">
        <v>1745</v>
      </c>
      <c r="AG194" s="15" t="s">
        <v>167</v>
      </c>
    </row>
    <row r="195" spans="1:33">
      <c r="A195" s="14">
        <v>194</v>
      </c>
      <c r="B195" s="14" t="s">
        <v>1750</v>
      </c>
      <c r="C195" s="14" t="e">
        <v>#N/A</v>
      </c>
      <c r="D195" s="15" t="s">
        <v>1724</v>
      </c>
      <c r="E195" s="16" t="s">
        <v>1751</v>
      </c>
      <c r="F195" s="32" t="s">
        <v>1752</v>
      </c>
      <c r="G195" s="17" t="s">
        <v>1753</v>
      </c>
      <c r="H195" s="18">
        <v>201014602254</v>
      </c>
      <c r="I195" s="16" t="s">
        <v>1729</v>
      </c>
      <c r="J195" s="16"/>
      <c r="K195" s="16" t="s">
        <v>1754</v>
      </c>
      <c r="L195" s="16">
        <v>35697852</v>
      </c>
      <c r="M195" s="16" t="s">
        <v>1731</v>
      </c>
      <c r="N195" s="16">
        <v>29001151806967</v>
      </c>
      <c r="O195" s="16"/>
      <c r="P195" s="16"/>
      <c r="Q195" s="16" t="s">
        <v>1708</v>
      </c>
      <c r="R195" s="16" t="s">
        <v>1732</v>
      </c>
      <c r="S195" s="19" t="s">
        <v>1755</v>
      </c>
      <c r="T195" s="20" t="s">
        <v>993</v>
      </c>
      <c r="U195" s="16" t="s">
        <v>1708</v>
      </c>
      <c r="V195" s="16" t="s">
        <v>1756</v>
      </c>
      <c r="W195" s="113" t="s">
        <v>1757</v>
      </c>
      <c r="X195" s="18" t="s">
        <v>542</v>
      </c>
      <c r="Y195" s="18" t="s">
        <v>98</v>
      </c>
      <c r="Z195" s="18" t="s">
        <v>1709</v>
      </c>
      <c r="AA195" s="16" t="s">
        <v>1710</v>
      </c>
      <c r="AB195" s="16" t="s">
        <v>1711</v>
      </c>
      <c r="AC195" s="16" t="s">
        <v>1712</v>
      </c>
      <c r="AD195" s="123" t="str">
        <f t="shared" si="3"/>
        <v>External Transfer-Other banks</v>
      </c>
      <c r="AE195" s="123" t="str">
        <f>VLOOKUP(Table1[[#This Row],[Name of bank]],'اكواد البنوك'!$A$2:$B$34,2,0)</f>
        <v>ALEXEGCXXXX</v>
      </c>
      <c r="AF195" s="114" t="s">
        <v>10367</v>
      </c>
      <c r="AG195" s="15" t="s">
        <v>167</v>
      </c>
    </row>
    <row r="196" spans="1:33">
      <c r="A196" s="14">
        <v>195</v>
      </c>
      <c r="B196" s="14" t="s">
        <v>1750</v>
      </c>
      <c r="C196" s="14" t="e">
        <v>#N/A</v>
      </c>
      <c r="D196" s="15" t="s">
        <v>1724</v>
      </c>
      <c r="E196" s="16" t="s">
        <v>1758</v>
      </c>
      <c r="F196" s="32" t="s">
        <v>10405</v>
      </c>
      <c r="G196" s="17" t="s">
        <v>1759</v>
      </c>
      <c r="H196" s="18">
        <v>201006431989</v>
      </c>
      <c r="I196" s="16" t="s">
        <v>1729</v>
      </c>
      <c r="J196" s="16"/>
      <c r="K196" s="16" t="s">
        <v>542</v>
      </c>
      <c r="L196" s="16">
        <v>83982784</v>
      </c>
      <c r="M196" s="16" t="s">
        <v>1731</v>
      </c>
      <c r="N196" s="16">
        <v>29308261800342</v>
      </c>
      <c r="O196" s="16"/>
      <c r="P196" s="16"/>
      <c r="Q196" s="16" t="s">
        <v>1708</v>
      </c>
      <c r="R196" s="16" t="s">
        <v>1732</v>
      </c>
      <c r="S196" s="19" t="s">
        <v>1758</v>
      </c>
      <c r="T196" s="20" t="s">
        <v>176</v>
      </c>
      <c r="U196" s="16" t="s">
        <v>1708</v>
      </c>
      <c r="V196" s="16" t="s">
        <v>1760</v>
      </c>
      <c r="W196" s="113" t="s">
        <v>1761</v>
      </c>
      <c r="X196" s="18" t="s">
        <v>542</v>
      </c>
      <c r="Y196" s="18" t="s">
        <v>98</v>
      </c>
      <c r="Z196" s="18" t="s">
        <v>1709</v>
      </c>
      <c r="AA196" s="16" t="s">
        <v>1710</v>
      </c>
      <c r="AB196" s="16" t="s">
        <v>1711</v>
      </c>
      <c r="AC196" s="16" t="s">
        <v>1712</v>
      </c>
      <c r="AD196" s="123" t="str">
        <f t="shared" si="3"/>
        <v>External Transfer-Other banks</v>
      </c>
      <c r="AE196" s="123" t="str">
        <f>VLOOKUP(Table1[[#This Row],[Name of bank]],'اكواد البنوك'!$A$2:$B$34,2,0)</f>
        <v>BMISEGCXXXX</v>
      </c>
      <c r="AF196" s="114" t="s">
        <v>1735</v>
      </c>
      <c r="AG196" s="15" t="s">
        <v>167</v>
      </c>
    </row>
    <row r="197" spans="1:33">
      <c r="A197" s="14">
        <v>196</v>
      </c>
      <c r="B197" s="14" t="s">
        <v>1750</v>
      </c>
      <c r="C197" s="14" t="s">
        <v>1750</v>
      </c>
      <c r="D197" s="15" t="s">
        <v>1724</v>
      </c>
      <c r="E197" s="16" t="s">
        <v>1762</v>
      </c>
      <c r="F197" s="32" t="s">
        <v>10176</v>
      </c>
      <c r="G197" s="17" t="s">
        <v>1763</v>
      </c>
      <c r="H197" s="18">
        <v>201285896174</v>
      </c>
      <c r="I197" s="16" t="s">
        <v>1729</v>
      </c>
      <c r="J197" s="16"/>
      <c r="K197" s="16" t="s">
        <v>542</v>
      </c>
      <c r="L197" s="16">
        <v>8401212844</v>
      </c>
      <c r="M197" s="16" t="s">
        <v>1731</v>
      </c>
      <c r="N197" s="16">
        <v>29205311700847</v>
      </c>
      <c r="O197" s="16"/>
      <c r="P197" s="16"/>
      <c r="Q197" s="16" t="s">
        <v>1708</v>
      </c>
      <c r="R197" s="16" t="s">
        <v>1732</v>
      </c>
      <c r="S197" s="19" t="s">
        <v>1762</v>
      </c>
      <c r="T197" s="20" t="s">
        <v>176</v>
      </c>
      <c r="U197" s="16" t="s">
        <v>1708</v>
      </c>
      <c r="V197" s="16" t="s">
        <v>1764</v>
      </c>
      <c r="W197" s="113" t="s">
        <v>1765</v>
      </c>
      <c r="X197" s="18" t="s">
        <v>542</v>
      </c>
      <c r="Y197" s="18" t="s">
        <v>98</v>
      </c>
      <c r="Z197" s="18" t="s">
        <v>1709</v>
      </c>
      <c r="AA197" s="16" t="s">
        <v>1710</v>
      </c>
      <c r="AB197" s="16" t="s">
        <v>1711</v>
      </c>
      <c r="AC197" s="16" t="s">
        <v>1712</v>
      </c>
      <c r="AD197" s="123" t="str">
        <f t="shared" si="3"/>
        <v>External Transfer-Other banks</v>
      </c>
      <c r="AE197" s="123" t="str">
        <f>VLOOKUP(Table1[[#This Row],[Name of bank]],'اكواد البنوك'!$A$2:$B$34,2,0)</f>
        <v>BMISEGCXXXX</v>
      </c>
      <c r="AF197" s="114" t="s">
        <v>1735</v>
      </c>
      <c r="AG197" s="15" t="s">
        <v>10381</v>
      </c>
    </row>
    <row r="198" spans="1:33">
      <c r="A198" s="14">
        <v>197</v>
      </c>
      <c r="B198" s="14" t="s">
        <v>1750</v>
      </c>
      <c r="C198" s="14" t="s">
        <v>1750</v>
      </c>
      <c r="D198" s="15" t="s">
        <v>1724</v>
      </c>
      <c r="E198" s="16" t="s">
        <v>1766</v>
      </c>
      <c r="F198" s="32" t="s">
        <v>1767</v>
      </c>
      <c r="G198" s="17" t="s">
        <v>1768</v>
      </c>
      <c r="H198" s="18">
        <v>1027378752</v>
      </c>
      <c r="I198" s="16" t="s">
        <v>1729</v>
      </c>
      <c r="J198" s="16"/>
      <c r="K198" s="16" t="s">
        <v>1769</v>
      </c>
      <c r="L198" s="16">
        <v>82467154</v>
      </c>
      <c r="M198" s="16" t="s">
        <v>1731</v>
      </c>
      <c r="N198" s="16">
        <v>29711191801078</v>
      </c>
      <c r="O198" s="16"/>
      <c r="P198" s="16"/>
      <c r="Q198" s="16" t="s">
        <v>1708</v>
      </c>
      <c r="R198" s="16" t="s">
        <v>1732</v>
      </c>
      <c r="S198" s="19" t="s">
        <v>1766</v>
      </c>
      <c r="T198" s="20" t="s">
        <v>176</v>
      </c>
      <c r="U198" s="16" t="s">
        <v>1708</v>
      </c>
      <c r="V198" s="16" t="s">
        <v>1770</v>
      </c>
      <c r="W198" s="113" t="s">
        <v>1771</v>
      </c>
      <c r="X198" s="18" t="s">
        <v>542</v>
      </c>
      <c r="Y198" s="18" t="s">
        <v>98</v>
      </c>
      <c r="Z198" s="18" t="s">
        <v>1709</v>
      </c>
      <c r="AA198" s="16" t="s">
        <v>1710</v>
      </c>
      <c r="AB198" s="16" t="s">
        <v>1711</v>
      </c>
      <c r="AC198" s="16" t="s">
        <v>1712</v>
      </c>
      <c r="AD198" s="123" t="str">
        <f t="shared" si="3"/>
        <v>External Transfer-Other banks</v>
      </c>
      <c r="AE198" s="123" t="str">
        <f>VLOOKUP(Table1[[#This Row],[Name of bank]],'اكواد البنوك'!$A$2:$B$34,2,0)</f>
        <v>BMISEGCXXXX</v>
      </c>
      <c r="AF198" s="114" t="s">
        <v>1735</v>
      </c>
      <c r="AG198" s="15" t="s">
        <v>10381</v>
      </c>
    </row>
    <row r="199" spans="1:33">
      <c r="A199" s="14">
        <v>198</v>
      </c>
      <c r="B199" s="14" t="s">
        <v>1772</v>
      </c>
      <c r="C199" s="14" t="s">
        <v>1779</v>
      </c>
      <c r="D199" s="15" t="s">
        <v>1724</v>
      </c>
      <c r="E199" s="16" t="s">
        <v>1773</v>
      </c>
      <c r="F199" s="32" t="s">
        <v>1774</v>
      </c>
      <c r="G199" s="17" t="s">
        <v>1775</v>
      </c>
      <c r="H199" s="18" t="s">
        <v>1776</v>
      </c>
      <c r="I199" s="16" t="s">
        <v>1729</v>
      </c>
      <c r="J199" s="16"/>
      <c r="K199" s="16" t="s">
        <v>1730</v>
      </c>
      <c r="L199" s="16">
        <v>42925235</v>
      </c>
      <c r="M199" s="16" t="s">
        <v>1731</v>
      </c>
      <c r="N199" s="16">
        <v>29004011805447</v>
      </c>
      <c r="O199" s="16"/>
      <c r="P199" s="16"/>
      <c r="Q199" s="16" t="s">
        <v>1708</v>
      </c>
      <c r="R199" s="16" t="s">
        <v>1732</v>
      </c>
      <c r="S199" s="19" t="s">
        <v>1773</v>
      </c>
      <c r="T199" s="20" t="s">
        <v>1741</v>
      </c>
      <c r="U199" s="16" t="s">
        <v>1708</v>
      </c>
      <c r="V199" s="16" t="s">
        <v>1777</v>
      </c>
      <c r="W199" s="113" t="s">
        <v>1778</v>
      </c>
      <c r="X199" s="18" t="s">
        <v>97</v>
      </c>
      <c r="Y199" s="18" t="s">
        <v>98</v>
      </c>
      <c r="Z199" s="18" t="s">
        <v>1709</v>
      </c>
      <c r="AA199" s="16" t="s">
        <v>1710</v>
      </c>
      <c r="AB199" s="16" t="s">
        <v>1711</v>
      </c>
      <c r="AC199" s="16" t="s">
        <v>1712</v>
      </c>
      <c r="AD199" s="123" t="str">
        <f t="shared" si="3"/>
        <v>External Transfer-Other banks</v>
      </c>
      <c r="AE199" s="123" t="str">
        <f>VLOOKUP(Table1[[#This Row],[Name of bank]],'اكواد البنوك'!$A$2:$B$34,2,0)</f>
        <v>SUCAEGCXXXX</v>
      </c>
      <c r="AF199" s="114" t="s">
        <v>1745</v>
      </c>
      <c r="AG199" s="15" t="s">
        <v>167</v>
      </c>
    </row>
    <row r="200" spans="1:33">
      <c r="A200" s="14">
        <v>199</v>
      </c>
      <c r="B200" s="14" t="s">
        <v>1779</v>
      </c>
      <c r="C200" s="14" t="e">
        <v>#N/A</v>
      </c>
      <c r="D200" s="15" t="s">
        <v>1724</v>
      </c>
      <c r="E200" s="16" t="s">
        <v>1780</v>
      </c>
      <c r="F200" s="32" t="s">
        <v>10186</v>
      </c>
      <c r="G200" s="17" t="s">
        <v>1781</v>
      </c>
      <c r="H200" s="18">
        <v>201005667804</v>
      </c>
      <c r="I200" s="16" t="s">
        <v>1729</v>
      </c>
      <c r="J200" s="16"/>
      <c r="K200" s="16" t="s">
        <v>542</v>
      </c>
      <c r="L200" s="16">
        <v>5932435</v>
      </c>
      <c r="M200" s="16" t="s">
        <v>1731</v>
      </c>
      <c r="N200" s="16">
        <v>27605081700371</v>
      </c>
      <c r="O200" s="16"/>
      <c r="P200" s="16"/>
      <c r="Q200" s="16" t="s">
        <v>1708</v>
      </c>
      <c r="R200" s="16" t="s">
        <v>1732</v>
      </c>
      <c r="S200" s="19" t="s">
        <v>1780</v>
      </c>
      <c r="T200" s="20" t="s">
        <v>176</v>
      </c>
      <c r="U200" s="16" t="s">
        <v>1708</v>
      </c>
      <c r="V200" s="16" t="s">
        <v>1782</v>
      </c>
      <c r="W200" s="113" t="s">
        <v>1783</v>
      </c>
      <c r="X200" s="18" t="s">
        <v>542</v>
      </c>
      <c r="Y200" s="18" t="s">
        <v>98</v>
      </c>
      <c r="Z200" s="18" t="s">
        <v>1709</v>
      </c>
      <c r="AA200" s="16" t="s">
        <v>1710</v>
      </c>
      <c r="AB200" s="16" t="s">
        <v>1784</v>
      </c>
      <c r="AC200" s="16" t="s">
        <v>1712</v>
      </c>
      <c r="AD200" s="123" t="str">
        <f t="shared" si="3"/>
        <v>External Transfer-Other banks</v>
      </c>
      <c r="AE200" s="123" t="str">
        <f>VLOOKUP(Table1[[#This Row],[Name of bank]],'اكواد البنوك'!$A$2:$B$34,2,0)</f>
        <v>BMISEGCXXXX</v>
      </c>
      <c r="AF200" s="114" t="s">
        <v>1735</v>
      </c>
      <c r="AG200" s="15" t="s">
        <v>167</v>
      </c>
    </row>
    <row r="201" spans="1:33">
      <c r="A201" s="14">
        <v>200</v>
      </c>
      <c r="B201" s="14" t="s">
        <v>1779</v>
      </c>
      <c r="C201" s="14" t="s">
        <v>1779</v>
      </c>
      <c r="D201" s="15" t="s">
        <v>1724</v>
      </c>
      <c r="E201" s="16" t="s">
        <v>1785</v>
      </c>
      <c r="F201" s="32" t="s">
        <v>10114</v>
      </c>
      <c r="G201" s="17" t="s">
        <v>1786</v>
      </c>
      <c r="H201" s="18">
        <v>201006965673</v>
      </c>
      <c r="I201" s="16" t="s">
        <v>1729</v>
      </c>
      <c r="J201" s="16"/>
      <c r="K201" s="16" t="s">
        <v>1787</v>
      </c>
      <c r="L201" s="16">
        <v>17090957</v>
      </c>
      <c r="M201" s="16" t="s">
        <v>1731</v>
      </c>
      <c r="N201" s="16">
        <v>28708182102502</v>
      </c>
      <c r="O201" s="16"/>
      <c r="P201" s="16"/>
      <c r="Q201" s="16" t="s">
        <v>1708</v>
      </c>
      <c r="R201" s="16" t="s">
        <v>1732</v>
      </c>
      <c r="S201" s="19" t="s">
        <v>1785</v>
      </c>
      <c r="T201" s="20" t="s">
        <v>176</v>
      </c>
      <c r="U201" s="16" t="s">
        <v>1708</v>
      </c>
      <c r="V201" s="16" t="s">
        <v>1788</v>
      </c>
      <c r="W201" s="113" t="s">
        <v>1789</v>
      </c>
      <c r="X201" s="18" t="s">
        <v>542</v>
      </c>
      <c r="Y201" s="18" t="s">
        <v>98</v>
      </c>
      <c r="Z201" s="18" t="s">
        <v>1709</v>
      </c>
      <c r="AA201" s="16" t="s">
        <v>1710</v>
      </c>
      <c r="AB201" s="16" t="s">
        <v>1711</v>
      </c>
      <c r="AC201" s="16" t="s">
        <v>1712</v>
      </c>
      <c r="AD201" s="123" t="str">
        <f t="shared" si="3"/>
        <v>External Transfer-Other banks</v>
      </c>
      <c r="AE201" s="123" t="str">
        <f>VLOOKUP(Table1[[#This Row],[Name of bank]],'اكواد البنوك'!$A$2:$B$34,2,0)</f>
        <v>BMISEGCXXXX</v>
      </c>
      <c r="AF201" s="114" t="s">
        <v>1735</v>
      </c>
      <c r="AG201" s="15" t="s">
        <v>10381</v>
      </c>
    </row>
    <row r="202" spans="1:33">
      <c r="A202" s="14">
        <v>201</v>
      </c>
      <c r="B202" s="14" t="s">
        <v>30</v>
      </c>
      <c r="C202" s="14" t="s">
        <v>1736</v>
      </c>
      <c r="D202" s="15" t="s">
        <v>1724</v>
      </c>
      <c r="E202" s="16" t="s">
        <v>1790</v>
      </c>
      <c r="F202" s="32" t="s">
        <v>10191</v>
      </c>
      <c r="G202" s="17" t="s">
        <v>1791</v>
      </c>
      <c r="H202" s="18">
        <v>201094589825</v>
      </c>
      <c r="I202" s="16" t="s">
        <v>1729</v>
      </c>
      <c r="J202" s="16"/>
      <c r="K202" s="16" t="s">
        <v>542</v>
      </c>
      <c r="L202" s="16">
        <v>55277918</v>
      </c>
      <c r="M202" s="16" t="s">
        <v>1731</v>
      </c>
      <c r="N202" s="16">
        <v>29606261701248</v>
      </c>
      <c r="O202" s="16"/>
      <c r="P202" s="16"/>
      <c r="Q202" s="16" t="s">
        <v>1708</v>
      </c>
      <c r="R202" s="16" t="s">
        <v>1732</v>
      </c>
      <c r="S202" s="19" t="s">
        <v>1792</v>
      </c>
      <c r="T202" s="20" t="s">
        <v>176</v>
      </c>
      <c r="U202" s="16" t="s">
        <v>1708</v>
      </c>
      <c r="V202" s="16" t="s">
        <v>1793</v>
      </c>
      <c r="W202" s="113" t="s">
        <v>1794</v>
      </c>
      <c r="X202" s="18" t="s">
        <v>542</v>
      </c>
      <c r="Y202" s="18" t="s">
        <v>98</v>
      </c>
      <c r="Z202" s="18" t="s">
        <v>1709</v>
      </c>
      <c r="AA202" s="16" t="s">
        <v>1710</v>
      </c>
      <c r="AB202" s="16" t="s">
        <v>1711</v>
      </c>
      <c r="AC202" s="16" t="s">
        <v>1712</v>
      </c>
      <c r="AD202" s="123" t="str">
        <f t="shared" si="3"/>
        <v>External Transfer-Other banks</v>
      </c>
      <c r="AE202" s="123" t="str">
        <f>VLOOKUP(Table1[[#This Row],[Name of bank]],'اكواد البنوك'!$A$2:$B$34,2,0)</f>
        <v>BMISEGCXXXX</v>
      </c>
      <c r="AF202" s="114" t="s">
        <v>1735</v>
      </c>
      <c r="AG202" s="15" t="s">
        <v>10381</v>
      </c>
    </row>
    <row r="203" spans="1:33">
      <c r="A203" s="14">
        <v>202</v>
      </c>
      <c r="B203" s="14" t="s">
        <v>1779</v>
      </c>
      <c r="C203" s="14" t="e">
        <v>#N/A</v>
      </c>
      <c r="D203" s="15" t="s">
        <v>1724</v>
      </c>
      <c r="E203" s="16" t="s">
        <v>1795</v>
      </c>
      <c r="F203" s="32" t="s">
        <v>1796</v>
      </c>
      <c r="G203" s="17" t="s">
        <v>1797</v>
      </c>
      <c r="H203" s="18">
        <v>201096114304</v>
      </c>
      <c r="I203" s="16" t="s">
        <v>1729</v>
      </c>
      <c r="J203" s="16"/>
      <c r="K203" s="16" t="s">
        <v>542</v>
      </c>
      <c r="L203" s="16">
        <v>47138095</v>
      </c>
      <c r="M203" s="16" t="s">
        <v>1731</v>
      </c>
      <c r="N203" s="16">
        <v>29211011703551</v>
      </c>
      <c r="O203" s="16"/>
      <c r="P203" s="16"/>
      <c r="Q203" s="16" t="s">
        <v>1708</v>
      </c>
      <c r="R203" s="16" t="s">
        <v>1732</v>
      </c>
      <c r="S203" s="19" t="s">
        <v>1795</v>
      </c>
      <c r="T203" s="20" t="s">
        <v>176</v>
      </c>
      <c r="U203" s="16" t="s">
        <v>1708</v>
      </c>
      <c r="V203" s="16" t="s">
        <v>1798</v>
      </c>
      <c r="W203" s="113" t="s">
        <v>1799</v>
      </c>
      <c r="X203" s="18" t="s">
        <v>542</v>
      </c>
      <c r="Y203" s="18" t="s">
        <v>98</v>
      </c>
      <c r="Z203" s="18" t="s">
        <v>1709</v>
      </c>
      <c r="AA203" s="16" t="s">
        <v>1710</v>
      </c>
      <c r="AB203" s="16" t="s">
        <v>1784</v>
      </c>
      <c r="AC203" s="16" t="s">
        <v>1712</v>
      </c>
      <c r="AD203" s="123" t="str">
        <f t="shared" si="3"/>
        <v>External Transfer-Other banks</v>
      </c>
      <c r="AE203" s="123" t="str">
        <f>VLOOKUP(Table1[[#This Row],[Name of bank]],'اكواد البنوك'!$A$2:$B$34,2,0)</f>
        <v>BMISEGCXXXX</v>
      </c>
      <c r="AF203" s="114" t="s">
        <v>1735</v>
      </c>
      <c r="AG203" s="15" t="s">
        <v>167</v>
      </c>
    </row>
    <row r="204" spans="1:33">
      <c r="A204" s="14">
        <v>203</v>
      </c>
      <c r="B204" s="14" t="s">
        <v>1800</v>
      </c>
      <c r="C204" s="14" t="e">
        <v>#N/A</v>
      </c>
      <c r="D204" s="15" t="s">
        <v>1724</v>
      </c>
      <c r="E204" s="16" t="s">
        <v>1801</v>
      </c>
      <c r="F204" s="32" t="s">
        <v>10027</v>
      </c>
      <c r="G204" s="17" t="s">
        <v>1802</v>
      </c>
      <c r="H204" s="18">
        <v>1027107788</v>
      </c>
      <c r="I204" s="16" t="s">
        <v>1729</v>
      </c>
      <c r="J204" s="16"/>
      <c r="K204" s="16" t="s">
        <v>542</v>
      </c>
      <c r="L204" s="16">
        <v>58006229</v>
      </c>
      <c r="M204" s="16" t="s">
        <v>1731</v>
      </c>
      <c r="N204" s="16">
        <v>29611011808211</v>
      </c>
      <c r="O204" s="16"/>
      <c r="P204" s="16"/>
      <c r="Q204" s="16" t="s">
        <v>1708</v>
      </c>
      <c r="R204" s="16" t="s">
        <v>1732</v>
      </c>
      <c r="S204" s="19" t="s">
        <v>1801</v>
      </c>
      <c r="T204" s="20" t="s">
        <v>176</v>
      </c>
      <c r="U204" s="16" t="s">
        <v>1708</v>
      </c>
      <c r="V204" s="16" t="s">
        <v>1803</v>
      </c>
      <c r="W204" s="113" t="s">
        <v>1804</v>
      </c>
      <c r="X204" s="18" t="s">
        <v>542</v>
      </c>
      <c r="Y204" s="18" t="s">
        <v>98</v>
      </c>
      <c r="Z204" s="18" t="s">
        <v>1709</v>
      </c>
      <c r="AA204" s="16" t="s">
        <v>1710</v>
      </c>
      <c r="AB204" s="16" t="s">
        <v>1784</v>
      </c>
      <c r="AC204" s="16"/>
      <c r="AD204" s="123" t="str">
        <f t="shared" si="3"/>
        <v>External Transfer-Other banks</v>
      </c>
      <c r="AE204" s="123" t="str">
        <f>VLOOKUP(Table1[[#This Row],[Name of bank]],'اكواد البنوك'!$A$2:$B$34,2,0)</f>
        <v>BMISEGCXXXX</v>
      </c>
      <c r="AF204" s="114" t="s">
        <v>1735</v>
      </c>
      <c r="AG204" s="15" t="s">
        <v>167</v>
      </c>
    </row>
    <row r="205" spans="1:33">
      <c r="A205" s="14">
        <v>204</v>
      </c>
      <c r="B205" s="14" t="s">
        <v>1800</v>
      </c>
      <c r="C205" s="14" t="e">
        <v>#N/A</v>
      </c>
      <c r="D205" s="15" t="s">
        <v>1724</v>
      </c>
      <c r="E205" s="16" t="s">
        <v>1805</v>
      </c>
      <c r="F205" s="32" t="s">
        <v>1806</v>
      </c>
      <c r="G205" s="17" t="s">
        <v>1807</v>
      </c>
      <c r="H205" s="18">
        <v>201020404512</v>
      </c>
      <c r="I205" s="16" t="s">
        <v>1729</v>
      </c>
      <c r="J205" s="16"/>
      <c r="K205" s="16" t="s">
        <v>542</v>
      </c>
      <c r="L205" s="16">
        <v>15543680</v>
      </c>
      <c r="M205" s="16" t="s">
        <v>1731</v>
      </c>
      <c r="N205" s="16">
        <v>27907051801277</v>
      </c>
      <c r="O205" s="16"/>
      <c r="P205" s="16"/>
      <c r="Q205" s="16" t="s">
        <v>1708</v>
      </c>
      <c r="R205" s="16" t="s">
        <v>1732</v>
      </c>
      <c r="S205" s="19" t="s">
        <v>1805</v>
      </c>
      <c r="T205" s="20" t="s">
        <v>176</v>
      </c>
      <c r="U205" s="16" t="s">
        <v>1808</v>
      </c>
      <c r="V205" s="16" t="s">
        <v>1809</v>
      </c>
      <c r="W205" s="113" t="s">
        <v>1810</v>
      </c>
      <c r="X205" s="18" t="s">
        <v>542</v>
      </c>
      <c r="Y205" s="18" t="s">
        <v>98</v>
      </c>
      <c r="Z205" s="18" t="s">
        <v>1709</v>
      </c>
      <c r="AA205" s="16" t="s">
        <v>1710</v>
      </c>
      <c r="AB205" s="16" t="s">
        <v>1784</v>
      </c>
      <c r="AC205" s="16" t="s">
        <v>1712</v>
      </c>
      <c r="AD205" s="123" t="str">
        <f t="shared" si="3"/>
        <v>External Transfer-Other banks</v>
      </c>
      <c r="AE205" s="123" t="str">
        <f>VLOOKUP(Table1[[#This Row],[Name of bank]],'اكواد البنوك'!$A$2:$B$34,2,0)</f>
        <v>BMISEGCXXXX</v>
      </c>
      <c r="AF205" s="114" t="s">
        <v>5155</v>
      </c>
      <c r="AG205" s="15" t="s">
        <v>167</v>
      </c>
    </row>
    <row r="206" spans="1:33">
      <c r="A206" s="65">
        <v>205</v>
      </c>
      <c r="B206" s="65" t="s">
        <v>1811</v>
      </c>
      <c r="C206" s="65" t="s">
        <v>312</v>
      </c>
      <c r="D206" s="50" t="s">
        <v>1703</v>
      </c>
      <c r="E206" s="43" t="s">
        <v>1812</v>
      </c>
      <c r="F206" s="66" t="s">
        <v>1813</v>
      </c>
      <c r="G206" s="67" t="s">
        <v>1814</v>
      </c>
      <c r="H206" s="46">
        <v>201068801460</v>
      </c>
      <c r="I206" s="43" t="s">
        <v>1703</v>
      </c>
      <c r="J206" s="43"/>
      <c r="K206" s="43"/>
      <c r="L206" s="43"/>
      <c r="M206" s="43"/>
      <c r="N206" s="43"/>
      <c r="O206" s="43"/>
      <c r="P206" s="43"/>
      <c r="Q206" s="43"/>
      <c r="R206" s="43"/>
      <c r="S206" s="41"/>
      <c r="T206" s="42" t="s">
        <v>40</v>
      </c>
      <c r="U206" s="43"/>
      <c r="V206" s="43"/>
      <c r="W206" s="45">
        <v>9</v>
      </c>
      <c r="X206" s="46" t="s">
        <v>31</v>
      </c>
      <c r="Y206" s="46" t="s">
        <v>43</v>
      </c>
      <c r="Z206" s="46" t="s">
        <v>1815</v>
      </c>
      <c r="AA206" s="43" t="s">
        <v>1816</v>
      </c>
      <c r="AB206" s="43" t="s">
        <v>1817</v>
      </c>
      <c r="AC206" s="43" t="s">
        <v>1818</v>
      </c>
      <c r="AD206" s="123" t="str">
        <f t="shared" si="3"/>
        <v>Internal Transfer</v>
      </c>
      <c r="AE206" s="123" t="str">
        <f>VLOOKUP(Table1[[#This Row],[Name of bank]],'اكواد البنوك'!$A$2:$B$34,2,0)</f>
        <v>NBEGEGCXXXX</v>
      </c>
      <c r="AF206" s="45">
        <v>9</v>
      </c>
      <c r="AG206" s="50" t="s">
        <v>49</v>
      </c>
    </row>
    <row r="207" spans="1:33">
      <c r="A207" s="14">
        <v>206</v>
      </c>
      <c r="B207" s="14" t="str">
        <f>B206</f>
        <v>A121</v>
      </c>
      <c r="C207" s="14">
        <v>1</v>
      </c>
      <c r="D207" s="15" t="s">
        <v>1703</v>
      </c>
      <c r="E207" s="16" t="s">
        <v>1819</v>
      </c>
      <c r="F207" s="32" t="s">
        <v>1820</v>
      </c>
      <c r="G207" s="17" t="s">
        <v>1821</v>
      </c>
      <c r="H207" s="18" t="s">
        <v>1822</v>
      </c>
      <c r="I207" s="16" t="s">
        <v>1823</v>
      </c>
      <c r="J207" s="16" t="s">
        <v>43</v>
      </c>
      <c r="K207" s="16"/>
      <c r="L207" s="16"/>
      <c r="M207" s="16"/>
      <c r="N207" s="16"/>
      <c r="O207" s="16"/>
      <c r="P207" s="16"/>
      <c r="Q207" s="16"/>
      <c r="R207" s="16"/>
      <c r="S207" s="19"/>
      <c r="T207" s="20" t="s">
        <v>40</v>
      </c>
      <c r="U207" s="16"/>
      <c r="V207" s="16"/>
      <c r="W207" s="30">
        <v>74</v>
      </c>
      <c r="X207" s="18" t="s">
        <v>66</v>
      </c>
      <c r="Y207" s="18" t="s">
        <v>43</v>
      </c>
      <c r="Z207" s="18" t="s">
        <v>1815</v>
      </c>
      <c r="AA207" s="16" t="s">
        <v>1816</v>
      </c>
      <c r="AB207" s="16" t="s">
        <v>1817</v>
      </c>
      <c r="AC207" s="16" t="s">
        <v>1818</v>
      </c>
      <c r="AD207" s="123" t="str">
        <f t="shared" si="3"/>
        <v>Internal Transfer</v>
      </c>
      <c r="AE207" s="123" t="str">
        <f>VLOOKUP(Table1[[#This Row],[Name of bank]],'اكواد البنوك'!$A$2:$B$34,2,0)</f>
        <v>NBEGEGCXXXX</v>
      </c>
      <c r="AF207" s="30">
        <v>74</v>
      </c>
      <c r="AG207" s="15" t="s">
        <v>49</v>
      </c>
    </row>
    <row r="208" spans="1:33">
      <c r="A208" s="14">
        <v>207</v>
      </c>
      <c r="B208" s="14" t="str">
        <f>B207</f>
        <v>A121</v>
      </c>
      <c r="C208" s="14" t="e">
        <v>#N/A</v>
      </c>
      <c r="D208" s="15" t="s">
        <v>1703</v>
      </c>
      <c r="E208" s="16" t="s">
        <v>1824</v>
      </c>
      <c r="F208" s="32" t="s">
        <v>1825</v>
      </c>
      <c r="G208" s="17" t="s">
        <v>1826</v>
      </c>
      <c r="H208" s="18">
        <v>201064452947</v>
      </c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9"/>
      <c r="T208" s="20" t="s">
        <v>40</v>
      </c>
      <c r="U208" s="16"/>
      <c r="V208" s="16"/>
      <c r="W208" s="30">
        <v>43</v>
      </c>
      <c r="X208" s="18" t="s">
        <v>66</v>
      </c>
      <c r="Y208" s="18" t="s">
        <v>43</v>
      </c>
      <c r="Z208" s="18" t="s">
        <v>1815</v>
      </c>
      <c r="AA208" s="16"/>
      <c r="AB208" s="16"/>
      <c r="AC208" s="16"/>
      <c r="AD208" s="123" t="str">
        <f t="shared" si="3"/>
        <v>Internal Transfer</v>
      </c>
      <c r="AE208" s="123" t="str">
        <f>VLOOKUP(Table1[[#This Row],[Name of bank]],'اكواد البنوك'!$A$2:$B$34,2,0)</f>
        <v>NBEGEGCXXXX</v>
      </c>
      <c r="AF208" s="21">
        <v>43</v>
      </c>
      <c r="AG208" s="15" t="s">
        <v>167</v>
      </c>
    </row>
    <row r="209" spans="1:33">
      <c r="A209" s="14">
        <v>208</v>
      </c>
      <c r="B209" s="14" t="s">
        <v>639</v>
      </c>
      <c r="C209" s="14" t="s">
        <v>409</v>
      </c>
      <c r="D209" s="15" t="s">
        <v>1827</v>
      </c>
      <c r="E209" s="16" t="s">
        <v>1828</v>
      </c>
      <c r="F209" s="32" t="s">
        <v>1829</v>
      </c>
      <c r="G209" s="17" t="s">
        <v>1830</v>
      </c>
      <c r="H209" s="18">
        <v>201029965188</v>
      </c>
      <c r="I209" s="16" t="s">
        <v>1827</v>
      </c>
      <c r="J209" s="16" t="s">
        <v>1827</v>
      </c>
      <c r="K209" s="16"/>
      <c r="L209" s="16" t="s">
        <v>1827</v>
      </c>
      <c r="M209" s="16"/>
      <c r="N209" s="16"/>
      <c r="O209" s="16"/>
      <c r="P209" s="16"/>
      <c r="Q209" s="16"/>
      <c r="R209" s="16"/>
      <c r="S209" s="19"/>
      <c r="T209" s="20" t="s">
        <v>40</v>
      </c>
      <c r="U209" s="16"/>
      <c r="V209" s="16"/>
      <c r="W209" s="30">
        <v>61</v>
      </c>
      <c r="X209" s="18" t="s">
        <v>78</v>
      </c>
      <c r="Y209" s="18" t="s">
        <v>43</v>
      </c>
      <c r="Z209" s="18" t="s">
        <v>1815</v>
      </c>
      <c r="AA209" s="16" t="s">
        <v>1816</v>
      </c>
      <c r="AB209" s="16" t="s">
        <v>1817</v>
      </c>
      <c r="AC209" s="16" t="s">
        <v>1818</v>
      </c>
      <c r="AD209" s="123" t="str">
        <f t="shared" si="3"/>
        <v>Internal Transfer</v>
      </c>
      <c r="AE209" s="123" t="str">
        <f>VLOOKUP(Table1[[#This Row],[Name of bank]],'اكواد البنوك'!$A$2:$B$34,2,0)</f>
        <v>NBEGEGCXXXX</v>
      </c>
      <c r="AF209" s="30">
        <v>61</v>
      </c>
      <c r="AG209" s="15" t="s">
        <v>49</v>
      </c>
    </row>
    <row r="210" spans="1:33">
      <c r="A210" s="14">
        <v>209</v>
      </c>
      <c r="B210" s="14" t="str">
        <f>B209</f>
        <v>1st Floor</v>
      </c>
      <c r="C210" s="14">
        <v>503</v>
      </c>
      <c r="D210" s="15" t="s">
        <v>1831</v>
      </c>
      <c r="E210" s="16" t="s">
        <v>1832</v>
      </c>
      <c r="F210" s="32" t="s">
        <v>1833</v>
      </c>
      <c r="G210" s="17" t="s">
        <v>1834</v>
      </c>
      <c r="H210" s="18" t="s">
        <v>1835</v>
      </c>
      <c r="I210" s="16"/>
      <c r="J210" s="16"/>
      <c r="K210" s="16" t="s">
        <v>1831</v>
      </c>
      <c r="L210" s="16" t="s">
        <v>1836</v>
      </c>
      <c r="M210" s="16">
        <v>5000558</v>
      </c>
      <c r="N210" s="16">
        <v>28608121601811</v>
      </c>
      <c r="O210" s="16"/>
      <c r="P210" s="16"/>
      <c r="Q210" s="16"/>
      <c r="R210" s="16"/>
      <c r="S210" s="19"/>
      <c r="T210" s="20" t="s">
        <v>1837</v>
      </c>
      <c r="U210" s="16"/>
      <c r="V210" s="16"/>
      <c r="W210" s="30" t="s">
        <v>1838</v>
      </c>
      <c r="X210" s="18" t="s">
        <v>97</v>
      </c>
      <c r="Y210" s="18" t="s">
        <v>98</v>
      </c>
      <c r="Z210" s="18" t="s">
        <v>1815</v>
      </c>
      <c r="AA210" s="16" t="s">
        <v>1816</v>
      </c>
      <c r="AB210" s="16" t="s">
        <v>1817</v>
      </c>
      <c r="AC210" s="16" t="s">
        <v>1818</v>
      </c>
      <c r="AD210" s="123" t="str">
        <f t="shared" si="3"/>
        <v>FUE</v>
      </c>
      <c r="AE210" s="123" t="str">
        <f>VLOOKUP(Table1[[#This Row],[Name of bank]],'اكواد البنوك'!$A$2:$B$34,2,0)</f>
        <v>FUE</v>
      </c>
      <c r="AF210" s="21" t="s">
        <v>1838</v>
      </c>
      <c r="AG210" s="15" t="s">
        <v>49</v>
      </c>
    </row>
    <row r="211" spans="1:33">
      <c r="A211" s="14">
        <v>210</v>
      </c>
      <c r="B211" s="14" t="str">
        <f>B210</f>
        <v>1st Floor</v>
      </c>
      <c r="C211" s="14">
        <v>402</v>
      </c>
      <c r="D211" s="15" t="s">
        <v>1839</v>
      </c>
      <c r="E211" s="16" t="s">
        <v>1840</v>
      </c>
      <c r="F211" s="32" t="s">
        <v>1841</v>
      </c>
      <c r="G211" s="17" t="s">
        <v>1842</v>
      </c>
      <c r="H211" s="18" t="s">
        <v>1843</v>
      </c>
      <c r="I211" s="16" t="s">
        <v>1844</v>
      </c>
      <c r="J211" s="16" t="s">
        <v>1845</v>
      </c>
      <c r="K211" s="16" t="s">
        <v>1846</v>
      </c>
      <c r="L211" s="16">
        <v>31873333</v>
      </c>
      <c r="M211" s="16">
        <v>1006791</v>
      </c>
      <c r="N211" s="16">
        <v>27210261400754</v>
      </c>
      <c r="O211" s="16" t="s">
        <v>1847</v>
      </c>
      <c r="P211" s="16" t="s">
        <v>1848</v>
      </c>
      <c r="Q211" s="16" t="s">
        <v>1815</v>
      </c>
      <c r="R211" s="16" t="s">
        <v>1849</v>
      </c>
      <c r="S211" s="19" t="s">
        <v>1850</v>
      </c>
      <c r="T211" s="20" t="s">
        <v>40</v>
      </c>
      <c r="U211" s="16" t="s">
        <v>1851</v>
      </c>
      <c r="V211" s="16" t="s">
        <v>1852</v>
      </c>
      <c r="W211" s="30" t="s">
        <v>1853</v>
      </c>
      <c r="X211" s="18" t="s">
        <v>97</v>
      </c>
      <c r="Y211" s="18" t="s">
        <v>98</v>
      </c>
      <c r="Z211" s="18" t="s">
        <v>1815</v>
      </c>
      <c r="AA211" s="16" t="s">
        <v>1816</v>
      </c>
      <c r="AB211" s="16" t="s">
        <v>1817</v>
      </c>
      <c r="AC211" s="16" t="s">
        <v>1818</v>
      </c>
      <c r="AD211" s="123" t="str">
        <f t="shared" si="3"/>
        <v>External Transfer-NBE</v>
      </c>
      <c r="AE211" s="123" t="str">
        <f>VLOOKUP(Table1[[#This Row],[Name of bank]],'اكواد البنوك'!$A$2:$B$34,2,0)</f>
        <v>NBEGEGCXXXX</v>
      </c>
      <c r="AF211" s="21" t="s">
        <v>1854</v>
      </c>
      <c r="AG211" s="15" t="s">
        <v>49</v>
      </c>
    </row>
    <row r="212" spans="1:33">
      <c r="A212" s="14">
        <v>211</v>
      </c>
      <c r="B212" s="14" t="str">
        <f>B211</f>
        <v>1st Floor</v>
      </c>
      <c r="C212" s="14" t="e">
        <v>#N/A</v>
      </c>
      <c r="D212" s="15" t="s">
        <v>1855</v>
      </c>
      <c r="E212" s="16" t="s">
        <v>1856</v>
      </c>
      <c r="F212" s="32" t="s">
        <v>10190</v>
      </c>
      <c r="G212" s="17" t="s">
        <v>1857</v>
      </c>
      <c r="H212" s="18">
        <v>201012863256</v>
      </c>
      <c r="I212" s="16" t="s">
        <v>1858</v>
      </c>
      <c r="J212" s="16" t="s">
        <v>1845</v>
      </c>
      <c r="K212" s="16" t="s">
        <v>136</v>
      </c>
      <c r="L212" s="16" t="s">
        <v>136</v>
      </c>
      <c r="M212" s="16" t="s">
        <v>136</v>
      </c>
      <c r="N212" s="16">
        <v>29311130101644</v>
      </c>
      <c r="O212" s="16" t="s">
        <v>1859</v>
      </c>
      <c r="P212" s="16" t="s">
        <v>1860</v>
      </c>
      <c r="Q212" s="16" t="s">
        <v>1815</v>
      </c>
      <c r="R212" s="16" t="s">
        <v>1849</v>
      </c>
      <c r="S212" s="19" t="s">
        <v>10346</v>
      </c>
      <c r="T212" s="20" t="s">
        <v>40</v>
      </c>
      <c r="U212" s="16" t="s">
        <v>10227</v>
      </c>
      <c r="V212" s="83" t="s">
        <v>10349</v>
      </c>
      <c r="W212" s="113" t="s">
        <v>10348</v>
      </c>
      <c r="X212" s="18"/>
      <c r="Y212" s="18" t="s">
        <v>98</v>
      </c>
      <c r="Z212" s="18"/>
      <c r="AA212" s="16"/>
      <c r="AB212" s="16"/>
      <c r="AC212" s="16"/>
      <c r="AD212" s="123" t="str">
        <f t="shared" si="3"/>
        <v>External Transfer-NBE</v>
      </c>
      <c r="AE212" s="123" t="str">
        <f>VLOOKUP(Table1[[#This Row],[Name of bank]],'اكواد البنوك'!$A$2:$B$34,2,0)</f>
        <v>NBEGEGCXXXX</v>
      </c>
      <c r="AF212" s="114" t="s">
        <v>10347</v>
      </c>
      <c r="AG212" s="15" t="s">
        <v>1862</v>
      </c>
    </row>
    <row r="213" spans="1:33">
      <c r="A213" s="14">
        <v>212</v>
      </c>
      <c r="B213" s="14" t="s">
        <v>1863</v>
      </c>
      <c r="C213" s="14" t="e">
        <v>#N/A</v>
      </c>
      <c r="D213" s="15" t="s">
        <v>1839</v>
      </c>
      <c r="E213" s="16" t="s">
        <v>1864</v>
      </c>
      <c r="F213" s="32" t="s">
        <v>1865</v>
      </c>
      <c r="G213" s="17" t="s">
        <v>1866</v>
      </c>
      <c r="H213" s="18" t="s">
        <v>1867</v>
      </c>
      <c r="I213" s="16" t="s">
        <v>1868</v>
      </c>
      <c r="J213" s="16" t="s">
        <v>86</v>
      </c>
      <c r="K213" s="16" t="s">
        <v>160</v>
      </c>
      <c r="L213" s="16">
        <v>71247748</v>
      </c>
      <c r="M213" s="16">
        <v>484568809</v>
      </c>
      <c r="N213" s="16">
        <v>29107242301194</v>
      </c>
      <c r="O213" s="16" t="s">
        <v>1869</v>
      </c>
      <c r="P213" s="16" t="s">
        <v>1870</v>
      </c>
      <c r="Q213" s="16" t="s">
        <v>1815</v>
      </c>
      <c r="R213" s="16" t="s">
        <v>1849</v>
      </c>
      <c r="S213" s="19" t="s">
        <v>1871</v>
      </c>
      <c r="T213" s="20" t="s">
        <v>176</v>
      </c>
      <c r="U213" s="16" t="s">
        <v>1872</v>
      </c>
      <c r="V213" s="16">
        <v>1740333000004100</v>
      </c>
      <c r="W213" s="30" t="s">
        <v>1873</v>
      </c>
      <c r="X213" s="18" t="s">
        <v>542</v>
      </c>
      <c r="Y213" s="18" t="s">
        <v>98</v>
      </c>
      <c r="Z213" s="18" t="s">
        <v>1815</v>
      </c>
      <c r="AA213" s="16" t="s">
        <v>1816</v>
      </c>
      <c r="AB213" s="16" t="s">
        <v>1817</v>
      </c>
      <c r="AC213" s="16" t="s">
        <v>1818</v>
      </c>
      <c r="AD213" s="123" t="str">
        <f t="shared" si="3"/>
        <v>External Transfer-Other banks</v>
      </c>
      <c r="AE213" s="123" t="str">
        <f>VLOOKUP(Table1[[#This Row],[Name of bank]],'اكواد البنوك'!$A$2:$B$34,2,0)</f>
        <v>BMISEGCXXXX</v>
      </c>
      <c r="AF213" s="21" t="s">
        <v>1874</v>
      </c>
      <c r="AG213" s="15" t="s">
        <v>49</v>
      </c>
    </row>
    <row r="214" spans="1:33">
      <c r="A214" s="14">
        <v>213</v>
      </c>
      <c r="B214" s="14" t="str">
        <f>B213</f>
        <v>A101</v>
      </c>
      <c r="C214" s="14" t="e">
        <v>#N/A</v>
      </c>
      <c r="D214" s="15" t="s">
        <v>1839</v>
      </c>
      <c r="E214" s="16" t="s">
        <v>1875</v>
      </c>
      <c r="F214" s="32" t="s">
        <v>10165</v>
      </c>
      <c r="G214" s="17" t="s">
        <v>1876</v>
      </c>
      <c r="H214" s="18" t="s">
        <v>1877</v>
      </c>
      <c r="I214" s="16" t="s">
        <v>1878</v>
      </c>
      <c r="J214" s="16" t="s">
        <v>86</v>
      </c>
      <c r="K214" s="16" t="s">
        <v>1879</v>
      </c>
      <c r="L214" s="16">
        <v>34708195</v>
      </c>
      <c r="M214" s="16">
        <v>11190</v>
      </c>
      <c r="N214" s="16">
        <v>29001010107968</v>
      </c>
      <c r="O214" s="16" t="s">
        <v>1880</v>
      </c>
      <c r="P214" s="16" t="s">
        <v>1881</v>
      </c>
      <c r="Q214" s="16" t="s">
        <v>1815</v>
      </c>
      <c r="R214" s="16" t="s">
        <v>1882</v>
      </c>
      <c r="S214" s="19" t="s">
        <v>1875</v>
      </c>
      <c r="T214" s="20" t="s">
        <v>93</v>
      </c>
      <c r="U214" s="16" t="s">
        <v>1883</v>
      </c>
      <c r="V214" s="16">
        <v>1001061001</v>
      </c>
      <c r="W214" s="30" t="s">
        <v>1884</v>
      </c>
      <c r="X214" s="18" t="s">
        <v>542</v>
      </c>
      <c r="Y214" s="18" t="s">
        <v>98</v>
      </c>
      <c r="Z214" s="18" t="s">
        <v>1815</v>
      </c>
      <c r="AA214" s="16" t="s">
        <v>1816</v>
      </c>
      <c r="AB214" s="16" t="s">
        <v>1817</v>
      </c>
      <c r="AC214" s="16" t="s">
        <v>1818</v>
      </c>
      <c r="AD214" s="123" t="str">
        <f t="shared" si="3"/>
        <v>External Transfer-Other banks</v>
      </c>
      <c r="AE214" s="123" t="str">
        <f>VLOOKUP(Table1[[#This Row],[Name of bank]],'اكواد البنوك'!$A$2:$B$34,2,0)</f>
        <v>QNBAEGCXXXX</v>
      </c>
      <c r="AF214" s="21" t="s">
        <v>1885</v>
      </c>
      <c r="AG214" s="15" t="s">
        <v>49</v>
      </c>
    </row>
    <row r="215" spans="1:33">
      <c r="A215" s="14">
        <v>214</v>
      </c>
      <c r="B215" s="14" t="str">
        <f>B214</f>
        <v>A101</v>
      </c>
      <c r="C215" s="14" t="s">
        <v>4281</v>
      </c>
      <c r="D215" s="15" t="s">
        <v>1839</v>
      </c>
      <c r="E215" s="16" t="s">
        <v>1886</v>
      </c>
      <c r="F215" s="32" t="s">
        <v>1887</v>
      </c>
      <c r="G215" s="17" t="s">
        <v>1888</v>
      </c>
      <c r="H215" s="18" t="s">
        <v>1889</v>
      </c>
      <c r="I215" s="16" t="s">
        <v>1890</v>
      </c>
      <c r="J215" s="16" t="s">
        <v>86</v>
      </c>
      <c r="K215" s="16" t="s">
        <v>1891</v>
      </c>
      <c r="L215" s="16">
        <v>14895109</v>
      </c>
      <c r="M215" s="16" t="s">
        <v>234</v>
      </c>
      <c r="N215" s="16">
        <v>28810011406626</v>
      </c>
      <c r="O215" s="16" t="s">
        <v>1892</v>
      </c>
      <c r="P215" s="16" t="s">
        <v>1893</v>
      </c>
      <c r="Q215" s="16" t="s">
        <v>1815</v>
      </c>
      <c r="R215" s="16" t="s">
        <v>1882</v>
      </c>
      <c r="S215" s="19" t="s">
        <v>1886</v>
      </c>
      <c r="T215" s="20" t="s">
        <v>1894</v>
      </c>
      <c r="U215" s="16" t="s">
        <v>1895</v>
      </c>
      <c r="V215" s="16" t="s">
        <v>1896</v>
      </c>
      <c r="W215" s="30" t="s">
        <v>1897</v>
      </c>
      <c r="X215" s="18" t="s">
        <v>542</v>
      </c>
      <c r="Y215" s="18" t="s">
        <v>98</v>
      </c>
      <c r="Z215" s="18" t="s">
        <v>1815</v>
      </c>
      <c r="AA215" s="16" t="s">
        <v>1816</v>
      </c>
      <c r="AB215" s="16" t="s">
        <v>1817</v>
      </c>
      <c r="AC215" s="16" t="s">
        <v>1818</v>
      </c>
      <c r="AD215" s="123" t="str">
        <f t="shared" si="3"/>
        <v>External Transfer-Other banks</v>
      </c>
      <c r="AE215" s="123" t="str">
        <f>VLOOKUP(Table1[[#This Row],[Name of bank]],'اكواد البنوك'!$A$2:$B$34,2,0)</f>
        <v>ARABEGCXXXX</v>
      </c>
      <c r="AF215" s="21" t="s">
        <v>1899</v>
      </c>
      <c r="AG215" s="15" t="s">
        <v>49</v>
      </c>
    </row>
    <row r="216" spans="1:33">
      <c r="A216" s="14">
        <v>215</v>
      </c>
      <c r="B216" s="14" t="str">
        <f>B215</f>
        <v>A101</v>
      </c>
      <c r="C216" s="14" t="e">
        <v>#N/A</v>
      </c>
      <c r="D216" s="15" t="s">
        <v>1831</v>
      </c>
      <c r="E216" s="16" t="s">
        <v>1900</v>
      </c>
      <c r="F216" s="32" t="s">
        <v>1901</v>
      </c>
      <c r="G216" s="17" t="s">
        <v>1902</v>
      </c>
      <c r="H216" s="18" t="s">
        <v>1903</v>
      </c>
      <c r="I216" s="16"/>
      <c r="J216" s="16"/>
      <c r="K216" s="16" t="s">
        <v>1831</v>
      </c>
      <c r="L216" s="16" t="s">
        <v>1836</v>
      </c>
      <c r="M216" s="16">
        <v>4841835</v>
      </c>
      <c r="N216" s="16">
        <v>28408281700175</v>
      </c>
      <c r="O216" s="16"/>
      <c r="P216" s="16"/>
      <c r="Q216" s="16"/>
      <c r="R216" s="16"/>
      <c r="S216" s="19"/>
      <c r="T216" s="20" t="s">
        <v>1837</v>
      </c>
      <c r="U216" s="16"/>
      <c r="V216" s="16"/>
      <c r="W216" s="30" t="s">
        <v>1838</v>
      </c>
      <c r="X216" s="18" t="s">
        <v>542</v>
      </c>
      <c r="Y216" s="18" t="s">
        <v>98</v>
      </c>
      <c r="Z216" s="18" t="s">
        <v>1815</v>
      </c>
      <c r="AA216" s="16" t="s">
        <v>1816</v>
      </c>
      <c r="AB216" s="16" t="s">
        <v>1817</v>
      </c>
      <c r="AC216" s="16" t="s">
        <v>1818</v>
      </c>
      <c r="AD216" s="123" t="str">
        <f t="shared" si="3"/>
        <v>FUE</v>
      </c>
      <c r="AE216" s="123" t="str">
        <f>VLOOKUP(Table1[[#This Row],[Name of bank]],'اكواد البنوك'!$A$2:$B$34,2,0)</f>
        <v>FUE</v>
      </c>
      <c r="AF216" s="21" t="s">
        <v>1838</v>
      </c>
      <c r="AG216" s="15" t="s">
        <v>49</v>
      </c>
    </row>
    <row r="217" spans="1:33">
      <c r="A217" s="14">
        <v>216</v>
      </c>
      <c r="B217" s="14" t="s">
        <v>1904</v>
      </c>
      <c r="C217" s="14" t="s">
        <v>4258</v>
      </c>
      <c r="D217" s="15" t="s">
        <v>1839</v>
      </c>
      <c r="E217" s="16" t="s">
        <v>1905</v>
      </c>
      <c r="F217" s="32" t="s">
        <v>1906</v>
      </c>
      <c r="G217" s="17" t="s">
        <v>1907</v>
      </c>
      <c r="H217" s="18" t="s">
        <v>1908</v>
      </c>
      <c r="I217" s="16" t="s">
        <v>1909</v>
      </c>
      <c r="J217" s="16" t="s">
        <v>86</v>
      </c>
      <c r="K217" s="16" t="s">
        <v>1910</v>
      </c>
      <c r="L217" s="16">
        <v>62096738</v>
      </c>
      <c r="M217" s="16">
        <v>892171</v>
      </c>
      <c r="N217" s="16">
        <v>28112190101761</v>
      </c>
      <c r="O217" s="16" t="s">
        <v>1911</v>
      </c>
      <c r="P217" s="16" t="s">
        <v>1912</v>
      </c>
      <c r="Q217" s="16" t="s">
        <v>1815</v>
      </c>
      <c r="R217" s="16" t="s">
        <v>1849</v>
      </c>
      <c r="S217" s="19" t="s">
        <v>1913</v>
      </c>
      <c r="T217" s="20" t="s">
        <v>1914</v>
      </c>
      <c r="U217" s="16" t="s">
        <v>1915</v>
      </c>
      <c r="V217" s="16" t="s">
        <v>1916</v>
      </c>
      <c r="W217" s="30" t="s">
        <v>1917</v>
      </c>
      <c r="X217" s="18" t="s">
        <v>542</v>
      </c>
      <c r="Y217" s="18" t="s">
        <v>98</v>
      </c>
      <c r="Z217" s="18" t="s">
        <v>1815</v>
      </c>
      <c r="AA217" s="16" t="s">
        <v>1816</v>
      </c>
      <c r="AB217" s="16" t="s">
        <v>1817</v>
      </c>
      <c r="AC217" s="16" t="s">
        <v>1818</v>
      </c>
      <c r="AD217" s="123" t="str">
        <f t="shared" si="3"/>
        <v>External Transfer-Other banks</v>
      </c>
      <c r="AE217" s="123" t="str">
        <f>VLOOKUP(Table1[[#This Row],[Name of bank]],'اكواد البنوك'!$A$2:$B$34,2,0)</f>
        <v>MSHQEGCAXXX</v>
      </c>
      <c r="AF217" s="21" t="s">
        <v>1022</v>
      </c>
      <c r="AG217" s="15" t="s">
        <v>49</v>
      </c>
    </row>
    <row r="218" spans="1:33">
      <c r="A218" s="14">
        <v>217</v>
      </c>
      <c r="B218" s="14" t="str">
        <f>B217</f>
        <v>A110</v>
      </c>
      <c r="C218" s="14" t="s">
        <v>4299</v>
      </c>
      <c r="D218" s="15" t="s">
        <v>1839</v>
      </c>
      <c r="E218" s="16" t="s">
        <v>1919</v>
      </c>
      <c r="F218" s="32" t="s">
        <v>10169</v>
      </c>
      <c r="G218" s="17" t="s">
        <v>1920</v>
      </c>
      <c r="H218" s="18">
        <v>201142053668</v>
      </c>
      <c r="I218" s="16" t="s">
        <v>1921</v>
      </c>
      <c r="J218" s="16" t="s">
        <v>86</v>
      </c>
      <c r="K218" s="16" t="s">
        <v>1922</v>
      </c>
      <c r="L218" s="16">
        <v>71764819</v>
      </c>
      <c r="M218" s="16" t="s">
        <v>136</v>
      </c>
      <c r="N218" s="16">
        <v>28809230102529</v>
      </c>
      <c r="O218" s="16" t="s">
        <v>1923</v>
      </c>
      <c r="P218" s="16" t="s">
        <v>1924</v>
      </c>
      <c r="Q218" s="16" t="s">
        <v>1815</v>
      </c>
      <c r="R218" s="16" t="s">
        <v>1849</v>
      </c>
      <c r="S218" s="87" t="s">
        <v>1925</v>
      </c>
      <c r="T218" s="87" t="s">
        <v>93</v>
      </c>
      <c r="U218" s="87" t="s">
        <v>10286</v>
      </c>
      <c r="V218" s="73" t="s">
        <v>10287</v>
      </c>
      <c r="W218" s="74" t="s">
        <v>10288</v>
      </c>
      <c r="X218" s="75" t="s">
        <v>542</v>
      </c>
      <c r="Y218" s="75" t="s">
        <v>98</v>
      </c>
      <c r="Z218" s="75" t="s">
        <v>1815</v>
      </c>
      <c r="AA218" s="68" t="s">
        <v>1816</v>
      </c>
      <c r="AB218" s="68" t="s">
        <v>1817</v>
      </c>
      <c r="AC218" s="68" t="s">
        <v>1818</v>
      </c>
      <c r="AD218" s="123" t="str">
        <f t="shared" si="3"/>
        <v>External Transfer-Other banks</v>
      </c>
      <c r="AE218" s="123" t="str">
        <f>VLOOKUP(Table1[[#This Row],[Name of bank]],'اكواد البنوك'!$A$2:$B$34,2,0)</f>
        <v>QNBAEGCXXXX</v>
      </c>
      <c r="AF218" s="94" t="s">
        <v>5787</v>
      </c>
      <c r="AG218" s="97" t="s">
        <v>167</v>
      </c>
    </row>
    <row r="219" spans="1:33">
      <c r="A219" s="14">
        <v>218</v>
      </c>
      <c r="B219" s="14" t="str">
        <f>B218</f>
        <v>A110</v>
      </c>
      <c r="C219" s="14">
        <v>101</v>
      </c>
      <c r="D219" s="15" t="s">
        <v>1839</v>
      </c>
      <c r="E219" s="16" t="s">
        <v>1927</v>
      </c>
      <c r="F219" s="32" t="s">
        <v>10164</v>
      </c>
      <c r="G219" s="17" t="s">
        <v>1929</v>
      </c>
      <c r="H219" s="18">
        <v>201272029047</v>
      </c>
      <c r="I219" s="16" t="s">
        <v>1930</v>
      </c>
      <c r="J219" s="16" t="s">
        <v>86</v>
      </c>
      <c r="K219" s="16" t="s">
        <v>1931</v>
      </c>
      <c r="L219" s="16">
        <v>82468433</v>
      </c>
      <c r="M219" s="16">
        <v>892171</v>
      </c>
      <c r="N219" s="16">
        <v>29805100105923</v>
      </c>
      <c r="O219" s="16" t="s">
        <v>1932</v>
      </c>
      <c r="P219" s="16" t="s">
        <v>1933</v>
      </c>
      <c r="Q219" s="16" t="s">
        <v>1815</v>
      </c>
      <c r="R219" s="16" t="s">
        <v>1882</v>
      </c>
      <c r="S219" s="96" t="s">
        <v>1928</v>
      </c>
      <c r="T219" s="87" t="s">
        <v>176</v>
      </c>
      <c r="U219" s="96" t="s">
        <v>1934</v>
      </c>
      <c r="V219" s="73" t="s">
        <v>10289</v>
      </c>
      <c r="W219" s="74" t="s">
        <v>10412</v>
      </c>
      <c r="X219" s="75" t="s">
        <v>542</v>
      </c>
      <c r="Y219" s="75" t="s">
        <v>98</v>
      </c>
      <c r="Z219" s="75" t="s">
        <v>1815</v>
      </c>
      <c r="AA219" s="68" t="s">
        <v>1816</v>
      </c>
      <c r="AB219" s="68" t="s">
        <v>1817</v>
      </c>
      <c r="AC219" s="68" t="s">
        <v>1818</v>
      </c>
      <c r="AD219" s="123" t="str">
        <f t="shared" si="3"/>
        <v>External Transfer-Other banks</v>
      </c>
      <c r="AE219" s="123" t="str">
        <f>VLOOKUP(Table1[[#This Row],[Name of bank]],'اكواد البنوك'!$A$2:$B$34,2,0)</f>
        <v>BMISEGCXXXX</v>
      </c>
      <c r="AF219" s="99" t="s">
        <v>10290</v>
      </c>
      <c r="AG219" s="90" t="s">
        <v>167</v>
      </c>
    </row>
    <row r="220" spans="1:33">
      <c r="A220" s="14">
        <v>219</v>
      </c>
      <c r="B220" s="14" t="s">
        <v>1935</v>
      </c>
      <c r="C220" s="14" t="s">
        <v>4373</v>
      </c>
      <c r="D220" s="15" t="s">
        <v>1839</v>
      </c>
      <c r="E220" s="16" t="s">
        <v>1936</v>
      </c>
      <c r="F220" s="32" t="s">
        <v>10036</v>
      </c>
      <c r="G220" s="17" t="s">
        <v>1937</v>
      </c>
      <c r="H220" s="18" t="s">
        <v>1938</v>
      </c>
      <c r="I220" s="16" t="s">
        <v>1939</v>
      </c>
      <c r="J220" s="16" t="s">
        <v>86</v>
      </c>
      <c r="K220" s="16" t="s">
        <v>1940</v>
      </c>
      <c r="L220" s="16">
        <v>60326130</v>
      </c>
      <c r="M220" s="16" t="s">
        <v>234</v>
      </c>
      <c r="N220" s="16">
        <v>28602100105778</v>
      </c>
      <c r="O220" s="16" t="s">
        <v>1941</v>
      </c>
      <c r="P220" s="16" t="s">
        <v>1942</v>
      </c>
      <c r="Q220" s="16" t="s">
        <v>1815</v>
      </c>
      <c r="R220" s="16" t="s">
        <v>1849</v>
      </c>
      <c r="S220" s="19" t="s">
        <v>1936</v>
      </c>
      <c r="T220" s="20" t="s">
        <v>176</v>
      </c>
      <c r="U220" s="16" t="s">
        <v>1943</v>
      </c>
      <c r="V220" s="16" t="s">
        <v>1944</v>
      </c>
      <c r="W220" s="30" t="s">
        <v>1945</v>
      </c>
      <c r="X220" s="18" t="s">
        <v>542</v>
      </c>
      <c r="Y220" s="18" t="s">
        <v>98</v>
      </c>
      <c r="Z220" s="18" t="s">
        <v>1815</v>
      </c>
      <c r="AA220" s="16" t="s">
        <v>1816</v>
      </c>
      <c r="AB220" s="16" t="s">
        <v>1817</v>
      </c>
      <c r="AC220" s="16" t="s">
        <v>1818</v>
      </c>
      <c r="AD220" s="123" t="str">
        <f t="shared" si="3"/>
        <v>External Transfer-Other banks</v>
      </c>
      <c r="AE220" s="123" t="str">
        <f>VLOOKUP(Table1[[#This Row],[Name of bank]],'اكواد البنوك'!$A$2:$B$34,2,0)</f>
        <v>BMISEGCXXXX</v>
      </c>
      <c r="AF220" s="21" t="s">
        <v>1946</v>
      </c>
      <c r="AG220" s="15" t="s">
        <v>49</v>
      </c>
    </row>
    <row r="221" spans="1:33">
      <c r="A221" s="14">
        <v>220</v>
      </c>
      <c r="B221" s="14" t="str">
        <f>B220</f>
        <v>A111</v>
      </c>
      <c r="C221" s="14" t="s">
        <v>4355</v>
      </c>
      <c r="D221" s="15" t="s">
        <v>1839</v>
      </c>
      <c r="E221" s="16" t="s">
        <v>1947</v>
      </c>
      <c r="F221" s="32" t="s">
        <v>1948</v>
      </c>
      <c r="G221" s="17" t="s">
        <v>1949</v>
      </c>
      <c r="H221" s="18" t="s">
        <v>1950</v>
      </c>
      <c r="I221" s="16" t="s">
        <v>1951</v>
      </c>
      <c r="J221" s="16" t="s">
        <v>86</v>
      </c>
      <c r="K221" s="16" t="s">
        <v>1952</v>
      </c>
      <c r="L221" s="16">
        <v>81196030</v>
      </c>
      <c r="M221" s="16" t="s">
        <v>1953</v>
      </c>
      <c r="N221" s="16">
        <v>29707260103887</v>
      </c>
      <c r="O221" s="16" t="s">
        <v>1954</v>
      </c>
      <c r="P221" s="16" t="s">
        <v>1955</v>
      </c>
      <c r="Q221" s="16" t="s">
        <v>1815</v>
      </c>
      <c r="R221" s="16" t="s">
        <v>1849</v>
      </c>
      <c r="S221" s="19" t="s">
        <v>1956</v>
      </c>
      <c r="T221" s="20" t="s">
        <v>176</v>
      </c>
      <c r="U221" s="16" t="s">
        <v>1957</v>
      </c>
      <c r="V221" s="16" t="s">
        <v>1958</v>
      </c>
      <c r="W221" s="30" t="s">
        <v>1959</v>
      </c>
      <c r="X221" s="18" t="s">
        <v>542</v>
      </c>
      <c r="Y221" s="18" t="s">
        <v>98</v>
      </c>
      <c r="Z221" s="18" t="s">
        <v>1815</v>
      </c>
      <c r="AA221" s="16" t="s">
        <v>1816</v>
      </c>
      <c r="AB221" s="16" t="s">
        <v>1817</v>
      </c>
      <c r="AC221" s="16" t="s">
        <v>1818</v>
      </c>
      <c r="AD221" s="123" t="str">
        <f t="shared" si="3"/>
        <v>External Transfer-Other banks</v>
      </c>
      <c r="AE221" s="123" t="str">
        <f>VLOOKUP(Table1[[#This Row],[Name of bank]],'اكواد البنوك'!$A$2:$B$34,2,0)</f>
        <v>BMISEGCXXXX</v>
      </c>
      <c r="AF221" s="21" t="s">
        <v>1960</v>
      </c>
      <c r="AG221" s="15" t="s">
        <v>49</v>
      </c>
    </row>
    <row r="222" spans="1:33">
      <c r="A222" s="14">
        <v>221</v>
      </c>
      <c r="B222" s="14" t="str">
        <f>B221</f>
        <v>A111</v>
      </c>
      <c r="C222" s="14" t="s">
        <v>4389</v>
      </c>
      <c r="D222" s="15" t="s">
        <v>1839</v>
      </c>
      <c r="E222" s="16" t="s">
        <v>1961</v>
      </c>
      <c r="F222" s="32" t="s">
        <v>1962</v>
      </c>
      <c r="G222" s="17" t="s">
        <v>1963</v>
      </c>
      <c r="H222" s="18" t="s">
        <v>1964</v>
      </c>
      <c r="I222" s="16" t="s">
        <v>1965</v>
      </c>
      <c r="J222" s="16" t="s">
        <v>173</v>
      </c>
      <c r="K222" s="16" t="s">
        <v>1966</v>
      </c>
      <c r="L222" s="16">
        <v>2731880</v>
      </c>
      <c r="M222" s="16" t="s">
        <v>136</v>
      </c>
      <c r="N222" s="16">
        <v>28608170104548</v>
      </c>
      <c r="O222" s="16" t="s">
        <v>1967</v>
      </c>
      <c r="P222" s="16" t="s">
        <v>1968</v>
      </c>
      <c r="Q222" s="16" t="s">
        <v>1815</v>
      </c>
      <c r="R222" s="16" t="s">
        <v>1849</v>
      </c>
      <c r="S222" s="19" t="s">
        <v>1962</v>
      </c>
      <c r="T222" s="20" t="s">
        <v>274</v>
      </c>
      <c r="U222" s="16" t="s">
        <v>1969</v>
      </c>
      <c r="V222" s="16" t="s">
        <v>1970</v>
      </c>
      <c r="W222" s="30" t="s">
        <v>1971</v>
      </c>
      <c r="X222" s="18" t="s">
        <v>542</v>
      </c>
      <c r="Y222" s="18" t="s">
        <v>98</v>
      </c>
      <c r="Z222" s="18" t="s">
        <v>1815</v>
      </c>
      <c r="AA222" s="16" t="s">
        <v>1816</v>
      </c>
      <c r="AB222" s="16" t="s">
        <v>1817</v>
      </c>
      <c r="AC222" s="16" t="s">
        <v>1818</v>
      </c>
      <c r="AD222" s="123" t="str">
        <f t="shared" si="3"/>
        <v>External Transfer-Other banks</v>
      </c>
      <c r="AE222" s="123" t="str">
        <f>VLOOKUP(Table1[[#This Row],[Name of bank]],'اكواد البنوك'!$A$2:$B$34,2,0)</f>
        <v>BCAIEGCXXXX</v>
      </c>
      <c r="AF222" s="21" t="s">
        <v>1972</v>
      </c>
      <c r="AG222" s="15" t="s">
        <v>49</v>
      </c>
    </row>
    <row r="223" spans="1:33">
      <c r="A223" s="14">
        <v>222</v>
      </c>
      <c r="B223" s="14" t="s">
        <v>1973</v>
      </c>
      <c r="C223" s="14" t="e">
        <v>#N/A</v>
      </c>
      <c r="D223" s="15" t="s">
        <v>1839</v>
      </c>
      <c r="E223" s="16" t="s">
        <v>1974</v>
      </c>
      <c r="F223" s="32" t="s">
        <v>10133</v>
      </c>
      <c r="G223" s="17" t="s">
        <v>1975</v>
      </c>
      <c r="H223" s="18" t="s">
        <v>1976</v>
      </c>
      <c r="I223" s="16" t="s">
        <v>1977</v>
      </c>
      <c r="J223" s="16" t="s">
        <v>86</v>
      </c>
      <c r="K223" s="16" t="s">
        <v>269</v>
      </c>
      <c r="L223" s="16">
        <v>64187876</v>
      </c>
      <c r="M223" s="16" t="s">
        <v>136</v>
      </c>
      <c r="N223" s="16">
        <v>29301220104353</v>
      </c>
      <c r="O223" s="16" t="s">
        <v>1978</v>
      </c>
      <c r="P223" s="16" t="s">
        <v>1979</v>
      </c>
      <c r="Q223" s="16" t="s">
        <v>1815</v>
      </c>
      <c r="R223" s="16" t="s">
        <v>1882</v>
      </c>
      <c r="S223" s="19" t="s">
        <v>1974</v>
      </c>
      <c r="T223" s="20" t="s">
        <v>93</v>
      </c>
      <c r="U223" s="16" t="s">
        <v>1980</v>
      </c>
      <c r="V223" s="16" t="s">
        <v>1981</v>
      </c>
      <c r="W223" s="30" t="s">
        <v>1982</v>
      </c>
      <c r="X223" s="18" t="s">
        <v>542</v>
      </c>
      <c r="Y223" s="18" t="s">
        <v>98</v>
      </c>
      <c r="Z223" s="18" t="s">
        <v>1815</v>
      </c>
      <c r="AA223" s="16" t="s">
        <v>1816</v>
      </c>
      <c r="AB223" s="16" t="s">
        <v>1817</v>
      </c>
      <c r="AC223" s="16" t="s">
        <v>1818</v>
      </c>
      <c r="AD223" s="123" t="str">
        <f t="shared" si="3"/>
        <v>External Transfer-Other banks</v>
      </c>
      <c r="AE223" s="123" t="str">
        <f>VLOOKUP(Table1[[#This Row],[Name of bank]],'اكواد البنوك'!$A$2:$B$34,2,0)</f>
        <v>QNBAEGCXXXX</v>
      </c>
      <c r="AF223" s="21" t="s">
        <v>1983</v>
      </c>
      <c r="AG223" s="15" t="s">
        <v>49</v>
      </c>
    </row>
    <row r="224" spans="1:33">
      <c r="A224" s="14">
        <v>223</v>
      </c>
      <c r="B224" s="14" t="str">
        <f>B223</f>
        <v>A117</v>
      </c>
      <c r="C224" s="14">
        <v>103</v>
      </c>
      <c r="D224" s="15" t="s">
        <v>1839</v>
      </c>
      <c r="E224" s="16" t="s">
        <v>1984</v>
      </c>
      <c r="F224" s="32" t="s">
        <v>10119</v>
      </c>
      <c r="G224" s="17" t="s">
        <v>1985</v>
      </c>
      <c r="H224" s="18">
        <v>201224015637</v>
      </c>
      <c r="I224" s="16" t="s">
        <v>1986</v>
      </c>
      <c r="J224" s="16" t="s">
        <v>86</v>
      </c>
      <c r="K224" s="16" t="s">
        <v>1987</v>
      </c>
      <c r="L224" s="16" t="s">
        <v>1988</v>
      </c>
      <c r="M224" s="16" t="s">
        <v>1988</v>
      </c>
      <c r="N224" s="16">
        <v>27804080103542</v>
      </c>
      <c r="O224" s="16" t="s">
        <v>1989</v>
      </c>
      <c r="P224" s="16" t="s">
        <v>1990</v>
      </c>
      <c r="Q224" s="16" t="s">
        <v>1815</v>
      </c>
      <c r="R224" s="16" t="s">
        <v>1882</v>
      </c>
      <c r="S224" s="71" t="s">
        <v>1991</v>
      </c>
      <c r="T224" s="69" t="s">
        <v>93</v>
      </c>
      <c r="U224" s="68" t="s">
        <v>4696</v>
      </c>
      <c r="V224" s="68" t="s">
        <v>10291</v>
      </c>
      <c r="W224" s="72" t="s">
        <v>1992</v>
      </c>
      <c r="X224" s="75" t="s">
        <v>542</v>
      </c>
      <c r="Y224" s="75" t="s">
        <v>98</v>
      </c>
      <c r="Z224" s="75" t="s">
        <v>1815</v>
      </c>
      <c r="AA224" s="68" t="s">
        <v>1816</v>
      </c>
      <c r="AB224" s="68" t="s">
        <v>1817</v>
      </c>
      <c r="AC224" s="68" t="s">
        <v>1818</v>
      </c>
      <c r="AD224" s="123" t="str">
        <f t="shared" si="3"/>
        <v>External Transfer-Other banks</v>
      </c>
      <c r="AE224" s="123" t="str">
        <f>VLOOKUP(Table1[[#This Row],[Name of bank]],'اكواد البنوك'!$A$2:$B$34,2,0)</f>
        <v>QNBAEGCXXXX</v>
      </c>
      <c r="AF224" s="94" t="s">
        <v>3614</v>
      </c>
      <c r="AG224" s="90" t="s">
        <v>167</v>
      </c>
    </row>
    <row r="225" spans="1:33">
      <c r="A225" s="14">
        <v>224</v>
      </c>
      <c r="B225" s="14" t="str">
        <f>B224</f>
        <v>A117</v>
      </c>
      <c r="C225" s="14" t="e">
        <v>#N/A</v>
      </c>
      <c r="D225" s="15" t="s">
        <v>1831</v>
      </c>
      <c r="E225" s="16" t="s">
        <v>1993</v>
      </c>
      <c r="F225" s="32" t="s">
        <v>10044</v>
      </c>
      <c r="G225" s="17" t="s">
        <v>1994</v>
      </c>
      <c r="H225" s="18" t="s">
        <v>1995</v>
      </c>
      <c r="I225" s="16"/>
      <c r="J225" s="16"/>
      <c r="K225" s="16" t="s">
        <v>1831</v>
      </c>
      <c r="L225" s="16" t="s">
        <v>1836</v>
      </c>
      <c r="M225" s="16" t="s">
        <v>1996</v>
      </c>
      <c r="N225" s="16" t="s">
        <v>1997</v>
      </c>
      <c r="O225" s="16"/>
      <c r="P225" s="16"/>
      <c r="Q225" s="16"/>
      <c r="R225" s="16"/>
      <c r="S225" s="19"/>
      <c r="T225" s="20" t="s">
        <v>1837</v>
      </c>
      <c r="U225" s="16"/>
      <c r="V225" s="16"/>
      <c r="W225" s="30" t="s">
        <v>1838</v>
      </c>
      <c r="X225" s="18" t="s">
        <v>542</v>
      </c>
      <c r="Y225" s="18" t="s">
        <v>98</v>
      </c>
      <c r="Z225" s="18" t="s">
        <v>1815</v>
      </c>
      <c r="AA225" s="16" t="s">
        <v>1816</v>
      </c>
      <c r="AB225" s="16" t="s">
        <v>1817</v>
      </c>
      <c r="AC225" s="16" t="s">
        <v>1818</v>
      </c>
      <c r="AD225" s="123" t="str">
        <f t="shared" si="3"/>
        <v>FUE</v>
      </c>
      <c r="AE225" s="123" t="str">
        <f>VLOOKUP(Table1[[#This Row],[Name of bank]],'اكواد البنوك'!$A$2:$B$34,2,0)</f>
        <v>FUE</v>
      </c>
      <c r="AF225" s="21" t="s">
        <v>1838</v>
      </c>
      <c r="AG225" s="15" t="s">
        <v>49</v>
      </c>
    </row>
    <row r="226" spans="1:33">
      <c r="A226" s="14">
        <v>225</v>
      </c>
      <c r="B226" s="14" t="s">
        <v>1998</v>
      </c>
      <c r="C226" s="14" t="e">
        <v>#N/A</v>
      </c>
      <c r="D226" s="15" t="s">
        <v>1831</v>
      </c>
      <c r="E226" s="16" t="s">
        <v>1999</v>
      </c>
      <c r="F226" s="32" t="s">
        <v>2000</v>
      </c>
      <c r="G226" s="17" t="s">
        <v>2001</v>
      </c>
      <c r="H226" s="18" t="s">
        <v>2002</v>
      </c>
      <c r="I226" s="16"/>
      <c r="J226" s="16"/>
      <c r="K226" s="16" t="s">
        <v>1831</v>
      </c>
      <c r="L226" s="16" t="s">
        <v>1836</v>
      </c>
      <c r="M226" s="16" t="s">
        <v>2003</v>
      </c>
      <c r="N226" s="16">
        <v>28803181401959</v>
      </c>
      <c r="O226" s="16"/>
      <c r="P226" s="16"/>
      <c r="Q226" s="16"/>
      <c r="R226" s="16"/>
      <c r="S226" s="19"/>
      <c r="T226" s="20" t="s">
        <v>1837</v>
      </c>
      <c r="U226" s="16"/>
      <c r="V226" s="16"/>
      <c r="W226" s="30" t="s">
        <v>1838</v>
      </c>
      <c r="X226" s="18" t="s">
        <v>542</v>
      </c>
      <c r="Y226" s="18" t="s">
        <v>98</v>
      </c>
      <c r="Z226" s="18" t="s">
        <v>1815</v>
      </c>
      <c r="AA226" s="16" t="s">
        <v>1816</v>
      </c>
      <c r="AB226" s="16" t="s">
        <v>1817</v>
      </c>
      <c r="AC226" s="16" t="s">
        <v>1818</v>
      </c>
      <c r="AD226" s="123" t="str">
        <f t="shared" si="3"/>
        <v>FUE</v>
      </c>
      <c r="AE226" s="123" t="str">
        <f>VLOOKUP(Table1[[#This Row],[Name of bank]],'اكواد البنوك'!$A$2:$B$34,2,0)</f>
        <v>FUE</v>
      </c>
      <c r="AF226" s="21" t="s">
        <v>1838</v>
      </c>
      <c r="AG226" s="15" t="s">
        <v>49</v>
      </c>
    </row>
    <row r="227" spans="1:33">
      <c r="A227" s="14">
        <v>226</v>
      </c>
      <c r="B227" s="14" t="str">
        <f>B226</f>
        <v>A118</v>
      </c>
      <c r="C227" s="14" t="e">
        <v>#N/A</v>
      </c>
      <c r="D227" s="15" t="s">
        <v>1839</v>
      </c>
      <c r="E227" s="16" t="s">
        <v>2004</v>
      </c>
      <c r="F227" s="32" t="s">
        <v>2011</v>
      </c>
      <c r="G227" s="17" t="s">
        <v>2005</v>
      </c>
      <c r="H227" s="18" t="s">
        <v>2006</v>
      </c>
      <c r="I227" s="16" t="s">
        <v>2007</v>
      </c>
      <c r="J227" s="16" t="s">
        <v>173</v>
      </c>
      <c r="K227" s="16" t="s">
        <v>2008</v>
      </c>
      <c r="L227" s="16">
        <v>30196964</v>
      </c>
      <c r="M227" s="16" t="s">
        <v>234</v>
      </c>
      <c r="N227" s="16">
        <v>28709180102366</v>
      </c>
      <c r="O227" s="16" t="s">
        <v>2009</v>
      </c>
      <c r="P227" s="16" t="s">
        <v>2010</v>
      </c>
      <c r="Q227" s="16" t="s">
        <v>1815</v>
      </c>
      <c r="R227" s="16" t="s">
        <v>1849</v>
      </c>
      <c r="S227" s="19" t="s">
        <v>2011</v>
      </c>
      <c r="T227" s="20" t="s">
        <v>40</v>
      </c>
      <c r="U227" s="16" t="s">
        <v>2012</v>
      </c>
      <c r="V227" s="16" t="s">
        <v>2013</v>
      </c>
      <c r="W227" s="30" t="s">
        <v>2014</v>
      </c>
      <c r="X227" s="18" t="s">
        <v>542</v>
      </c>
      <c r="Y227" s="18" t="s">
        <v>98</v>
      </c>
      <c r="Z227" s="18" t="s">
        <v>1815</v>
      </c>
      <c r="AA227" s="16" t="s">
        <v>1816</v>
      </c>
      <c r="AB227" s="16" t="s">
        <v>1817</v>
      </c>
      <c r="AC227" s="16" t="s">
        <v>1818</v>
      </c>
      <c r="AD227" s="123" t="str">
        <f t="shared" si="3"/>
        <v>External Transfer-NBE</v>
      </c>
      <c r="AE227" s="123" t="str">
        <f>VLOOKUP(Table1[[#This Row],[Name of bank]],'اكواد البنوك'!$A$2:$B$34,2,0)</f>
        <v>NBEGEGCXXXX</v>
      </c>
      <c r="AF227" s="21" t="s">
        <v>2015</v>
      </c>
      <c r="AG227" s="15" t="s">
        <v>49</v>
      </c>
    </row>
    <row r="228" spans="1:33">
      <c r="A228" s="14">
        <v>227</v>
      </c>
      <c r="B228" s="14" t="str">
        <f>B227</f>
        <v>A118</v>
      </c>
      <c r="C228" s="14" t="e">
        <v>#N/A</v>
      </c>
      <c r="D228" s="15" t="s">
        <v>1839</v>
      </c>
      <c r="E228" s="16" t="s">
        <v>2016</v>
      </c>
      <c r="F228" s="32" t="s">
        <v>2017</v>
      </c>
      <c r="G228" s="17" t="s">
        <v>2018</v>
      </c>
      <c r="H228" s="18" t="s">
        <v>2019</v>
      </c>
      <c r="I228" s="16" t="s">
        <v>2020</v>
      </c>
      <c r="J228" s="16" t="s">
        <v>86</v>
      </c>
      <c r="K228" s="16" t="s">
        <v>2021</v>
      </c>
      <c r="L228" s="16">
        <v>20886071</v>
      </c>
      <c r="M228" s="16">
        <v>3389937</v>
      </c>
      <c r="N228" s="16">
        <v>28403262402064</v>
      </c>
      <c r="O228" s="16" t="s">
        <v>2022</v>
      </c>
      <c r="P228" s="16" t="s">
        <v>2023</v>
      </c>
      <c r="Q228" s="16" t="s">
        <v>1815</v>
      </c>
      <c r="R228" s="16" t="s">
        <v>1849</v>
      </c>
      <c r="S228" s="19" t="s">
        <v>2024</v>
      </c>
      <c r="T228" s="20" t="s">
        <v>40</v>
      </c>
      <c r="U228" s="16" t="s">
        <v>2025</v>
      </c>
      <c r="V228" s="16" t="s">
        <v>2026</v>
      </c>
      <c r="W228" s="30" t="s">
        <v>2027</v>
      </c>
      <c r="X228" s="18" t="s">
        <v>542</v>
      </c>
      <c r="Y228" s="18" t="s">
        <v>98</v>
      </c>
      <c r="Z228" s="18" t="s">
        <v>1815</v>
      </c>
      <c r="AA228" s="16" t="s">
        <v>1816</v>
      </c>
      <c r="AB228" s="16" t="s">
        <v>1817</v>
      </c>
      <c r="AC228" s="16" t="s">
        <v>1818</v>
      </c>
      <c r="AD228" s="123" t="str">
        <f t="shared" si="3"/>
        <v>External Transfer-NBE</v>
      </c>
      <c r="AE228" s="123" t="str">
        <f>VLOOKUP(Table1[[#This Row],[Name of bank]],'اكواد البنوك'!$A$2:$B$34,2,0)</f>
        <v>NBEGEGCXXXX</v>
      </c>
      <c r="AF228" s="21" t="s">
        <v>2028</v>
      </c>
      <c r="AG228" s="15" t="s">
        <v>49</v>
      </c>
    </row>
    <row r="229" spans="1:33">
      <c r="A229" s="14">
        <v>228</v>
      </c>
      <c r="B229" s="14" t="s">
        <v>2029</v>
      </c>
      <c r="C229" s="14" t="s">
        <v>4315</v>
      </c>
      <c r="D229" s="15" t="s">
        <v>1839</v>
      </c>
      <c r="E229" s="16" t="s">
        <v>2030</v>
      </c>
      <c r="F229" s="32" t="s">
        <v>2031</v>
      </c>
      <c r="G229" s="17" t="s">
        <v>2032</v>
      </c>
      <c r="H229" s="18" t="s">
        <v>2033</v>
      </c>
      <c r="I229" s="16" t="s">
        <v>2034</v>
      </c>
      <c r="J229" s="16" t="s">
        <v>2035</v>
      </c>
      <c r="K229" s="16" t="s">
        <v>257</v>
      </c>
      <c r="L229" s="16">
        <v>77698282</v>
      </c>
      <c r="M229" s="16" t="s">
        <v>234</v>
      </c>
      <c r="N229" s="16">
        <v>29608030103821</v>
      </c>
      <c r="O229" s="16" t="s">
        <v>2036</v>
      </c>
      <c r="P229" s="16" t="s">
        <v>2037</v>
      </c>
      <c r="Q229" s="16" t="s">
        <v>1815</v>
      </c>
      <c r="R229" s="16" t="s">
        <v>1849</v>
      </c>
      <c r="S229" s="19" t="s">
        <v>2038</v>
      </c>
      <c r="T229" s="20" t="s">
        <v>176</v>
      </c>
      <c r="U229" s="16" t="s">
        <v>2039</v>
      </c>
      <c r="V229" s="16" t="s">
        <v>2040</v>
      </c>
      <c r="W229" s="30" t="s">
        <v>2041</v>
      </c>
      <c r="X229" s="18" t="s">
        <v>542</v>
      </c>
      <c r="Y229" s="18" t="s">
        <v>98</v>
      </c>
      <c r="Z229" s="18" t="s">
        <v>1815</v>
      </c>
      <c r="AA229" s="16" t="s">
        <v>1816</v>
      </c>
      <c r="AB229" s="16" t="s">
        <v>1817</v>
      </c>
      <c r="AC229" s="16" t="s">
        <v>1818</v>
      </c>
      <c r="AD229" s="123" t="str">
        <f t="shared" si="3"/>
        <v>External Transfer-Other banks</v>
      </c>
      <c r="AE229" s="123" t="str">
        <f>VLOOKUP(Table1[[#This Row],[Name of bank]],'اكواد البنوك'!$A$2:$B$34,2,0)</f>
        <v>BMISEGCXXXX</v>
      </c>
      <c r="AF229" s="21" t="s">
        <v>2042</v>
      </c>
      <c r="AG229" s="15" t="s">
        <v>49</v>
      </c>
    </row>
    <row r="230" spans="1:33">
      <c r="A230" s="14">
        <v>229</v>
      </c>
      <c r="B230" s="14" t="str">
        <f>B229</f>
        <v>A119</v>
      </c>
      <c r="C230" s="14" t="s">
        <v>4355</v>
      </c>
      <c r="D230" s="15" t="s">
        <v>1839</v>
      </c>
      <c r="E230" s="16" t="s">
        <v>2043</v>
      </c>
      <c r="F230" s="32" t="s">
        <v>2044</v>
      </c>
      <c r="G230" s="17" t="s">
        <v>2045</v>
      </c>
      <c r="H230" s="18" t="s">
        <v>2046</v>
      </c>
      <c r="I230" s="16" t="s">
        <v>2047</v>
      </c>
      <c r="J230" s="16" t="s">
        <v>173</v>
      </c>
      <c r="K230" s="16" t="s">
        <v>2048</v>
      </c>
      <c r="L230" s="16" t="s">
        <v>136</v>
      </c>
      <c r="M230" s="16" t="s">
        <v>977</v>
      </c>
      <c r="N230" s="16">
        <v>27501190102701</v>
      </c>
      <c r="O230" s="16" t="s">
        <v>2049</v>
      </c>
      <c r="P230" s="16" t="s">
        <v>2050</v>
      </c>
      <c r="Q230" s="16" t="s">
        <v>1815</v>
      </c>
      <c r="R230" s="16" t="s">
        <v>1849</v>
      </c>
      <c r="S230" s="87" t="s">
        <v>2051</v>
      </c>
      <c r="T230" s="87" t="s">
        <v>40</v>
      </c>
      <c r="U230" s="96" t="s">
        <v>10292</v>
      </c>
      <c r="V230" s="73" t="s">
        <v>2052</v>
      </c>
      <c r="W230" s="74" t="s">
        <v>2053</v>
      </c>
      <c r="X230" s="18" t="s">
        <v>542</v>
      </c>
      <c r="Y230" s="18" t="s">
        <v>98</v>
      </c>
      <c r="Z230" s="18" t="s">
        <v>1815</v>
      </c>
      <c r="AA230" s="16" t="s">
        <v>1816</v>
      </c>
      <c r="AB230" s="16" t="s">
        <v>1817</v>
      </c>
      <c r="AC230" s="16" t="s">
        <v>1818</v>
      </c>
      <c r="AD230" s="123" t="str">
        <f t="shared" si="3"/>
        <v>External Transfer-NBE</v>
      </c>
      <c r="AE230" s="124" t="s">
        <v>48</v>
      </c>
      <c r="AF230" s="94" t="s">
        <v>346</v>
      </c>
      <c r="AG230" s="97" t="s">
        <v>2054</v>
      </c>
    </row>
    <row r="231" spans="1:33">
      <c r="A231" s="14">
        <v>230</v>
      </c>
      <c r="B231" s="14" t="str">
        <f>B230</f>
        <v>A119</v>
      </c>
      <c r="C231" s="14" t="e">
        <v>#N/A</v>
      </c>
      <c r="D231" s="15" t="s">
        <v>1831</v>
      </c>
      <c r="E231" s="16" t="s">
        <v>2055</v>
      </c>
      <c r="F231" s="32" t="s">
        <v>2056</v>
      </c>
      <c r="G231" s="17" t="s">
        <v>2057</v>
      </c>
      <c r="H231" s="18" t="s">
        <v>2058</v>
      </c>
      <c r="I231" s="16">
        <v>29812121704076</v>
      </c>
      <c r="J231" s="16" t="s">
        <v>1996</v>
      </c>
      <c r="K231" s="16" t="s">
        <v>1831</v>
      </c>
      <c r="L231" s="16"/>
      <c r="M231" s="16"/>
      <c r="N231" s="16"/>
      <c r="O231" s="16"/>
      <c r="P231" s="16"/>
      <c r="Q231" s="16"/>
      <c r="R231" s="16"/>
      <c r="S231" s="19"/>
      <c r="T231" s="20" t="s">
        <v>1837</v>
      </c>
      <c r="U231" s="16"/>
      <c r="V231" s="16"/>
      <c r="W231" s="30" t="s">
        <v>1838</v>
      </c>
      <c r="X231" s="18" t="s">
        <v>127</v>
      </c>
      <c r="Y231" s="18" t="s">
        <v>98</v>
      </c>
      <c r="Z231" s="18" t="s">
        <v>1815</v>
      </c>
      <c r="AA231" s="16" t="s">
        <v>1816</v>
      </c>
      <c r="AB231" s="16" t="s">
        <v>1817</v>
      </c>
      <c r="AC231" s="16" t="s">
        <v>1818</v>
      </c>
      <c r="AD231" s="123" t="str">
        <f t="shared" si="3"/>
        <v>FUE</v>
      </c>
      <c r="AE231" s="123" t="str">
        <f>VLOOKUP(Table1[[#This Row],[Name of bank]],'اكواد البنوك'!$A$2:$B$34,2,0)</f>
        <v>FUE</v>
      </c>
      <c r="AF231" s="21" t="s">
        <v>1838</v>
      </c>
      <c r="AG231" s="15" t="s">
        <v>49</v>
      </c>
    </row>
    <row r="232" spans="1:33">
      <c r="A232" s="14">
        <v>231</v>
      </c>
      <c r="B232" s="14" t="s">
        <v>2059</v>
      </c>
      <c r="C232" s="14" t="s">
        <v>4402</v>
      </c>
      <c r="D232" s="15" t="s">
        <v>1839</v>
      </c>
      <c r="E232" s="16" t="s">
        <v>2060</v>
      </c>
      <c r="F232" s="32" t="s">
        <v>10060</v>
      </c>
      <c r="G232" s="17" t="s">
        <v>2061</v>
      </c>
      <c r="H232" s="18" t="s">
        <v>2062</v>
      </c>
      <c r="I232" s="16" t="s">
        <v>2063</v>
      </c>
      <c r="J232" s="16" t="s">
        <v>86</v>
      </c>
      <c r="K232" s="16" t="s">
        <v>2064</v>
      </c>
      <c r="L232" s="16" t="s">
        <v>136</v>
      </c>
      <c r="M232" s="16" t="s">
        <v>136</v>
      </c>
      <c r="N232" s="16">
        <v>28407020104374</v>
      </c>
      <c r="O232" s="16" t="s">
        <v>2065</v>
      </c>
      <c r="P232" s="16" t="s">
        <v>2066</v>
      </c>
      <c r="Q232" s="16" t="s">
        <v>1815</v>
      </c>
      <c r="R232" s="16" t="s">
        <v>1849</v>
      </c>
      <c r="S232" s="19" t="s">
        <v>2067</v>
      </c>
      <c r="T232" s="20" t="s">
        <v>307</v>
      </c>
      <c r="U232" s="16" t="s">
        <v>2068</v>
      </c>
      <c r="V232" s="16" t="s">
        <v>2069</v>
      </c>
      <c r="W232" s="30" t="s">
        <v>2070</v>
      </c>
      <c r="X232" s="18" t="s">
        <v>542</v>
      </c>
      <c r="Y232" s="18" t="s">
        <v>98</v>
      </c>
      <c r="Z232" s="18" t="s">
        <v>1815</v>
      </c>
      <c r="AA232" s="16" t="s">
        <v>1816</v>
      </c>
      <c r="AB232" s="16" t="s">
        <v>1817</v>
      </c>
      <c r="AC232" s="16" t="s">
        <v>1818</v>
      </c>
      <c r="AD232" s="123" t="str">
        <f t="shared" si="3"/>
        <v>External Transfer-Other banks</v>
      </c>
      <c r="AE232" s="123" t="str">
        <f>VLOOKUP(Table1[[#This Row],[Name of bank]],'اكواد البنوك'!$A$2:$B$34,2,0)</f>
        <v>CIBEEGCXXXX</v>
      </c>
      <c r="AF232" s="21" t="s">
        <v>2071</v>
      </c>
      <c r="AG232" s="15" t="s">
        <v>49</v>
      </c>
    </row>
    <row r="233" spans="1:33">
      <c r="A233" s="14">
        <v>232</v>
      </c>
      <c r="B233" s="14" t="str">
        <f>B232</f>
        <v>A120</v>
      </c>
      <c r="C233" s="14" t="s">
        <v>4419</v>
      </c>
      <c r="D233" s="15" t="s">
        <v>1839</v>
      </c>
      <c r="E233" s="16" t="s">
        <v>2072</v>
      </c>
      <c r="F233" s="32" t="s">
        <v>2073</v>
      </c>
      <c r="G233" s="17" t="s">
        <v>2074</v>
      </c>
      <c r="H233" s="18" t="s">
        <v>2075</v>
      </c>
      <c r="I233" s="16" t="s">
        <v>2076</v>
      </c>
      <c r="J233" s="16" t="s">
        <v>173</v>
      </c>
      <c r="K233" s="16" t="s">
        <v>2077</v>
      </c>
      <c r="L233" s="16">
        <v>14025909</v>
      </c>
      <c r="M233" s="16">
        <v>112538</v>
      </c>
      <c r="N233" s="16">
        <v>28102162103124</v>
      </c>
      <c r="O233" s="16" t="s">
        <v>2078</v>
      </c>
      <c r="P233" s="16" t="s">
        <v>2079</v>
      </c>
      <c r="Q233" s="16" t="s">
        <v>1815</v>
      </c>
      <c r="R233" s="16" t="s">
        <v>1849</v>
      </c>
      <c r="S233" s="19" t="s">
        <v>2080</v>
      </c>
      <c r="T233" s="20" t="s">
        <v>40</v>
      </c>
      <c r="U233" s="16" t="s">
        <v>2081</v>
      </c>
      <c r="V233" s="16" t="s">
        <v>2082</v>
      </c>
      <c r="W233" s="30" t="s">
        <v>2083</v>
      </c>
      <c r="X233" s="18" t="s">
        <v>542</v>
      </c>
      <c r="Y233" s="18" t="s">
        <v>98</v>
      </c>
      <c r="Z233" s="18" t="s">
        <v>1815</v>
      </c>
      <c r="AA233" s="16" t="s">
        <v>1816</v>
      </c>
      <c r="AB233" s="16" t="s">
        <v>1817</v>
      </c>
      <c r="AC233" s="16" t="s">
        <v>1818</v>
      </c>
      <c r="AD233" s="123" t="str">
        <f t="shared" si="3"/>
        <v>External Transfer-NBE</v>
      </c>
      <c r="AE233" s="123" t="str">
        <f>VLOOKUP(Table1[[#This Row],[Name of bank]],'اكواد البنوك'!$A$2:$B$34,2,0)</f>
        <v>NBEGEGCXXXX</v>
      </c>
      <c r="AF233" s="21" t="s">
        <v>2084</v>
      </c>
      <c r="AG233" s="15" t="s">
        <v>49</v>
      </c>
    </row>
    <row r="234" spans="1:33">
      <c r="A234" s="14">
        <v>233</v>
      </c>
      <c r="B234" s="14" t="str">
        <f>B233</f>
        <v>A120</v>
      </c>
      <c r="C234" s="14">
        <v>404</v>
      </c>
      <c r="D234" s="15" t="s">
        <v>1839</v>
      </c>
      <c r="E234" s="16" t="s">
        <v>2085</v>
      </c>
      <c r="F234" s="32" t="s">
        <v>2086</v>
      </c>
      <c r="G234" s="17" t="s">
        <v>2087</v>
      </c>
      <c r="H234" s="18">
        <v>201224502782</v>
      </c>
      <c r="I234" s="16" t="s">
        <v>2088</v>
      </c>
      <c r="J234" s="16" t="s">
        <v>86</v>
      </c>
      <c r="K234" s="16" t="s">
        <v>2089</v>
      </c>
      <c r="L234" s="16">
        <v>59278246</v>
      </c>
      <c r="M234" s="16" t="s">
        <v>136</v>
      </c>
      <c r="N234" s="16">
        <v>28004250100346</v>
      </c>
      <c r="O234" s="16" t="s">
        <v>2090</v>
      </c>
      <c r="P234" s="16" t="s">
        <v>2091</v>
      </c>
      <c r="Q234" s="16" t="s">
        <v>1815</v>
      </c>
      <c r="R234" s="16" t="s">
        <v>1882</v>
      </c>
      <c r="S234" s="96" t="s">
        <v>2086</v>
      </c>
      <c r="T234" s="96" t="s">
        <v>93</v>
      </c>
      <c r="U234" s="96" t="s">
        <v>10293</v>
      </c>
      <c r="V234" s="73" t="s">
        <v>10294</v>
      </c>
      <c r="W234" s="74" t="s">
        <v>10295</v>
      </c>
      <c r="X234" s="18" t="s">
        <v>542</v>
      </c>
      <c r="Y234" s="18" t="s">
        <v>98</v>
      </c>
      <c r="Z234" s="18" t="s">
        <v>1815</v>
      </c>
      <c r="AA234" s="16" t="s">
        <v>1816</v>
      </c>
      <c r="AB234" s="16" t="s">
        <v>1817</v>
      </c>
      <c r="AC234" s="16" t="s">
        <v>1818</v>
      </c>
      <c r="AD234" s="123" t="str">
        <f t="shared" si="3"/>
        <v>External Transfer-Other banks</v>
      </c>
      <c r="AE234" s="123" t="str">
        <f>VLOOKUP(Table1[[#This Row],[Name of bank]],'اكواد البنوك'!$A$2:$B$34,2,0)</f>
        <v>QNBAEGCXXXX</v>
      </c>
      <c r="AF234" s="94" t="s">
        <v>5424</v>
      </c>
      <c r="AG234" s="97" t="s">
        <v>1073</v>
      </c>
    </row>
    <row r="235" spans="1:33">
      <c r="A235" s="14">
        <v>234</v>
      </c>
      <c r="B235" s="14" t="s">
        <v>206</v>
      </c>
      <c r="C235" s="14" t="e">
        <v>#N/A</v>
      </c>
      <c r="D235" s="15" t="s">
        <v>1831</v>
      </c>
      <c r="E235" s="16" t="s">
        <v>2093</v>
      </c>
      <c r="F235" s="32" t="s">
        <v>10161</v>
      </c>
      <c r="G235" s="17" t="s">
        <v>2094</v>
      </c>
      <c r="H235" s="18" t="s">
        <v>2095</v>
      </c>
      <c r="I235" s="16"/>
      <c r="J235" s="16"/>
      <c r="K235" s="16" t="s">
        <v>1831</v>
      </c>
      <c r="L235" s="16" t="s">
        <v>1836</v>
      </c>
      <c r="M235" s="16" t="s">
        <v>1996</v>
      </c>
      <c r="N235" s="16">
        <v>30204250103483</v>
      </c>
      <c r="O235" s="16"/>
      <c r="P235" s="16"/>
      <c r="Q235" s="16"/>
      <c r="R235" s="16"/>
      <c r="S235" s="19"/>
      <c r="T235" s="20" t="s">
        <v>1837</v>
      </c>
      <c r="U235" s="16"/>
      <c r="V235" s="16"/>
      <c r="W235" s="30" t="s">
        <v>1838</v>
      </c>
      <c r="X235" s="18" t="s">
        <v>2096</v>
      </c>
      <c r="Y235" s="18" t="s">
        <v>98</v>
      </c>
      <c r="Z235" s="18" t="s">
        <v>1815</v>
      </c>
      <c r="AA235" s="16" t="s">
        <v>1816</v>
      </c>
      <c r="AB235" s="16" t="s">
        <v>1817</v>
      </c>
      <c r="AC235" s="16" t="s">
        <v>1818</v>
      </c>
      <c r="AD235" s="123" t="str">
        <f t="shared" si="3"/>
        <v>FUE</v>
      </c>
      <c r="AE235" s="123" t="str">
        <f>VLOOKUP(Table1[[#This Row],[Name of bank]],'اكواد البنوك'!$A$2:$B$34,2,0)</f>
        <v>FUE</v>
      </c>
      <c r="AF235" s="21" t="s">
        <v>1838</v>
      </c>
      <c r="AG235" s="15" t="s">
        <v>49</v>
      </c>
    </row>
    <row r="236" spans="1:33">
      <c r="A236" s="14">
        <v>235</v>
      </c>
      <c r="B236" s="14" t="str">
        <f>B235</f>
        <v>3rd Floor</v>
      </c>
      <c r="C236" s="14" t="s">
        <v>4491</v>
      </c>
      <c r="D236" s="15" t="s">
        <v>1839</v>
      </c>
      <c r="E236" s="16" t="s">
        <v>2097</v>
      </c>
      <c r="F236" s="32" t="s">
        <v>10116</v>
      </c>
      <c r="G236" s="17" t="s">
        <v>2098</v>
      </c>
      <c r="H236" s="18" t="s">
        <v>2099</v>
      </c>
      <c r="I236" s="16" t="s">
        <v>2100</v>
      </c>
      <c r="J236" s="16" t="s">
        <v>86</v>
      </c>
      <c r="K236" s="16" t="s">
        <v>160</v>
      </c>
      <c r="L236" s="16">
        <v>68677089</v>
      </c>
      <c r="M236" s="16" t="s">
        <v>136</v>
      </c>
      <c r="N236" s="16">
        <v>29212210101281</v>
      </c>
      <c r="O236" s="16" t="s">
        <v>2101</v>
      </c>
      <c r="P236" s="16" t="s">
        <v>2102</v>
      </c>
      <c r="Q236" s="16" t="s">
        <v>1815</v>
      </c>
      <c r="R236" s="16" t="s">
        <v>1849</v>
      </c>
      <c r="S236" s="19" t="s">
        <v>2103</v>
      </c>
      <c r="T236" s="20" t="s">
        <v>993</v>
      </c>
      <c r="U236" s="16" t="s">
        <v>2104</v>
      </c>
      <c r="V236" s="16" t="s">
        <v>2105</v>
      </c>
      <c r="W236" s="30" t="s">
        <v>2106</v>
      </c>
      <c r="X236" s="18" t="s">
        <v>97</v>
      </c>
      <c r="Y236" s="18" t="s">
        <v>98</v>
      </c>
      <c r="Z236" s="18" t="s">
        <v>1815</v>
      </c>
      <c r="AA236" s="16" t="s">
        <v>1816</v>
      </c>
      <c r="AB236" s="16" t="s">
        <v>1817</v>
      </c>
      <c r="AC236" s="16" t="s">
        <v>1818</v>
      </c>
      <c r="AD236" s="123" t="str">
        <f t="shared" si="3"/>
        <v>External Transfer-Other banks</v>
      </c>
      <c r="AE236" s="123" t="str">
        <f>VLOOKUP(Table1[[#This Row],[Name of bank]],'اكواد البنوك'!$A$2:$B$34,2,0)</f>
        <v>ALEXEGCXXXX</v>
      </c>
      <c r="AF236" s="21" t="s">
        <v>2107</v>
      </c>
      <c r="AG236" s="15" t="s">
        <v>49</v>
      </c>
    </row>
    <row r="237" spans="1:33">
      <c r="A237" s="14">
        <v>236</v>
      </c>
      <c r="B237" s="14" t="str">
        <f>B236</f>
        <v>3rd Floor</v>
      </c>
      <c r="C237" s="14" t="e">
        <v>#N/A</v>
      </c>
      <c r="D237" s="15" t="s">
        <v>1831</v>
      </c>
      <c r="E237" s="16" t="s">
        <v>2108</v>
      </c>
      <c r="F237" s="32" t="s">
        <v>10142</v>
      </c>
      <c r="G237" s="17" t="s">
        <v>2109</v>
      </c>
      <c r="H237" s="18" t="s">
        <v>2110</v>
      </c>
      <c r="I237" s="16" t="s">
        <v>1831</v>
      </c>
      <c r="J237" s="16"/>
      <c r="K237" s="16"/>
      <c r="L237" s="16" t="s">
        <v>1836</v>
      </c>
      <c r="M237" s="16">
        <v>67069036</v>
      </c>
      <c r="N237" s="16" t="s">
        <v>2111</v>
      </c>
      <c r="O237" s="16"/>
      <c r="P237" s="16"/>
      <c r="Q237" s="16"/>
      <c r="R237" s="16"/>
      <c r="S237" s="19"/>
      <c r="T237" s="20" t="s">
        <v>1837</v>
      </c>
      <c r="U237" s="16"/>
      <c r="V237" s="16"/>
      <c r="W237" s="30" t="s">
        <v>1838</v>
      </c>
      <c r="X237" s="18" t="s">
        <v>97</v>
      </c>
      <c r="Y237" s="18" t="s">
        <v>98</v>
      </c>
      <c r="Z237" s="18" t="s">
        <v>1815</v>
      </c>
      <c r="AA237" s="16" t="s">
        <v>1816</v>
      </c>
      <c r="AB237" s="16" t="s">
        <v>1817</v>
      </c>
      <c r="AC237" s="16" t="s">
        <v>1818</v>
      </c>
      <c r="AD237" s="123" t="str">
        <f t="shared" si="3"/>
        <v>FUE</v>
      </c>
      <c r="AE237" s="123" t="str">
        <f>VLOOKUP(Table1[[#This Row],[Name of bank]],'اكواد البنوك'!$A$2:$B$34,2,0)</f>
        <v>FUE</v>
      </c>
      <c r="AF237" s="21" t="s">
        <v>1838</v>
      </c>
      <c r="AG237" s="15" t="s">
        <v>49</v>
      </c>
    </row>
    <row r="238" spans="1:33">
      <c r="A238" s="14">
        <v>237</v>
      </c>
      <c r="B238" s="14" t="s">
        <v>2112</v>
      </c>
      <c r="C238" s="14" t="e">
        <v>#N/A</v>
      </c>
      <c r="D238" s="15" t="s">
        <v>1839</v>
      </c>
      <c r="E238" s="16" t="s">
        <v>2113</v>
      </c>
      <c r="F238" s="32" t="s">
        <v>2114</v>
      </c>
      <c r="G238" s="17" t="s">
        <v>2115</v>
      </c>
      <c r="H238" s="18" t="s">
        <v>2116</v>
      </c>
      <c r="I238" s="16" t="s">
        <v>2117</v>
      </c>
      <c r="J238" s="16" t="s">
        <v>86</v>
      </c>
      <c r="K238" s="16" t="s">
        <v>2118</v>
      </c>
      <c r="L238" s="16">
        <v>29158209</v>
      </c>
      <c r="M238" s="16" t="s">
        <v>2119</v>
      </c>
      <c r="N238" s="16">
        <v>27106270101482</v>
      </c>
      <c r="O238" s="16" t="s">
        <v>2120</v>
      </c>
      <c r="P238" s="16" t="s">
        <v>2121</v>
      </c>
      <c r="Q238" s="16" t="s">
        <v>1815</v>
      </c>
      <c r="R238" s="16" t="s">
        <v>1849</v>
      </c>
      <c r="S238" s="19" t="s">
        <v>2122</v>
      </c>
      <c r="T238" s="20" t="s">
        <v>993</v>
      </c>
      <c r="U238" s="16" t="s">
        <v>2123</v>
      </c>
      <c r="V238" s="16" t="s">
        <v>2124</v>
      </c>
      <c r="W238" s="30" t="s">
        <v>2125</v>
      </c>
      <c r="X238" s="18" t="s">
        <v>542</v>
      </c>
      <c r="Y238" s="18" t="s">
        <v>98</v>
      </c>
      <c r="Z238" s="18" t="s">
        <v>1815</v>
      </c>
      <c r="AA238" s="16" t="s">
        <v>1816</v>
      </c>
      <c r="AB238" s="16" t="s">
        <v>1817</v>
      </c>
      <c r="AC238" s="16" t="s">
        <v>1818</v>
      </c>
      <c r="AD238" s="123" t="str">
        <f t="shared" si="3"/>
        <v>External Transfer-Other banks</v>
      </c>
      <c r="AE238" s="123" t="str">
        <f>VLOOKUP(Table1[[#This Row],[Name of bank]],'اكواد البنوك'!$A$2:$B$34,2,0)</f>
        <v>ALEXEGCXXXX</v>
      </c>
      <c r="AF238" s="21" t="s">
        <v>2126</v>
      </c>
      <c r="AG238" s="15" t="s">
        <v>49</v>
      </c>
    </row>
    <row r="239" spans="1:33">
      <c r="A239" s="14">
        <v>238</v>
      </c>
      <c r="B239" s="14" t="str">
        <f>B238</f>
        <v>A301</v>
      </c>
      <c r="C239" s="14">
        <v>504</v>
      </c>
      <c r="D239" s="15" t="s">
        <v>1839</v>
      </c>
      <c r="E239" s="16" t="s">
        <v>2127</v>
      </c>
      <c r="F239" s="32" t="s">
        <v>2128</v>
      </c>
      <c r="G239" s="17" t="s">
        <v>2129</v>
      </c>
      <c r="H239" s="18">
        <v>201127325340</v>
      </c>
      <c r="I239" s="16" t="s">
        <v>2130</v>
      </c>
      <c r="J239" s="16" t="s">
        <v>86</v>
      </c>
      <c r="K239" s="16" t="s">
        <v>2131</v>
      </c>
      <c r="L239" s="16" t="s">
        <v>136</v>
      </c>
      <c r="M239" s="16" t="s">
        <v>136</v>
      </c>
      <c r="N239" s="16">
        <v>29007062100242</v>
      </c>
      <c r="O239" s="16" t="s">
        <v>2132</v>
      </c>
      <c r="P239" s="16" t="s">
        <v>2133</v>
      </c>
      <c r="Q239" s="16" t="s">
        <v>1815</v>
      </c>
      <c r="R239" s="16" t="s">
        <v>1882</v>
      </c>
      <c r="S239" s="96" t="s">
        <v>2134</v>
      </c>
      <c r="T239" s="96" t="s">
        <v>40</v>
      </c>
      <c r="U239" s="96" t="s">
        <v>2135</v>
      </c>
      <c r="V239" s="73" t="s">
        <v>10296</v>
      </c>
      <c r="W239" s="74" t="s">
        <v>10297</v>
      </c>
      <c r="X239" s="18" t="s">
        <v>542</v>
      </c>
      <c r="Y239" s="18" t="s">
        <v>98</v>
      </c>
      <c r="Z239" s="18" t="s">
        <v>1815</v>
      </c>
      <c r="AA239" s="16" t="s">
        <v>1816</v>
      </c>
      <c r="AB239" s="16" t="s">
        <v>1817</v>
      </c>
      <c r="AC239" s="16" t="s">
        <v>1818</v>
      </c>
      <c r="AD239" s="123" t="str">
        <f t="shared" si="3"/>
        <v>External Transfer-NBE</v>
      </c>
      <c r="AE239" s="123" t="str">
        <f>VLOOKUP(Table1[[#This Row],[Name of bank]],'اكواد البنوك'!$A$2:$B$34,2,0)</f>
        <v>NBEGEGCXXXX</v>
      </c>
      <c r="AF239" s="21" t="s">
        <v>4383</v>
      </c>
      <c r="AG239" s="15" t="s">
        <v>1073</v>
      </c>
    </row>
    <row r="240" spans="1:33">
      <c r="A240" s="14">
        <v>239</v>
      </c>
      <c r="B240" s="14" t="str">
        <f>B239</f>
        <v>A301</v>
      </c>
      <c r="C240" s="14" t="s">
        <v>4475</v>
      </c>
      <c r="D240" s="15" t="s">
        <v>1839</v>
      </c>
      <c r="E240" s="16" t="s">
        <v>2136</v>
      </c>
      <c r="F240" s="32" t="s">
        <v>2137</v>
      </c>
      <c r="G240" s="17" t="s">
        <v>2138</v>
      </c>
      <c r="H240" s="18" t="s">
        <v>2139</v>
      </c>
      <c r="I240" s="16" t="s">
        <v>2140</v>
      </c>
      <c r="J240" s="16" t="s">
        <v>86</v>
      </c>
      <c r="K240" s="16" t="s">
        <v>1206</v>
      </c>
      <c r="L240" s="16">
        <v>17759574</v>
      </c>
      <c r="M240" s="16" t="s">
        <v>136</v>
      </c>
      <c r="N240" s="16">
        <v>28801230103923</v>
      </c>
      <c r="O240" s="16" t="s">
        <v>2141</v>
      </c>
      <c r="P240" s="16" t="s">
        <v>2142</v>
      </c>
      <c r="Q240" s="16" t="s">
        <v>1815</v>
      </c>
      <c r="R240" s="16" t="s">
        <v>1849</v>
      </c>
      <c r="S240" s="19" t="s">
        <v>2136</v>
      </c>
      <c r="T240" s="20" t="s">
        <v>40</v>
      </c>
      <c r="U240" s="16" t="s">
        <v>2143</v>
      </c>
      <c r="V240" s="16" t="s">
        <v>2144</v>
      </c>
      <c r="W240" s="30" t="s">
        <v>2145</v>
      </c>
      <c r="X240" s="18" t="s">
        <v>542</v>
      </c>
      <c r="Y240" s="18" t="s">
        <v>98</v>
      </c>
      <c r="Z240" s="18" t="s">
        <v>1815</v>
      </c>
      <c r="AA240" s="16" t="s">
        <v>1816</v>
      </c>
      <c r="AB240" s="16" t="s">
        <v>1817</v>
      </c>
      <c r="AC240" s="16" t="s">
        <v>1818</v>
      </c>
      <c r="AD240" s="123" t="str">
        <f t="shared" si="3"/>
        <v>External Transfer-NBE</v>
      </c>
      <c r="AE240" s="123" t="str">
        <f>VLOOKUP(Table1[[#This Row],[Name of bank]],'اكواد البنوك'!$A$2:$B$34,2,0)</f>
        <v>NBEGEGCXXXX</v>
      </c>
      <c r="AF240" s="21" t="s">
        <v>2146</v>
      </c>
      <c r="AG240" s="15" t="s">
        <v>49</v>
      </c>
    </row>
    <row r="241" spans="1:33">
      <c r="A241" s="14">
        <v>240</v>
      </c>
      <c r="B241" s="14" t="str">
        <f>B240</f>
        <v>A301</v>
      </c>
      <c r="C241" s="14" t="e">
        <v>#N/A</v>
      </c>
      <c r="D241" s="15" t="s">
        <v>1831</v>
      </c>
      <c r="E241" s="16" t="s">
        <v>2147</v>
      </c>
      <c r="F241" s="32" t="s">
        <v>2148</v>
      </c>
      <c r="G241" s="17" t="s">
        <v>2149</v>
      </c>
      <c r="H241" s="18" t="s">
        <v>2150</v>
      </c>
      <c r="I241" s="16">
        <v>29208080100654</v>
      </c>
      <c r="J241" s="16">
        <v>46598155</v>
      </c>
      <c r="K241" s="16" t="s">
        <v>1831</v>
      </c>
      <c r="L241" s="16"/>
      <c r="M241" s="16"/>
      <c r="N241" s="16"/>
      <c r="O241" s="16"/>
      <c r="P241" s="16"/>
      <c r="Q241" s="16"/>
      <c r="R241" s="16"/>
      <c r="S241" s="19"/>
      <c r="T241" s="20" t="s">
        <v>1837</v>
      </c>
      <c r="U241" s="16"/>
      <c r="V241" s="16"/>
      <c r="W241" s="30" t="s">
        <v>1838</v>
      </c>
      <c r="X241" s="18" t="s">
        <v>127</v>
      </c>
      <c r="Y241" s="18" t="s">
        <v>98</v>
      </c>
      <c r="Z241" s="18" t="s">
        <v>1815</v>
      </c>
      <c r="AA241" s="16" t="s">
        <v>1816</v>
      </c>
      <c r="AB241" s="16" t="s">
        <v>1817</v>
      </c>
      <c r="AC241" s="16" t="s">
        <v>1818</v>
      </c>
      <c r="AD241" s="123" t="str">
        <f t="shared" si="3"/>
        <v>FUE</v>
      </c>
      <c r="AE241" s="123" t="str">
        <f>VLOOKUP(Table1[[#This Row],[Name of bank]],'اكواد البنوك'!$A$2:$B$34,2,0)</f>
        <v>FUE</v>
      </c>
      <c r="AF241" s="21" t="s">
        <v>1838</v>
      </c>
      <c r="AG241" s="15" t="s">
        <v>49</v>
      </c>
    </row>
    <row r="242" spans="1:33">
      <c r="A242" s="14">
        <v>241</v>
      </c>
      <c r="B242" s="14" t="s">
        <v>2151</v>
      </c>
      <c r="C242" s="14" t="e">
        <v>#N/A</v>
      </c>
      <c r="D242" s="15" t="s">
        <v>1839</v>
      </c>
      <c r="E242" s="16" t="s">
        <v>2152</v>
      </c>
      <c r="F242" s="32" t="s">
        <v>2153</v>
      </c>
      <c r="G242" s="17" t="s">
        <v>2154</v>
      </c>
      <c r="H242" s="18" t="s">
        <v>2155</v>
      </c>
      <c r="I242" s="16" t="s">
        <v>2156</v>
      </c>
      <c r="J242" s="16" t="s">
        <v>1845</v>
      </c>
      <c r="K242" s="16" t="s">
        <v>2157</v>
      </c>
      <c r="L242" s="16">
        <v>372637</v>
      </c>
      <c r="M242" s="16">
        <v>100675891</v>
      </c>
      <c r="N242" s="16">
        <v>26804070103231</v>
      </c>
      <c r="O242" s="16" t="s">
        <v>2158</v>
      </c>
      <c r="P242" s="16" t="s">
        <v>2159</v>
      </c>
      <c r="Q242" s="16" t="s">
        <v>1815</v>
      </c>
      <c r="R242" s="16" t="s">
        <v>1882</v>
      </c>
      <c r="S242" s="19" t="s">
        <v>2160</v>
      </c>
      <c r="T242" s="20" t="s">
        <v>40</v>
      </c>
      <c r="U242" s="16" t="s">
        <v>1851</v>
      </c>
      <c r="V242" s="16" t="s">
        <v>2161</v>
      </c>
      <c r="W242" s="30" t="s">
        <v>2162</v>
      </c>
      <c r="X242" s="18" t="s">
        <v>542</v>
      </c>
      <c r="Y242" s="18" t="s">
        <v>98</v>
      </c>
      <c r="Z242" s="18" t="s">
        <v>1815</v>
      </c>
      <c r="AA242" s="16" t="s">
        <v>1816</v>
      </c>
      <c r="AB242" s="16" t="s">
        <v>1817</v>
      </c>
      <c r="AC242" s="16" t="s">
        <v>1818</v>
      </c>
      <c r="AD242" s="123" t="str">
        <f t="shared" si="3"/>
        <v>External Transfer-NBE</v>
      </c>
      <c r="AE242" s="123" t="str">
        <f>VLOOKUP(Table1[[#This Row],[Name of bank]],'اكواد البنوك'!$A$2:$B$34,2,0)</f>
        <v>NBEGEGCXXXX</v>
      </c>
      <c r="AF242" s="21" t="s">
        <v>2163</v>
      </c>
      <c r="AG242" s="15" t="s">
        <v>49</v>
      </c>
    </row>
    <row r="243" spans="1:33">
      <c r="A243" s="14">
        <v>242</v>
      </c>
      <c r="B243" s="14" t="str">
        <f>B242</f>
        <v>A312</v>
      </c>
      <c r="C243" s="14" t="e">
        <v>#N/A</v>
      </c>
      <c r="D243" s="15" t="s">
        <v>1839</v>
      </c>
      <c r="E243" s="16" t="s">
        <v>2164</v>
      </c>
      <c r="F243" s="32" t="s">
        <v>2165</v>
      </c>
      <c r="G243" s="17" t="s">
        <v>2166</v>
      </c>
      <c r="H243" s="18" t="s">
        <v>2167</v>
      </c>
      <c r="I243" s="16" t="s">
        <v>2168</v>
      </c>
      <c r="J243" s="16" t="s">
        <v>173</v>
      </c>
      <c r="K243" s="16" t="s">
        <v>148</v>
      </c>
      <c r="L243" s="16" t="s">
        <v>2169</v>
      </c>
      <c r="M243" s="16" t="s">
        <v>136</v>
      </c>
      <c r="N243" s="16">
        <v>29012010101767</v>
      </c>
      <c r="O243" s="16" t="s">
        <v>2170</v>
      </c>
      <c r="P243" s="16" t="s">
        <v>2171</v>
      </c>
      <c r="Q243" s="16" t="s">
        <v>1815</v>
      </c>
      <c r="R243" s="16" t="s">
        <v>1849</v>
      </c>
      <c r="S243" s="19" t="s">
        <v>2172</v>
      </c>
      <c r="T243" s="20" t="s">
        <v>40</v>
      </c>
      <c r="U243" s="16" t="s">
        <v>2173</v>
      </c>
      <c r="V243" s="16" t="s">
        <v>2174</v>
      </c>
      <c r="W243" s="30" t="s">
        <v>2175</v>
      </c>
      <c r="X243" s="18" t="s">
        <v>542</v>
      </c>
      <c r="Y243" s="18" t="s">
        <v>98</v>
      </c>
      <c r="Z243" s="18" t="s">
        <v>1815</v>
      </c>
      <c r="AA243" s="16" t="s">
        <v>1816</v>
      </c>
      <c r="AB243" s="16" t="s">
        <v>1817</v>
      </c>
      <c r="AC243" s="16" t="s">
        <v>1818</v>
      </c>
      <c r="AD243" s="123" t="str">
        <f t="shared" si="3"/>
        <v>External Transfer-NBE</v>
      </c>
      <c r="AE243" s="123" t="str">
        <f>VLOOKUP(Table1[[#This Row],[Name of bank]],'اكواد البنوك'!$A$2:$B$34,2,0)</f>
        <v>NBEGEGCXXXX</v>
      </c>
      <c r="AF243" s="21" t="s">
        <v>2176</v>
      </c>
      <c r="AG243" s="15" t="s">
        <v>49</v>
      </c>
    </row>
    <row r="244" spans="1:33">
      <c r="A244" s="14">
        <v>243</v>
      </c>
      <c r="B244" s="14" t="str">
        <f>B243</f>
        <v>A312</v>
      </c>
      <c r="C244" s="14">
        <v>504</v>
      </c>
      <c r="D244" s="15" t="s">
        <v>1831</v>
      </c>
      <c r="E244" s="16" t="s">
        <v>2177</v>
      </c>
      <c r="F244" s="32" t="s">
        <v>10008</v>
      </c>
      <c r="G244" s="17" t="s">
        <v>2178</v>
      </c>
      <c r="H244" s="18" t="s">
        <v>2179</v>
      </c>
      <c r="I244" s="16"/>
      <c r="J244" s="16"/>
      <c r="K244" s="16" t="s">
        <v>1831</v>
      </c>
      <c r="L244" s="16" t="s">
        <v>1836</v>
      </c>
      <c r="M244" s="16">
        <v>61820368</v>
      </c>
      <c r="N244" s="16">
        <v>30303200101054</v>
      </c>
      <c r="O244" s="16"/>
      <c r="P244" s="16"/>
      <c r="Q244" s="16"/>
      <c r="R244" s="16"/>
      <c r="S244" s="19"/>
      <c r="T244" s="20" t="s">
        <v>1837</v>
      </c>
      <c r="U244" s="16"/>
      <c r="V244" s="16"/>
      <c r="W244" s="30" t="s">
        <v>1838</v>
      </c>
      <c r="X244" s="18" t="s">
        <v>542</v>
      </c>
      <c r="Y244" s="18" t="s">
        <v>98</v>
      </c>
      <c r="Z244" s="18" t="s">
        <v>1815</v>
      </c>
      <c r="AA244" s="16" t="s">
        <v>1816</v>
      </c>
      <c r="AB244" s="16" t="s">
        <v>1817</v>
      </c>
      <c r="AC244" s="16" t="s">
        <v>1818</v>
      </c>
      <c r="AD244" s="123" t="str">
        <f t="shared" si="3"/>
        <v>FUE</v>
      </c>
      <c r="AE244" s="123" t="str">
        <f>VLOOKUP(Table1[[#This Row],[Name of bank]],'اكواد البنوك'!$A$2:$B$34,2,0)</f>
        <v>FUE</v>
      </c>
      <c r="AF244" s="21" t="s">
        <v>1838</v>
      </c>
      <c r="AG244" s="15" t="s">
        <v>49</v>
      </c>
    </row>
    <row r="245" spans="1:33">
      <c r="A245" s="14">
        <v>244</v>
      </c>
      <c r="B245" s="14" t="s">
        <v>2180</v>
      </c>
      <c r="C245" s="14" t="e">
        <v>#N/A</v>
      </c>
      <c r="D245" s="15" t="s">
        <v>1839</v>
      </c>
      <c r="E245" s="16" t="s">
        <v>2181</v>
      </c>
      <c r="F245" s="32" t="s">
        <v>2182</v>
      </c>
      <c r="G245" s="17" t="s">
        <v>2183</v>
      </c>
      <c r="H245" s="18" t="s">
        <v>2184</v>
      </c>
      <c r="I245" s="16" t="s">
        <v>2185</v>
      </c>
      <c r="J245" s="16" t="s">
        <v>1845</v>
      </c>
      <c r="K245" s="16" t="s">
        <v>2186</v>
      </c>
      <c r="L245" s="16">
        <v>62414346</v>
      </c>
      <c r="M245" s="16">
        <v>100675891</v>
      </c>
      <c r="N245" s="16">
        <v>28711170104144</v>
      </c>
      <c r="O245" s="16" t="s">
        <v>2187</v>
      </c>
      <c r="P245" s="16" t="s">
        <v>2188</v>
      </c>
      <c r="Q245" s="16" t="s">
        <v>1815</v>
      </c>
      <c r="R245" s="16" t="s">
        <v>1849</v>
      </c>
      <c r="S245" s="19" t="s">
        <v>2189</v>
      </c>
      <c r="T245" s="20" t="s">
        <v>40</v>
      </c>
      <c r="U245" s="16" t="s">
        <v>1851</v>
      </c>
      <c r="V245" s="16" t="s">
        <v>2190</v>
      </c>
      <c r="W245" s="30" t="s">
        <v>2191</v>
      </c>
      <c r="X245" s="18" t="s">
        <v>542</v>
      </c>
      <c r="Y245" s="18" t="s">
        <v>98</v>
      </c>
      <c r="Z245" s="18" t="s">
        <v>1815</v>
      </c>
      <c r="AA245" s="16" t="s">
        <v>1816</v>
      </c>
      <c r="AB245" s="16" t="s">
        <v>1817</v>
      </c>
      <c r="AC245" s="16" t="s">
        <v>1818</v>
      </c>
      <c r="AD245" s="123" t="str">
        <f t="shared" si="3"/>
        <v>External Transfer-NBE</v>
      </c>
      <c r="AE245" s="123" t="str">
        <f>VLOOKUP(Table1[[#This Row],[Name of bank]],'اكواد البنوك'!$A$2:$B$34,2,0)</f>
        <v>NBEGEGCXXXX</v>
      </c>
      <c r="AF245" s="21" t="s">
        <v>2163</v>
      </c>
      <c r="AG245" s="15" t="s">
        <v>49</v>
      </c>
    </row>
    <row r="246" spans="1:33">
      <c r="A246" s="14">
        <v>245</v>
      </c>
      <c r="B246" s="14" t="str">
        <f>B245</f>
        <v>A319</v>
      </c>
      <c r="C246" s="14" t="s">
        <v>4281</v>
      </c>
      <c r="D246" s="15" t="s">
        <v>1839</v>
      </c>
      <c r="E246" s="16" t="s">
        <v>2192</v>
      </c>
      <c r="F246" s="32" t="s">
        <v>2193</v>
      </c>
      <c r="G246" s="17" t="s">
        <v>2194</v>
      </c>
      <c r="H246" s="18">
        <v>201063987442</v>
      </c>
      <c r="I246" s="16" t="s">
        <v>2195</v>
      </c>
      <c r="J246" s="16" t="s">
        <v>173</v>
      </c>
      <c r="K246" s="16" t="s">
        <v>2196</v>
      </c>
      <c r="L246" s="16">
        <v>66044932</v>
      </c>
      <c r="M246" s="16">
        <v>2827179</v>
      </c>
      <c r="N246" s="16">
        <v>29606281400091</v>
      </c>
      <c r="O246" s="16" t="s">
        <v>2197</v>
      </c>
      <c r="P246" s="16" t="s">
        <v>2198</v>
      </c>
      <c r="Q246" s="16" t="s">
        <v>1815</v>
      </c>
      <c r="R246" s="16" t="s">
        <v>1882</v>
      </c>
      <c r="S246" s="87" t="s">
        <v>2199</v>
      </c>
      <c r="T246" s="87" t="s">
        <v>40</v>
      </c>
      <c r="U246" s="87" t="s">
        <v>2200</v>
      </c>
      <c r="V246" s="73" t="s">
        <v>10298</v>
      </c>
      <c r="W246" s="74" t="s">
        <v>2201</v>
      </c>
      <c r="X246" s="18" t="s">
        <v>542</v>
      </c>
      <c r="Y246" s="18" t="s">
        <v>98</v>
      </c>
      <c r="Z246" s="18" t="s">
        <v>1815</v>
      </c>
      <c r="AA246" s="16" t="s">
        <v>1816</v>
      </c>
      <c r="AB246" s="16" t="s">
        <v>1817</v>
      </c>
      <c r="AC246" s="16" t="s">
        <v>1818</v>
      </c>
      <c r="AD246" s="123" t="str">
        <f t="shared" si="3"/>
        <v>External Transfer-NBE</v>
      </c>
      <c r="AE246" s="123" t="str">
        <f>VLOOKUP(Table1[[#This Row],[Name of bank]],'اكواد البنوك'!$A$2:$B$34,2,0)</f>
        <v>NBEGEGCXXXX</v>
      </c>
      <c r="AF246" s="21" t="s">
        <v>3767</v>
      </c>
      <c r="AG246" s="15" t="s">
        <v>2202</v>
      </c>
    </row>
    <row r="247" spans="1:33">
      <c r="A247" s="14">
        <v>246</v>
      </c>
      <c r="B247" s="14" t="str">
        <f>B246</f>
        <v>A319</v>
      </c>
      <c r="C247" s="14" t="e">
        <v>#N/A</v>
      </c>
      <c r="D247" s="15" t="s">
        <v>1831</v>
      </c>
      <c r="E247" s="16" t="s">
        <v>2203</v>
      </c>
      <c r="F247" s="32" t="s">
        <v>2204</v>
      </c>
      <c r="G247" s="17" t="s">
        <v>2205</v>
      </c>
      <c r="H247" s="18" t="s">
        <v>2206</v>
      </c>
      <c r="I247" s="16"/>
      <c r="J247" s="16"/>
      <c r="K247" s="16" t="s">
        <v>1831</v>
      </c>
      <c r="L247" s="16" t="s">
        <v>1836</v>
      </c>
      <c r="M247" s="16">
        <v>70213753</v>
      </c>
      <c r="N247" s="16" t="s">
        <v>2207</v>
      </c>
      <c r="O247" s="16"/>
      <c r="P247" s="16"/>
      <c r="Q247" s="16"/>
      <c r="R247" s="16"/>
      <c r="S247" s="19"/>
      <c r="T247" s="20" t="s">
        <v>1837</v>
      </c>
      <c r="U247" s="16"/>
      <c r="V247" s="16"/>
      <c r="W247" s="30" t="s">
        <v>1838</v>
      </c>
      <c r="X247" s="18" t="s">
        <v>542</v>
      </c>
      <c r="Y247" s="18" t="s">
        <v>98</v>
      </c>
      <c r="Z247" s="18" t="s">
        <v>1815</v>
      </c>
      <c r="AA247" s="16" t="s">
        <v>1816</v>
      </c>
      <c r="AB247" s="16" t="s">
        <v>1817</v>
      </c>
      <c r="AC247" s="16" t="s">
        <v>1818</v>
      </c>
      <c r="AD247" s="123" t="str">
        <f t="shared" si="3"/>
        <v>FUE</v>
      </c>
      <c r="AE247" s="123" t="str">
        <f>VLOOKUP(Table1[[#This Row],[Name of bank]],'اكواد البنوك'!$A$2:$B$34,2,0)</f>
        <v>FUE</v>
      </c>
      <c r="AF247" s="21" t="s">
        <v>1838</v>
      </c>
      <c r="AG247" s="15" t="s">
        <v>49</v>
      </c>
    </row>
    <row r="248" spans="1:33">
      <c r="A248" s="14">
        <v>247</v>
      </c>
      <c r="B248" s="14" t="s">
        <v>2208</v>
      </c>
      <c r="C248" s="14" t="s">
        <v>4229</v>
      </c>
      <c r="D248" s="15" t="s">
        <v>1839</v>
      </c>
      <c r="E248" s="39" t="s">
        <v>2209</v>
      </c>
      <c r="F248" s="85" t="s">
        <v>2210</v>
      </c>
      <c r="G248" s="86" t="s">
        <v>2211</v>
      </c>
      <c r="H248" s="64">
        <v>201141492620</v>
      </c>
      <c r="I248" s="39" t="s">
        <v>2212</v>
      </c>
      <c r="J248" s="39" t="s">
        <v>173</v>
      </c>
      <c r="K248" s="39" t="s">
        <v>1206</v>
      </c>
      <c r="L248" s="39" t="s">
        <v>136</v>
      </c>
      <c r="M248" s="39" t="s">
        <v>136</v>
      </c>
      <c r="N248" s="39">
        <v>30009202104322</v>
      </c>
      <c r="O248" s="39" t="s">
        <v>2213</v>
      </c>
      <c r="P248" s="39" t="s">
        <v>2214</v>
      </c>
      <c r="Q248" s="39" t="s">
        <v>2215</v>
      </c>
      <c r="R248" s="39" t="s">
        <v>1849</v>
      </c>
      <c r="S248" s="85" t="s">
        <v>2210</v>
      </c>
      <c r="T248" s="20" t="s">
        <v>40</v>
      </c>
      <c r="U248" s="16" t="s">
        <v>10353</v>
      </c>
      <c r="V248" s="83" t="s">
        <v>10355</v>
      </c>
      <c r="W248" s="30" t="s">
        <v>10354</v>
      </c>
      <c r="X248" s="18"/>
      <c r="Y248" s="18" t="s">
        <v>98</v>
      </c>
      <c r="Z248" s="18"/>
      <c r="AA248" s="16"/>
      <c r="AB248" s="16"/>
      <c r="AC248" s="16"/>
      <c r="AD248" s="123" t="str">
        <f t="shared" si="3"/>
        <v>External Transfer-NBE</v>
      </c>
      <c r="AE248" s="123" t="str">
        <f>VLOOKUP(Table1[[#This Row],[Name of bank]],'اكواد البنوك'!$A$2:$B$34,2,0)</f>
        <v>NBEGEGCXXXX</v>
      </c>
      <c r="AF248" s="21">
        <v>187</v>
      </c>
      <c r="AG248" s="15" t="s">
        <v>1073</v>
      </c>
    </row>
    <row r="249" spans="1:33">
      <c r="A249" s="14">
        <v>248</v>
      </c>
      <c r="B249" s="14" t="str">
        <f>B248</f>
        <v>A320</v>
      </c>
      <c r="C249" s="14" t="e">
        <v>#N/A</v>
      </c>
      <c r="D249" s="15" t="s">
        <v>1839</v>
      </c>
      <c r="E249" s="16" t="s">
        <v>2217</v>
      </c>
      <c r="F249" s="32" t="s">
        <v>2218</v>
      </c>
      <c r="G249" s="17" t="s">
        <v>2219</v>
      </c>
      <c r="H249" s="18" t="s">
        <v>2220</v>
      </c>
      <c r="I249" s="16" t="s">
        <v>2221</v>
      </c>
      <c r="J249" s="16" t="s">
        <v>86</v>
      </c>
      <c r="K249" s="16" t="s">
        <v>2222</v>
      </c>
      <c r="L249" s="16">
        <v>43878163</v>
      </c>
      <c r="M249" s="16">
        <v>892171</v>
      </c>
      <c r="N249" s="16">
        <v>29011082500082</v>
      </c>
      <c r="O249" s="16" t="s">
        <v>2223</v>
      </c>
      <c r="P249" s="16" t="s">
        <v>2224</v>
      </c>
      <c r="Q249" s="16" t="s">
        <v>1815</v>
      </c>
      <c r="R249" s="16" t="s">
        <v>1849</v>
      </c>
      <c r="S249" s="19" t="s">
        <v>2225</v>
      </c>
      <c r="T249" s="20" t="s">
        <v>40</v>
      </c>
      <c r="U249" s="16" t="s">
        <v>2226</v>
      </c>
      <c r="V249" s="16" t="s">
        <v>2227</v>
      </c>
      <c r="W249" s="30" t="s">
        <v>2228</v>
      </c>
      <c r="X249" s="18" t="s">
        <v>542</v>
      </c>
      <c r="Y249" s="18" t="s">
        <v>98</v>
      </c>
      <c r="Z249" s="18" t="s">
        <v>1815</v>
      </c>
      <c r="AA249" s="16" t="s">
        <v>1816</v>
      </c>
      <c r="AB249" s="16" t="s">
        <v>1817</v>
      </c>
      <c r="AC249" s="16" t="s">
        <v>1818</v>
      </c>
      <c r="AD249" s="123" t="str">
        <f t="shared" si="3"/>
        <v>External Transfer-NBE</v>
      </c>
      <c r="AE249" s="123" t="str">
        <f>VLOOKUP(Table1[[#This Row],[Name of bank]],'اكواد البنوك'!$A$2:$B$34,2,0)</f>
        <v>NBEGEGCXXXX</v>
      </c>
      <c r="AF249" s="21" t="s">
        <v>2229</v>
      </c>
      <c r="AG249" s="15" t="s">
        <v>49</v>
      </c>
    </row>
    <row r="250" spans="1:33">
      <c r="A250" s="14">
        <v>249</v>
      </c>
      <c r="B250" s="14" t="str">
        <f>B249</f>
        <v>A320</v>
      </c>
      <c r="C250" s="14" t="e">
        <v>#N/A</v>
      </c>
      <c r="D250" s="15" t="s">
        <v>1831</v>
      </c>
      <c r="E250" s="16" t="s">
        <v>2230</v>
      </c>
      <c r="F250" s="32" t="s">
        <v>2231</v>
      </c>
      <c r="G250" s="17" t="s">
        <v>2232</v>
      </c>
      <c r="H250" s="18" t="s">
        <v>2233</v>
      </c>
      <c r="I250" s="16" t="s">
        <v>2234</v>
      </c>
      <c r="J250" s="16">
        <v>45689528</v>
      </c>
      <c r="K250" s="16" t="s">
        <v>1831</v>
      </c>
      <c r="L250" s="16"/>
      <c r="M250" s="16"/>
      <c r="N250" s="16"/>
      <c r="O250" s="16"/>
      <c r="P250" s="16"/>
      <c r="Q250" s="16"/>
      <c r="R250" s="16"/>
      <c r="S250" s="19"/>
      <c r="T250" s="20" t="s">
        <v>1837</v>
      </c>
      <c r="U250" s="16"/>
      <c r="V250" s="16"/>
      <c r="W250" s="30" t="s">
        <v>1838</v>
      </c>
      <c r="X250" s="18" t="s">
        <v>127</v>
      </c>
      <c r="Y250" s="18" t="s">
        <v>98</v>
      </c>
      <c r="Z250" s="18" t="s">
        <v>1815</v>
      </c>
      <c r="AA250" s="16" t="s">
        <v>1816</v>
      </c>
      <c r="AB250" s="16" t="s">
        <v>1817</v>
      </c>
      <c r="AC250" s="16" t="s">
        <v>1818</v>
      </c>
      <c r="AD250" s="123" t="str">
        <f t="shared" si="3"/>
        <v>FUE</v>
      </c>
      <c r="AE250" s="123" t="str">
        <f>VLOOKUP(Table1[[#This Row],[Name of bank]],'اكواد البنوك'!$A$2:$B$34,2,0)</f>
        <v>FUE</v>
      </c>
      <c r="AF250" s="21" t="s">
        <v>1838</v>
      </c>
      <c r="AG250" s="15" t="s">
        <v>49</v>
      </c>
    </row>
    <row r="251" spans="1:33">
      <c r="A251" s="14">
        <v>250</v>
      </c>
      <c r="B251" s="14" t="s">
        <v>2235</v>
      </c>
      <c r="C251" s="14" t="s">
        <v>4373</v>
      </c>
      <c r="D251" s="15" t="s">
        <v>1839</v>
      </c>
      <c r="E251" s="16" t="s">
        <v>2236</v>
      </c>
      <c r="F251" s="32" t="s">
        <v>2237</v>
      </c>
      <c r="G251" s="17" t="s">
        <v>2238</v>
      </c>
      <c r="H251" s="18">
        <v>201003242695</v>
      </c>
      <c r="I251" s="16" t="s">
        <v>2239</v>
      </c>
      <c r="J251" s="16" t="s">
        <v>1845</v>
      </c>
      <c r="K251" s="16" t="s">
        <v>2240</v>
      </c>
      <c r="L251" s="16" t="s">
        <v>136</v>
      </c>
      <c r="M251" s="16" t="s">
        <v>136</v>
      </c>
      <c r="N251" s="16">
        <v>27710218800369</v>
      </c>
      <c r="O251" s="16" t="s">
        <v>2241</v>
      </c>
      <c r="P251" s="16" t="s">
        <v>2242</v>
      </c>
      <c r="Q251" s="16" t="s">
        <v>1815</v>
      </c>
      <c r="R251" s="16" t="s">
        <v>1882</v>
      </c>
      <c r="S251" s="87" t="s">
        <v>2243</v>
      </c>
      <c r="T251" s="87" t="s">
        <v>307</v>
      </c>
      <c r="U251" s="87" t="s">
        <v>2244</v>
      </c>
      <c r="V251" s="73" t="s">
        <v>10299</v>
      </c>
      <c r="W251" s="118" t="s">
        <v>2245</v>
      </c>
      <c r="X251" s="18" t="s">
        <v>542</v>
      </c>
      <c r="Y251" s="18" t="s">
        <v>98</v>
      </c>
      <c r="Z251" s="18" t="s">
        <v>1815</v>
      </c>
      <c r="AA251" s="16" t="s">
        <v>1816</v>
      </c>
      <c r="AB251" s="16" t="s">
        <v>1817</v>
      </c>
      <c r="AC251" s="16" t="s">
        <v>1818</v>
      </c>
      <c r="AD251" s="123" t="str">
        <f t="shared" si="3"/>
        <v>External Transfer-Other banks</v>
      </c>
      <c r="AE251" s="123" t="str">
        <f>VLOOKUP(Table1[[#This Row],[Name of bank]],'اكواد البنوك'!$A$2:$B$34,2,0)</f>
        <v>CIBEEGCXXXX</v>
      </c>
      <c r="AF251" s="120" t="s">
        <v>4383</v>
      </c>
      <c r="AG251" s="90" t="s">
        <v>167</v>
      </c>
    </row>
    <row r="252" spans="1:33">
      <c r="A252" s="14">
        <v>251</v>
      </c>
      <c r="B252" s="14" t="str">
        <f>B251</f>
        <v>A321</v>
      </c>
      <c r="C252" s="14" t="e">
        <v>#N/A</v>
      </c>
      <c r="D252" s="15" t="s">
        <v>1839</v>
      </c>
      <c r="E252" s="16" t="s">
        <v>2246</v>
      </c>
      <c r="F252" s="32" t="s">
        <v>2247</v>
      </c>
      <c r="G252" s="17" t="s">
        <v>2248</v>
      </c>
      <c r="H252" s="18" t="s">
        <v>2249</v>
      </c>
      <c r="I252" s="16" t="s">
        <v>2250</v>
      </c>
      <c r="J252" s="16" t="s">
        <v>86</v>
      </c>
      <c r="K252" s="16" t="s">
        <v>2251</v>
      </c>
      <c r="L252" s="16">
        <v>34786873</v>
      </c>
      <c r="M252" s="16" t="s">
        <v>136</v>
      </c>
      <c r="N252" s="16">
        <v>28212070101265</v>
      </c>
      <c r="O252" s="16" t="s">
        <v>2252</v>
      </c>
      <c r="P252" s="16" t="s">
        <v>2253</v>
      </c>
      <c r="Q252" s="16" t="s">
        <v>1815</v>
      </c>
      <c r="R252" s="16" t="s">
        <v>1849</v>
      </c>
      <c r="S252" s="19" t="s">
        <v>2254</v>
      </c>
      <c r="T252" s="20" t="s">
        <v>40</v>
      </c>
      <c r="U252" s="16" t="s">
        <v>2255</v>
      </c>
      <c r="V252" s="16" t="s">
        <v>2256</v>
      </c>
      <c r="W252" s="30" t="s">
        <v>2257</v>
      </c>
      <c r="X252" s="18" t="s">
        <v>542</v>
      </c>
      <c r="Y252" s="18" t="s">
        <v>98</v>
      </c>
      <c r="Z252" s="18" t="s">
        <v>1815</v>
      </c>
      <c r="AA252" s="16" t="s">
        <v>1816</v>
      </c>
      <c r="AB252" s="16" t="s">
        <v>1817</v>
      </c>
      <c r="AC252" s="16" t="s">
        <v>1818</v>
      </c>
      <c r="AD252" s="123" t="str">
        <f t="shared" si="3"/>
        <v>External Transfer-NBE</v>
      </c>
      <c r="AE252" s="123" t="str">
        <f>VLOOKUP(Table1[[#This Row],[Name of bank]],'اكواد البنوك'!$A$2:$B$34,2,0)</f>
        <v>NBEGEGCXXXX</v>
      </c>
      <c r="AF252" s="21" t="s">
        <v>2258</v>
      </c>
      <c r="AG252" s="15" t="s">
        <v>49</v>
      </c>
    </row>
    <row r="253" spans="1:33">
      <c r="A253" s="14">
        <v>252</v>
      </c>
      <c r="B253" s="14" t="str">
        <f>B252</f>
        <v>A321</v>
      </c>
      <c r="C253" s="14" t="e">
        <v>#N/A</v>
      </c>
      <c r="D253" s="15" t="s">
        <v>1839</v>
      </c>
      <c r="E253" s="16" t="s">
        <v>2259</v>
      </c>
      <c r="F253" s="32" t="s">
        <v>10093</v>
      </c>
      <c r="G253" s="17" t="s">
        <v>2261</v>
      </c>
      <c r="H253" s="18" t="s">
        <v>2262</v>
      </c>
      <c r="I253" s="16" t="s">
        <v>2263</v>
      </c>
      <c r="J253" s="16" t="s">
        <v>86</v>
      </c>
      <c r="K253" s="16" t="s">
        <v>2264</v>
      </c>
      <c r="L253" s="16">
        <v>48459096</v>
      </c>
      <c r="M253" s="16" t="s">
        <v>136</v>
      </c>
      <c r="N253" s="16">
        <v>27010050100046</v>
      </c>
      <c r="O253" s="16" t="s">
        <v>2265</v>
      </c>
      <c r="P253" s="16" t="s">
        <v>2266</v>
      </c>
      <c r="Q253" s="16" t="s">
        <v>1815</v>
      </c>
      <c r="R253" s="16" t="s">
        <v>1849</v>
      </c>
      <c r="S253" s="87" t="s">
        <v>2260</v>
      </c>
      <c r="T253" s="87" t="s">
        <v>40</v>
      </c>
      <c r="U253" s="87" t="s">
        <v>10300</v>
      </c>
      <c r="V253" s="73" t="s">
        <v>2267</v>
      </c>
      <c r="W253" s="74" t="s">
        <v>2268</v>
      </c>
      <c r="X253" s="18" t="s">
        <v>542</v>
      </c>
      <c r="Y253" s="18" t="s">
        <v>98</v>
      </c>
      <c r="Z253" s="18" t="s">
        <v>1815</v>
      </c>
      <c r="AA253" s="16" t="s">
        <v>1816</v>
      </c>
      <c r="AB253" s="16" t="s">
        <v>1817</v>
      </c>
      <c r="AC253" s="16" t="s">
        <v>1818</v>
      </c>
      <c r="AD253" s="123" t="str">
        <f t="shared" si="3"/>
        <v>External Transfer-NBE</v>
      </c>
      <c r="AE253" s="124" t="s">
        <v>48</v>
      </c>
      <c r="AF253" s="94" t="s">
        <v>2269</v>
      </c>
      <c r="AG253" s="97" t="s">
        <v>2054</v>
      </c>
    </row>
    <row r="254" spans="1:33">
      <c r="A254" s="14">
        <v>253</v>
      </c>
      <c r="B254" s="14" t="s">
        <v>312</v>
      </c>
      <c r="C254" s="14" t="s">
        <v>312</v>
      </c>
      <c r="D254" s="15" t="s">
        <v>1718</v>
      </c>
      <c r="E254" s="16" t="s">
        <v>2270</v>
      </c>
      <c r="F254" s="32" t="s">
        <v>2271</v>
      </c>
      <c r="G254" s="17" t="s">
        <v>2272</v>
      </c>
      <c r="H254" s="18" t="s">
        <v>2273</v>
      </c>
      <c r="I254" s="16" t="s">
        <v>1718</v>
      </c>
      <c r="J254" s="16" t="s">
        <v>43</v>
      </c>
      <c r="K254" s="16" t="s">
        <v>1718</v>
      </c>
      <c r="L254" s="16"/>
      <c r="M254" s="16"/>
      <c r="N254" s="16"/>
      <c r="O254" s="16"/>
      <c r="P254" s="16"/>
      <c r="Q254" s="16"/>
      <c r="R254" s="16"/>
      <c r="S254" s="19"/>
      <c r="T254" s="20" t="s">
        <v>40</v>
      </c>
      <c r="U254" s="16"/>
      <c r="V254" s="16"/>
      <c r="W254" s="30" t="s">
        <v>1718</v>
      </c>
      <c r="X254" s="18" t="s">
        <v>78</v>
      </c>
      <c r="Y254" s="18" t="s">
        <v>43</v>
      </c>
      <c r="Z254" s="18" t="s">
        <v>1815</v>
      </c>
      <c r="AA254" s="16" t="s">
        <v>1816</v>
      </c>
      <c r="AB254" s="16" t="s">
        <v>1817</v>
      </c>
      <c r="AC254" s="16" t="s">
        <v>1818</v>
      </c>
      <c r="AD254" s="123" t="str">
        <f t="shared" si="3"/>
        <v>Internal Transfer</v>
      </c>
      <c r="AE254" s="123" t="str">
        <f>VLOOKUP(Table1[[#This Row],[Name of bank]],'اكواد البنوك'!$A$2:$B$34,2,0)</f>
        <v>NBEGEGCXXXX</v>
      </c>
      <c r="AF254" s="30" t="s">
        <v>1718</v>
      </c>
      <c r="AG254" s="15" t="s">
        <v>49</v>
      </c>
    </row>
    <row r="255" spans="1:33">
      <c r="A255" s="14">
        <v>254</v>
      </c>
      <c r="B255" s="14" t="str">
        <f>B254</f>
        <v>4th Floor</v>
      </c>
      <c r="C255" s="14" t="s">
        <v>4153</v>
      </c>
      <c r="D255" s="15" t="s">
        <v>1831</v>
      </c>
      <c r="E255" s="16" t="s">
        <v>2274</v>
      </c>
      <c r="F255" s="32" t="s">
        <v>2275</v>
      </c>
      <c r="G255" s="17" t="s">
        <v>2276</v>
      </c>
      <c r="H255" s="18" t="s">
        <v>2277</v>
      </c>
      <c r="I255" s="16"/>
      <c r="J255" s="16"/>
      <c r="K255" s="16" t="s">
        <v>1831</v>
      </c>
      <c r="L255" s="16" t="s">
        <v>1836</v>
      </c>
      <c r="M255" s="16">
        <v>57272381</v>
      </c>
      <c r="N255" s="16" t="s">
        <v>2278</v>
      </c>
      <c r="O255" s="16"/>
      <c r="P255" s="16"/>
      <c r="Q255" s="16"/>
      <c r="R255" s="16"/>
      <c r="S255" s="19"/>
      <c r="T255" s="20" t="s">
        <v>1837</v>
      </c>
      <c r="U255" s="16"/>
      <c r="V255" s="16"/>
      <c r="W255" s="30" t="s">
        <v>1838</v>
      </c>
      <c r="X255" s="18" t="s">
        <v>97</v>
      </c>
      <c r="Y255" s="18" t="s">
        <v>98</v>
      </c>
      <c r="Z255" s="18" t="s">
        <v>1815</v>
      </c>
      <c r="AA255" s="16" t="s">
        <v>1816</v>
      </c>
      <c r="AB255" s="16" t="s">
        <v>1817</v>
      </c>
      <c r="AC255" s="16" t="s">
        <v>1818</v>
      </c>
      <c r="AD255" s="123" t="str">
        <f t="shared" si="3"/>
        <v>FUE</v>
      </c>
      <c r="AE255" s="123" t="str">
        <f>VLOOKUP(Table1[[#This Row],[Name of bank]],'اكواد البنوك'!$A$2:$B$34,2,0)</f>
        <v>FUE</v>
      </c>
      <c r="AF255" s="21" t="s">
        <v>1838</v>
      </c>
      <c r="AG255" s="15" t="s">
        <v>49</v>
      </c>
    </row>
    <row r="256" spans="1:33">
      <c r="A256" s="14">
        <v>255</v>
      </c>
      <c r="B256" s="14" t="str">
        <f>B255</f>
        <v>4th Floor</v>
      </c>
      <c r="C256" s="14" t="s">
        <v>4419</v>
      </c>
      <c r="D256" s="15" t="s">
        <v>1839</v>
      </c>
      <c r="E256" s="16" t="s">
        <v>2279</v>
      </c>
      <c r="F256" s="32" t="s">
        <v>2280</v>
      </c>
      <c r="G256" s="17" t="s">
        <v>2281</v>
      </c>
      <c r="H256" s="18" t="s">
        <v>2282</v>
      </c>
      <c r="I256" s="16" t="s">
        <v>2283</v>
      </c>
      <c r="J256" s="16" t="s">
        <v>86</v>
      </c>
      <c r="K256" s="16" t="s">
        <v>2284</v>
      </c>
      <c r="L256" s="16" t="s">
        <v>136</v>
      </c>
      <c r="M256" s="16" t="s">
        <v>977</v>
      </c>
      <c r="N256" s="16">
        <v>29209022500312</v>
      </c>
      <c r="O256" s="16" t="s">
        <v>2285</v>
      </c>
      <c r="P256" s="16" t="s">
        <v>2286</v>
      </c>
      <c r="Q256" s="16" t="s">
        <v>1815</v>
      </c>
      <c r="R256" s="16" t="s">
        <v>1849</v>
      </c>
      <c r="S256" s="19" t="s">
        <v>2287</v>
      </c>
      <c r="T256" s="20" t="s">
        <v>40</v>
      </c>
      <c r="U256" s="16" t="s">
        <v>2288</v>
      </c>
      <c r="V256" s="16" t="s">
        <v>2289</v>
      </c>
      <c r="W256" s="30" t="s">
        <v>2290</v>
      </c>
      <c r="X256" s="18" t="s">
        <v>97</v>
      </c>
      <c r="Y256" s="18" t="s">
        <v>98</v>
      </c>
      <c r="Z256" s="18" t="s">
        <v>1815</v>
      </c>
      <c r="AA256" s="16" t="s">
        <v>1816</v>
      </c>
      <c r="AB256" s="16" t="s">
        <v>1817</v>
      </c>
      <c r="AC256" s="16" t="s">
        <v>1818</v>
      </c>
      <c r="AD256" s="123" t="str">
        <f t="shared" si="3"/>
        <v>External Transfer-NBE</v>
      </c>
      <c r="AE256" s="123" t="str">
        <f>VLOOKUP(Table1[[#This Row],[Name of bank]],'اكواد البنوك'!$A$2:$B$34,2,0)</f>
        <v>NBEGEGCXXXX</v>
      </c>
      <c r="AF256" s="21" t="s">
        <v>2291</v>
      </c>
      <c r="AG256" s="15" t="s">
        <v>49</v>
      </c>
    </row>
    <row r="257" spans="1:33">
      <c r="A257" s="14">
        <v>256</v>
      </c>
      <c r="B257" s="14" t="s">
        <v>2292</v>
      </c>
      <c r="C257" s="14" t="e">
        <v>#N/A</v>
      </c>
      <c r="D257" s="15" t="s">
        <v>1831</v>
      </c>
      <c r="E257" s="16" t="s">
        <v>2293</v>
      </c>
      <c r="F257" s="32" t="s">
        <v>2294</v>
      </c>
      <c r="G257" s="17" t="s">
        <v>2295</v>
      </c>
      <c r="H257" s="18" t="s">
        <v>2296</v>
      </c>
      <c r="I257" s="16"/>
      <c r="J257" s="16"/>
      <c r="K257" s="16" t="s">
        <v>1831</v>
      </c>
      <c r="L257" s="16" t="s">
        <v>1836</v>
      </c>
      <c r="M257" s="16">
        <v>19661051</v>
      </c>
      <c r="N257" s="16">
        <v>28811060100717</v>
      </c>
      <c r="O257" s="16"/>
      <c r="P257" s="16"/>
      <c r="Q257" s="16"/>
      <c r="R257" s="16"/>
      <c r="S257" s="19"/>
      <c r="T257" s="20" t="s">
        <v>1837</v>
      </c>
      <c r="U257" s="16"/>
      <c r="V257" s="16"/>
      <c r="W257" s="30" t="s">
        <v>1838</v>
      </c>
      <c r="X257" s="18" t="s">
        <v>542</v>
      </c>
      <c r="Y257" s="18" t="s">
        <v>98</v>
      </c>
      <c r="Z257" s="18" t="s">
        <v>1815</v>
      </c>
      <c r="AA257" s="16" t="s">
        <v>1816</v>
      </c>
      <c r="AB257" s="16" t="s">
        <v>1817</v>
      </c>
      <c r="AC257" s="16" t="s">
        <v>1818</v>
      </c>
      <c r="AD257" s="123" t="str">
        <f t="shared" si="3"/>
        <v>FUE</v>
      </c>
      <c r="AE257" s="123" t="str">
        <f>VLOOKUP(Table1[[#This Row],[Name of bank]],'اكواد البنوك'!$A$2:$B$34,2,0)</f>
        <v>FUE</v>
      </c>
      <c r="AF257" s="21" t="s">
        <v>1838</v>
      </c>
      <c r="AG257" s="15" t="s">
        <v>49</v>
      </c>
    </row>
    <row r="258" spans="1:33">
      <c r="A258" s="14">
        <v>257</v>
      </c>
      <c r="B258" s="14" t="str">
        <f>B257</f>
        <v>A401</v>
      </c>
      <c r="C258" s="14" t="e">
        <v>#N/A</v>
      </c>
      <c r="D258" s="15" t="s">
        <v>1839</v>
      </c>
      <c r="E258" s="16" t="s">
        <v>2297</v>
      </c>
      <c r="F258" s="32" t="s">
        <v>2298</v>
      </c>
      <c r="G258" s="17" t="s">
        <v>2299</v>
      </c>
      <c r="H258" s="18" t="s">
        <v>2300</v>
      </c>
      <c r="I258" s="16" t="s">
        <v>2301</v>
      </c>
      <c r="J258" s="16" t="s">
        <v>86</v>
      </c>
      <c r="K258" s="16" t="s">
        <v>2302</v>
      </c>
      <c r="L258" s="16">
        <v>49485008</v>
      </c>
      <c r="M258" s="16" t="s">
        <v>234</v>
      </c>
      <c r="N258" s="16">
        <v>28703092401096</v>
      </c>
      <c r="O258" s="16" t="s">
        <v>2303</v>
      </c>
      <c r="P258" s="16" t="s">
        <v>2304</v>
      </c>
      <c r="Q258" s="16" t="s">
        <v>1815</v>
      </c>
      <c r="R258" s="16" t="s">
        <v>1849</v>
      </c>
      <c r="S258" s="87" t="s">
        <v>2305</v>
      </c>
      <c r="T258" s="87" t="s">
        <v>176</v>
      </c>
      <c r="U258" s="87" t="s">
        <v>1943</v>
      </c>
      <c r="V258" s="73" t="s">
        <v>2306</v>
      </c>
      <c r="W258" s="74" t="s">
        <v>2307</v>
      </c>
      <c r="X258" s="18" t="s">
        <v>542</v>
      </c>
      <c r="Y258" s="18" t="s">
        <v>98</v>
      </c>
      <c r="Z258" s="18" t="s">
        <v>1815</v>
      </c>
      <c r="AA258" s="16" t="s">
        <v>1816</v>
      </c>
      <c r="AB258" s="16" t="s">
        <v>1817</v>
      </c>
      <c r="AC258" s="16" t="s">
        <v>1818</v>
      </c>
      <c r="AD258" s="123" t="str">
        <f t="shared" ref="AD258:AD321" si="4">IF(ISNUMBER(SEARCH("EXTERNAL CASH",T258)),
   "EXTERNAL CASH",
   IF(ISNUMBER(SEARCH("شيك من القاهرة",T258)),
      "FUE",
      IF(ISNUMBER(SEARCH("INTERNAL CASH",T258)),
         "INTRNAL CASH",
         IF(Y258="IP",
            "Internal Transfer",
            IF(ISNUMBER(SEARCH("National Bank of Egypt",T258)),
               "External Transfer-NBE",
               "External Transfer-Other banks"
            )
         )
      )
   )
)</f>
        <v>External Transfer-Other banks</v>
      </c>
      <c r="AE258" s="124" t="s">
        <v>180</v>
      </c>
      <c r="AF258" s="94" t="s">
        <v>2291</v>
      </c>
      <c r="AG258" s="97" t="s">
        <v>2054</v>
      </c>
    </row>
    <row r="259" spans="1:33">
      <c r="A259" s="14">
        <v>258</v>
      </c>
      <c r="B259" s="14" t="str">
        <f>B258</f>
        <v>A401</v>
      </c>
      <c r="C259" s="14">
        <v>4</v>
      </c>
      <c r="D259" s="15" t="s">
        <v>1839</v>
      </c>
      <c r="E259" s="16" t="s">
        <v>2308</v>
      </c>
      <c r="F259" s="32" t="s">
        <v>2309</v>
      </c>
      <c r="G259" s="17" t="s">
        <v>2310</v>
      </c>
      <c r="H259" s="18" t="s">
        <v>2311</v>
      </c>
      <c r="I259" s="16" t="s">
        <v>2312</v>
      </c>
      <c r="J259" s="16" t="s">
        <v>86</v>
      </c>
      <c r="K259" s="16" t="s">
        <v>2313</v>
      </c>
      <c r="L259" s="16">
        <v>272499</v>
      </c>
      <c r="M259" s="16" t="s">
        <v>977</v>
      </c>
      <c r="N259" s="16">
        <v>28312202401438</v>
      </c>
      <c r="O259" s="16" t="s">
        <v>2314</v>
      </c>
      <c r="P259" s="16" t="s">
        <v>2315</v>
      </c>
      <c r="Q259" s="16" t="s">
        <v>1815</v>
      </c>
      <c r="R259" s="16" t="s">
        <v>1849</v>
      </c>
      <c r="S259" s="19" t="s">
        <v>2308</v>
      </c>
      <c r="T259" s="20" t="s">
        <v>307</v>
      </c>
      <c r="U259" s="16" t="s">
        <v>2316</v>
      </c>
      <c r="V259" s="16" t="s">
        <v>2317</v>
      </c>
      <c r="W259" s="30" t="s">
        <v>2318</v>
      </c>
      <c r="X259" s="18" t="s">
        <v>542</v>
      </c>
      <c r="Y259" s="18" t="s">
        <v>98</v>
      </c>
      <c r="Z259" s="18" t="s">
        <v>1815</v>
      </c>
      <c r="AA259" s="16" t="s">
        <v>1816</v>
      </c>
      <c r="AB259" s="16" t="s">
        <v>1817</v>
      </c>
      <c r="AC259" s="16" t="s">
        <v>1818</v>
      </c>
      <c r="AD259" s="123" t="str">
        <f t="shared" si="4"/>
        <v>External Transfer-Other banks</v>
      </c>
      <c r="AE259" s="123" t="str">
        <f>VLOOKUP(Table1[[#This Row],[Name of bank]],'اكواد البنوك'!$A$2:$B$34,2,0)</f>
        <v>CIBEEGCXXXX</v>
      </c>
      <c r="AF259" s="21" t="s">
        <v>2319</v>
      </c>
      <c r="AG259" s="15" t="s">
        <v>49</v>
      </c>
    </row>
    <row r="260" spans="1:33">
      <c r="A260" s="14">
        <v>259</v>
      </c>
      <c r="B260" s="14" t="s">
        <v>2322</v>
      </c>
      <c r="C260" s="14" t="e">
        <v>#N/A</v>
      </c>
      <c r="D260" s="15" t="s">
        <v>1831</v>
      </c>
      <c r="E260" s="16" t="s">
        <v>2323</v>
      </c>
      <c r="F260" s="32" t="s">
        <v>10128</v>
      </c>
      <c r="G260" s="17" t="s">
        <v>2324</v>
      </c>
      <c r="H260" s="18" t="s">
        <v>2325</v>
      </c>
      <c r="I260" s="16"/>
      <c r="J260" s="16"/>
      <c r="K260" s="16" t="s">
        <v>1831</v>
      </c>
      <c r="L260" s="16"/>
      <c r="M260" s="16"/>
      <c r="N260" s="16"/>
      <c r="O260" s="16"/>
      <c r="P260" s="16"/>
      <c r="Q260" s="16"/>
      <c r="R260" s="16"/>
      <c r="S260" s="19"/>
      <c r="T260" s="20" t="s">
        <v>1837</v>
      </c>
      <c r="U260" s="16"/>
      <c r="V260" s="16"/>
      <c r="W260" s="30" t="s">
        <v>1838</v>
      </c>
      <c r="X260" s="18" t="s">
        <v>542</v>
      </c>
      <c r="Y260" s="18" t="s">
        <v>98</v>
      </c>
      <c r="Z260" s="18" t="s">
        <v>1815</v>
      </c>
      <c r="AA260" s="16" t="s">
        <v>1816</v>
      </c>
      <c r="AB260" s="16" t="s">
        <v>1817</v>
      </c>
      <c r="AC260" s="16" t="s">
        <v>1818</v>
      </c>
      <c r="AD260" s="123" t="str">
        <f t="shared" si="4"/>
        <v>FUE</v>
      </c>
      <c r="AE260" s="123" t="str">
        <f>VLOOKUP(Table1[[#This Row],[Name of bank]],'اكواد البنوك'!$A$2:$B$34,2,0)</f>
        <v>FUE</v>
      </c>
      <c r="AF260" s="21" t="s">
        <v>1838</v>
      </c>
      <c r="AG260" s="15" t="s">
        <v>49</v>
      </c>
    </row>
    <row r="261" spans="1:33">
      <c r="A261" s="14">
        <v>260</v>
      </c>
      <c r="B261" s="14" t="str">
        <f>B260</f>
        <v>A403</v>
      </c>
      <c r="C261" s="14" t="e">
        <v>#N/A</v>
      </c>
      <c r="D261" s="15" t="s">
        <v>1839</v>
      </c>
      <c r="E261" s="16" t="s">
        <v>2326</v>
      </c>
      <c r="F261" s="32" t="s">
        <v>10156</v>
      </c>
      <c r="G261" s="17" t="s">
        <v>2327</v>
      </c>
      <c r="H261" s="18" t="s">
        <v>2328</v>
      </c>
      <c r="I261" s="16" t="s">
        <v>2329</v>
      </c>
      <c r="J261" s="16" t="s">
        <v>86</v>
      </c>
      <c r="K261" s="16" t="s">
        <v>2330</v>
      </c>
      <c r="L261" s="16">
        <v>73424277</v>
      </c>
      <c r="M261" s="16" t="s">
        <v>136</v>
      </c>
      <c r="N261" s="16">
        <v>28802272401041</v>
      </c>
      <c r="O261" s="16" t="s">
        <v>2331</v>
      </c>
      <c r="P261" s="16" t="s">
        <v>2332</v>
      </c>
      <c r="Q261" s="16" t="s">
        <v>1815</v>
      </c>
      <c r="R261" s="16" t="s">
        <v>1849</v>
      </c>
      <c r="S261" s="19" t="s">
        <v>2333</v>
      </c>
      <c r="T261" s="20" t="s">
        <v>307</v>
      </c>
      <c r="U261" s="16" t="s">
        <v>2334</v>
      </c>
      <c r="V261" s="16" t="s">
        <v>2335</v>
      </c>
      <c r="W261" s="30" t="s">
        <v>2336</v>
      </c>
      <c r="X261" s="18" t="s">
        <v>542</v>
      </c>
      <c r="Y261" s="18" t="s">
        <v>98</v>
      </c>
      <c r="Z261" s="18" t="s">
        <v>1815</v>
      </c>
      <c r="AA261" s="16" t="s">
        <v>1816</v>
      </c>
      <c r="AB261" s="16" t="s">
        <v>1817</v>
      </c>
      <c r="AC261" s="16" t="s">
        <v>1818</v>
      </c>
      <c r="AD261" s="123" t="str">
        <f t="shared" si="4"/>
        <v>External Transfer-Other banks</v>
      </c>
      <c r="AE261" s="123" t="str">
        <f>VLOOKUP(Table1[[#This Row],[Name of bank]],'اكواد البنوك'!$A$2:$B$34,2,0)</f>
        <v>CIBEEGCXXXX</v>
      </c>
      <c r="AF261" s="21" t="s">
        <v>2337</v>
      </c>
      <c r="AG261" s="15" t="s">
        <v>49</v>
      </c>
    </row>
    <row r="262" spans="1:33">
      <c r="A262" s="14">
        <v>261</v>
      </c>
      <c r="B262" s="14" t="str">
        <f>B261</f>
        <v>A403</v>
      </c>
      <c r="C262" s="14" t="e">
        <v>#N/A</v>
      </c>
      <c r="D262" s="15" t="s">
        <v>1839</v>
      </c>
      <c r="E262" s="16" t="s">
        <v>2338</v>
      </c>
      <c r="F262" s="32" t="s">
        <v>2339</v>
      </c>
      <c r="G262" s="17" t="s">
        <v>2340</v>
      </c>
      <c r="H262" s="18" t="s">
        <v>2341</v>
      </c>
      <c r="I262" s="16" t="s">
        <v>2342</v>
      </c>
      <c r="J262" s="16" t="s">
        <v>86</v>
      </c>
      <c r="K262" s="16" t="s">
        <v>148</v>
      </c>
      <c r="L262" s="16" t="s">
        <v>136</v>
      </c>
      <c r="M262" s="16" t="s">
        <v>977</v>
      </c>
      <c r="N262" s="16">
        <v>268201100102904</v>
      </c>
      <c r="O262" s="16" t="s">
        <v>2343</v>
      </c>
      <c r="P262" s="16" t="s">
        <v>2344</v>
      </c>
      <c r="Q262" s="16" t="s">
        <v>1815</v>
      </c>
      <c r="R262" s="16" t="s">
        <v>1849</v>
      </c>
      <c r="S262" s="76" t="s">
        <v>2338</v>
      </c>
      <c r="T262" s="76" t="s">
        <v>93</v>
      </c>
      <c r="U262" s="76" t="s">
        <v>2345</v>
      </c>
      <c r="V262" s="73" t="s">
        <v>10301</v>
      </c>
      <c r="W262" s="74" t="s">
        <v>2346</v>
      </c>
      <c r="X262" s="18" t="s">
        <v>542</v>
      </c>
      <c r="Y262" s="18" t="s">
        <v>98</v>
      </c>
      <c r="Z262" s="18" t="s">
        <v>1815</v>
      </c>
      <c r="AA262" s="16" t="s">
        <v>1816</v>
      </c>
      <c r="AB262" s="16" t="s">
        <v>1817</v>
      </c>
      <c r="AC262" s="16" t="s">
        <v>1818</v>
      </c>
      <c r="AD262" s="123" t="str">
        <f t="shared" si="4"/>
        <v>External Transfer-Other banks</v>
      </c>
      <c r="AE262" s="125" t="s">
        <v>99</v>
      </c>
      <c r="AF262" s="110" t="s">
        <v>2347</v>
      </c>
      <c r="AG262" s="111" t="s">
        <v>2054</v>
      </c>
    </row>
    <row r="263" spans="1:33">
      <c r="A263" s="14">
        <v>262</v>
      </c>
      <c r="B263" s="14" t="s">
        <v>2348</v>
      </c>
      <c r="C263" s="14" t="e">
        <v>#N/A</v>
      </c>
      <c r="D263" s="15" t="s">
        <v>1831</v>
      </c>
      <c r="E263" s="16" t="s">
        <v>2349</v>
      </c>
      <c r="F263" s="32" t="s">
        <v>2350</v>
      </c>
      <c r="G263" s="17" t="s">
        <v>2351</v>
      </c>
      <c r="H263" s="18" t="s">
        <v>2352</v>
      </c>
      <c r="I263" s="16">
        <v>29205210101683</v>
      </c>
      <c r="J263" s="16" t="s">
        <v>1996</v>
      </c>
      <c r="K263" s="16" t="s">
        <v>1831</v>
      </c>
      <c r="L263" s="16"/>
      <c r="M263" s="16"/>
      <c r="N263" s="16"/>
      <c r="O263" s="16"/>
      <c r="P263" s="16"/>
      <c r="Q263" s="16"/>
      <c r="R263" s="16"/>
      <c r="S263" s="19"/>
      <c r="T263" s="20" t="s">
        <v>1837</v>
      </c>
      <c r="U263" s="16"/>
      <c r="V263" s="16"/>
      <c r="W263" s="30" t="s">
        <v>1838</v>
      </c>
      <c r="X263" s="18" t="s">
        <v>127</v>
      </c>
      <c r="Y263" s="18" t="s">
        <v>98</v>
      </c>
      <c r="Z263" s="18" t="s">
        <v>1815</v>
      </c>
      <c r="AA263" s="16" t="s">
        <v>1816</v>
      </c>
      <c r="AB263" s="16" t="s">
        <v>1817</v>
      </c>
      <c r="AC263" s="16" t="s">
        <v>1818</v>
      </c>
      <c r="AD263" s="123" t="str">
        <f t="shared" si="4"/>
        <v>FUE</v>
      </c>
      <c r="AE263" s="123" t="str">
        <f>VLOOKUP(Table1[[#This Row],[Name of bank]],'اكواد البنوك'!$A$2:$B$34,2,0)</f>
        <v>FUE</v>
      </c>
      <c r="AF263" s="21" t="s">
        <v>1838</v>
      </c>
      <c r="AG263" s="15" t="s">
        <v>49</v>
      </c>
    </row>
    <row r="264" spans="1:33">
      <c r="A264" s="14">
        <v>263</v>
      </c>
      <c r="B264" s="14" t="str">
        <f>B263</f>
        <v>A414</v>
      </c>
      <c r="C264" s="14" t="e">
        <v>#N/A</v>
      </c>
      <c r="D264" s="15" t="s">
        <v>1839</v>
      </c>
      <c r="E264" s="16" t="s">
        <v>2353</v>
      </c>
      <c r="F264" s="32" t="s">
        <v>10066</v>
      </c>
      <c r="G264" s="17" t="s">
        <v>2355</v>
      </c>
      <c r="H264" s="18" t="s">
        <v>2356</v>
      </c>
      <c r="I264" s="16" t="s">
        <v>2357</v>
      </c>
      <c r="J264" s="16" t="s">
        <v>86</v>
      </c>
      <c r="K264" s="16" t="s">
        <v>2358</v>
      </c>
      <c r="L264" s="16" t="s">
        <v>2359</v>
      </c>
      <c r="M264" s="16" t="s">
        <v>2360</v>
      </c>
      <c r="N264" s="16">
        <v>28501080102644</v>
      </c>
      <c r="O264" s="16" t="s">
        <v>2361</v>
      </c>
      <c r="P264" s="16" t="s">
        <v>2362</v>
      </c>
      <c r="Q264" s="16" t="s">
        <v>1815</v>
      </c>
      <c r="R264" s="16" t="s">
        <v>1882</v>
      </c>
      <c r="S264" s="19" t="s">
        <v>2354</v>
      </c>
      <c r="T264" s="20" t="s">
        <v>307</v>
      </c>
      <c r="U264" s="16" t="s">
        <v>2363</v>
      </c>
      <c r="V264" s="16" t="s">
        <v>2364</v>
      </c>
      <c r="W264" s="30" t="s">
        <v>2365</v>
      </c>
      <c r="X264" s="18" t="s">
        <v>542</v>
      </c>
      <c r="Y264" s="18" t="s">
        <v>98</v>
      </c>
      <c r="Z264" s="18" t="s">
        <v>1815</v>
      </c>
      <c r="AA264" s="16" t="s">
        <v>1816</v>
      </c>
      <c r="AB264" s="16" t="s">
        <v>1817</v>
      </c>
      <c r="AC264" s="16" t="s">
        <v>1818</v>
      </c>
      <c r="AD264" s="123" t="str">
        <f t="shared" si="4"/>
        <v>External Transfer-Other banks</v>
      </c>
      <c r="AE264" s="123" t="str">
        <f>VLOOKUP(Table1[[#This Row],[Name of bank]],'اكواد البنوك'!$A$2:$B$34,2,0)</f>
        <v>CIBEEGCXXXX</v>
      </c>
      <c r="AF264" s="21" t="s">
        <v>2366</v>
      </c>
      <c r="AG264" s="15" t="s">
        <v>49</v>
      </c>
    </row>
    <row r="265" spans="1:33">
      <c r="A265" s="14">
        <v>264</v>
      </c>
      <c r="B265" s="14" t="str">
        <f>B264</f>
        <v>A414</v>
      </c>
      <c r="C265" s="14" t="e">
        <v>#N/A</v>
      </c>
      <c r="D265" s="15" t="s">
        <v>1839</v>
      </c>
      <c r="E265" s="16" t="s">
        <v>2367</v>
      </c>
      <c r="F265" s="32" t="s">
        <v>10147</v>
      </c>
      <c r="G265" s="17" t="s">
        <v>2368</v>
      </c>
      <c r="H265" s="18" t="s">
        <v>2369</v>
      </c>
      <c r="I265" s="16" t="s">
        <v>2370</v>
      </c>
      <c r="J265" s="16" t="s">
        <v>86</v>
      </c>
      <c r="K265" s="16" t="s">
        <v>2371</v>
      </c>
      <c r="L265" s="16">
        <v>52436927</v>
      </c>
      <c r="M265" s="16" t="s">
        <v>136</v>
      </c>
      <c r="N265" s="16">
        <v>27309010105288</v>
      </c>
      <c r="O265" s="16" t="s">
        <v>2372</v>
      </c>
      <c r="P265" s="16" t="s">
        <v>2373</v>
      </c>
      <c r="Q265" s="16" t="s">
        <v>1815</v>
      </c>
      <c r="R265" s="16" t="s">
        <v>1849</v>
      </c>
      <c r="S265" s="19" t="s">
        <v>2374</v>
      </c>
      <c r="T265" s="20" t="s">
        <v>40</v>
      </c>
      <c r="U265" s="16" t="s">
        <v>2375</v>
      </c>
      <c r="V265" s="16" t="s">
        <v>2376</v>
      </c>
      <c r="W265" s="30" t="s">
        <v>2377</v>
      </c>
      <c r="X265" s="18" t="s">
        <v>542</v>
      </c>
      <c r="Y265" s="18" t="s">
        <v>98</v>
      </c>
      <c r="Z265" s="18" t="s">
        <v>1815</v>
      </c>
      <c r="AA265" s="16" t="s">
        <v>1816</v>
      </c>
      <c r="AB265" s="16" t="s">
        <v>1817</v>
      </c>
      <c r="AC265" s="16" t="s">
        <v>1818</v>
      </c>
      <c r="AD265" s="123" t="str">
        <f t="shared" si="4"/>
        <v>External Transfer-NBE</v>
      </c>
      <c r="AE265" s="123" t="str">
        <f>VLOOKUP(Table1[[#This Row],[Name of bank]],'اكواد البنوك'!$A$2:$B$34,2,0)</f>
        <v>NBEGEGCXXXX</v>
      </c>
      <c r="AF265" s="21" t="s">
        <v>2378</v>
      </c>
      <c r="AG265" s="15" t="s">
        <v>49</v>
      </c>
    </row>
    <row r="266" spans="1:33">
      <c r="A266" s="14">
        <v>265</v>
      </c>
      <c r="B266" s="14" t="s">
        <v>2379</v>
      </c>
      <c r="C266" s="14" t="e">
        <v>#N/A</v>
      </c>
      <c r="D266" s="15" t="s">
        <v>1839</v>
      </c>
      <c r="E266" s="16" t="s">
        <v>2380</v>
      </c>
      <c r="F266" s="32" t="s">
        <v>2381</v>
      </c>
      <c r="G266" s="17" t="s">
        <v>2382</v>
      </c>
      <c r="H266" s="18" t="s">
        <v>2383</v>
      </c>
      <c r="I266" s="16" t="s">
        <v>1868</v>
      </c>
      <c r="J266" s="16" t="s">
        <v>86</v>
      </c>
      <c r="K266" s="16" t="s">
        <v>160</v>
      </c>
      <c r="L266" s="16">
        <v>77421397</v>
      </c>
      <c r="M266" s="16" t="s">
        <v>234</v>
      </c>
      <c r="N266" s="16">
        <v>29405270101568</v>
      </c>
      <c r="O266" s="16" t="s">
        <v>2384</v>
      </c>
      <c r="P266" s="16" t="s">
        <v>2385</v>
      </c>
      <c r="Q266" s="16" t="s">
        <v>1815</v>
      </c>
      <c r="R266" s="16" t="s">
        <v>1849</v>
      </c>
      <c r="S266" s="19" t="s">
        <v>2386</v>
      </c>
      <c r="T266" s="20" t="s">
        <v>40</v>
      </c>
      <c r="U266" s="16" t="s">
        <v>2387</v>
      </c>
      <c r="V266" s="16" t="s">
        <v>2388</v>
      </c>
      <c r="W266" s="30" t="s">
        <v>2389</v>
      </c>
      <c r="X266" s="18" t="s">
        <v>542</v>
      </c>
      <c r="Y266" s="18" t="s">
        <v>98</v>
      </c>
      <c r="Z266" s="18" t="s">
        <v>1815</v>
      </c>
      <c r="AA266" s="16" t="s">
        <v>1816</v>
      </c>
      <c r="AB266" s="16" t="s">
        <v>1817</v>
      </c>
      <c r="AC266" s="16" t="s">
        <v>1818</v>
      </c>
      <c r="AD266" s="123" t="str">
        <f t="shared" si="4"/>
        <v>External Transfer-NBE</v>
      </c>
      <c r="AE266" s="123" t="str">
        <f>VLOOKUP(Table1[[#This Row],[Name of bank]],'اكواد البنوك'!$A$2:$B$34,2,0)</f>
        <v>NBEGEGCXXXX</v>
      </c>
      <c r="AF266" s="21" t="s">
        <v>2390</v>
      </c>
      <c r="AG266" s="15" t="s">
        <v>49</v>
      </c>
    </row>
    <row r="267" spans="1:33">
      <c r="A267" s="14">
        <v>266</v>
      </c>
      <c r="B267" s="14" t="str">
        <f>B266</f>
        <v>A415</v>
      </c>
      <c r="C267" s="14" t="e">
        <v>#N/A</v>
      </c>
      <c r="D267" s="15" t="s">
        <v>1839</v>
      </c>
      <c r="E267" s="16" t="s">
        <v>2391</v>
      </c>
      <c r="F267" s="32" t="s">
        <v>2392</v>
      </c>
      <c r="G267" s="17" t="s">
        <v>2393</v>
      </c>
      <c r="H267" s="18" t="s">
        <v>2394</v>
      </c>
      <c r="I267" s="16" t="s">
        <v>2395</v>
      </c>
      <c r="J267" s="16" t="s">
        <v>2035</v>
      </c>
      <c r="K267" s="16" t="s">
        <v>2396</v>
      </c>
      <c r="L267" s="16">
        <v>35203104</v>
      </c>
      <c r="M267" s="16">
        <v>100635792</v>
      </c>
      <c r="N267" s="16">
        <v>28406030104619</v>
      </c>
      <c r="O267" s="16" t="s">
        <v>2397</v>
      </c>
      <c r="P267" s="16" t="s">
        <v>2398</v>
      </c>
      <c r="Q267" s="16" t="s">
        <v>1815</v>
      </c>
      <c r="R267" s="16" t="s">
        <v>1882</v>
      </c>
      <c r="S267" s="96" t="s">
        <v>2392</v>
      </c>
      <c r="T267" s="96" t="s">
        <v>40</v>
      </c>
      <c r="U267" s="96" t="s">
        <v>2399</v>
      </c>
      <c r="V267" s="73" t="s">
        <v>10302</v>
      </c>
      <c r="W267" s="74" t="s">
        <v>2400</v>
      </c>
      <c r="X267" s="18" t="s">
        <v>542</v>
      </c>
      <c r="Y267" s="18" t="s">
        <v>98</v>
      </c>
      <c r="Z267" s="18" t="s">
        <v>1815</v>
      </c>
      <c r="AA267" s="16" t="s">
        <v>1816</v>
      </c>
      <c r="AB267" s="16" t="s">
        <v>1817</v>
      </c>
      <c r="AC267" s="16" t="s">
        <v>1818</v>
      </c>
      <c r="AD267" s="123" t="str">
        <f t="shared" si="4"/>
        <v>External Transfer-NBE</v>
      </c>
      <c r="AE267" s="123" t="str">
        <f>VLOOKUP(Table1[[#This Row],[Name of bank]],'اكواد البنوك'!$A$2:$B$34,2,0)</f>
        <v>NBEGEGCXXXX</v>
      </c>
      <c r="AF267" s="94" t="s">
        <v>6875</v>
      </c>
      <c r="AG267" s="97" t="s">
        <v>1073</v>
      </c>
    </row>
    <row r="268" spans="1:33">
      <c r="A268" s="14">
        <v>267</v>
      </c>
      <c r="B268" s="14" t="str">
        <f>B267</f>
        <v>A415</v>
      </c>
      <c r="C268" s="14" t="e">
        <v>#N/A</v>
      </c>
      <c r="D268" s="15" t="s">
        <v>1831</v>
      </c>
      <c r="E268" s="16" t="s">
        <v>2401</v>
      </c>
      <c r="F268" s="32" t="s">
        <v>2402</v>
      </c>
      <c r="G268" s="17" t="s">
        <v>2403</v>
      </c>
      <c r="H268" s="18" t="s">
        <v>2404</v>
      </c>
      <c r="I268" s="16"/>
      <c r="J268" s="16"/>
      <c r="K268" s="16" t="s">
        <v>1831</v>
      </c>
      <c r="L268" s="16" t="s">
        <v>1836</v>
      </c>
      <c r="M268" s="16" t="s">
        <v>1996</v>
      </c>
      <c r="N268" s="16">
        <v>29607041400626</v>
      </c>
      <c r="O268" s="16"/>
      <c r="P268" s="16"/>
      <c r="Q268" s="16"/>
      <c r="R268" s="16"/>
      <c r="S268" s="19"/>
      <c r="T268" s="20" t="s">
        <v>1837</v>
      </c>
      <c r="U268" s="16"/>
      <c r="V268" s="16"/>
      <c r="W268" s="30" t="s">
        <v>1838</v>
      </c>
      <c r="X268" s="18" t="s">
        <v>542</v>
      </c>
      <c r="Y268" s="18" t="s">
        <v>98</v>
      </c>
      <c r="Z268" s="18" t="s">
        <v>1815</v>
      </c>
      <c r="AA268" s="16" t="s">
        <v>1816</v>
      </c>
      <c r="AB268" s="16" t="s">
        <v>1817</v>
      </c>
      <c r="AC268" s="16" t="s">
        <v>1818</v>
      </c>
      <c r="AD268" s="123" t="str">
        <f t="shared" si="4"/>
        <v>FUE</v>
      </c>
      <c r="AE268" s="123" t="str">
        <f>VLOOKUP(Table1[[#This Row],[Name of bank]],'اكواد البنوك'!$A$2:$B$34,2,0)</f>
        <v>FUE</v>
      </c>
      <c r="AF268" s="21" t="s">
        <v>1838</v>
      </c>
      <c r="AG268" s="15" t="s">
        <v>49</v>
      </c>
    </row>
    <row r="269" spans="1:33">
      <c r="A269" s="14">
        <v>268</v>
      </c>
      <c r="B269" s="14" t="str">
        <f>B268</f>
        <v>A415</v>
      </c>
      <c r="C269" s="14" t="e">
        <v>#N/A</v>
      </c>
      <c r="D269" s="15" t="s">
        <v>1839</v>
      </c>
      <c r="E269" s="16" t="s">
        <v>2405</v>
      </c>
      <c r="F269" s="32" t="s">
        <v>2406</v>
      </c>
      <c r="G269" s="17" t="s">
        <v>2407</v>
      </c>
      <c r="H269" s="18" t="s">
        <v>2408</v>
      </c>
      <c r="I269" s="16" t="s">
        <v>2409</v>
      </c>
      <c r="J269" s="16" t="s">
        <v>173</v>
      </c>
      <c r="K269" s="16" t="s">
        <v>2196</v>
      </c>
      <c r="L269" s="16">
        <v>58004221</v>
      </c>
      <c r="M269" s="16" t="s">
        <v>136</v>
      </c>
      <c r="N269" s="16">
        <v>28111192102717</v>
      </c>
      <c r="O269" s="16" t="s">
        <v>2410</v>
      </c>
      <c r="P269" s="16" t="s">
        <v>2411</v>
      </c>
      <c r="Q269" s="16" t="s">
        <v>1815</v>
      </c>
      <c r="R269" s="16" t="s">
        <v>1849</v>
      </c>
      <c r="S269" s="19" t="s">
        <v>2412</v>
      </c>
      <c r="T269" s="20" t="s">
        <v>40</v>
      </c>
      <c r="U269" s="16" t="s">
        <v>2413</v>
      </c>
      <c r="V269" s="16" t="s">
        <v>2414</v>
      </c>
      <c r="W269" s="30" t="s">
        <v>2415</v>
      </c>
      <c r="X269" s="18" t="s">
        <v>542</v>
      </c>
      <c r="Y269" s="18" t="s">
        <v>98</v>
      </c>
      <c r="Z269" s="18" t="s">
        <v>1815</v>
      </c>
      <c r="AA269" s="16" t="s">
        <v>1816</v>
      </c>
      <c r="AB269" s="16" t="s">
        <v>1817</v>
      </c>
      <c r="AC269" s="16" t="s">
        <v>1818</v>
      </c>
      <c r="AD269" s="123" t="str">
        <f t="shared" si="4"/>
        <v>External Transfer-NBE</v>
      </c>
      <c r="AE269" s="123" t="str">
        <f>VLOOKUP(Table1[[#This Row],[Name of bank]],'اكواد البنوك'!$A$2:$B$34,2,0)</f>
        <v>NBEGEGCXXXX</v>
      </c>
      <c r="AF269" s="21" t="s">
        <v>2416</v>
      </c>
      <c r="AG269" s="15" t="s">
        <v>49</v>
      </c>
    </row>
    <row r="270" spans="1:33">
      <c r="A270" s="14">
        <v>269</v>
      </c>
      <c r="B270" s="14" t="str">
        <f>B269</f>
        <v>A415</v>
      </c>
      <c r="C270" s="14" t="e">
        <v>#N/A</v>
      </c>
      <c r="D270" s="15" t="s">
        <v>1839</v>
      </c>
      <c r="E270" s="16" t="s">
        <v>2417</v>
      </c>
      <c r="F270" s="32" t="s">
        <v>10192</v>
      </c>
      <c r="G270" s="17" t="s">
        <v>2418</v>
      </c>
      <c r="H270" s="18" t="s">
        <v>2419</v>
      </c>
      <c r="I270" s="16" t="s">
        <v>2420</v>
      </c>
      <c r="J270" s="16" t="s">
        <v>86</v>
      </c>
      <c r="K270" s="16" t="s">
        <v>2421</v>
      </c>
      <c r="L270" s="16">
        <v>74820641</v>
      </c>
      <c r="M270" s="16">
        <v>484568809</v>
      </c>
      <c r="N270" s="16">
        <v>29309291400116</v>
      </c>
      <c r="O270" s="16" t="s">
        <v>2422</v>
      </c>
      <c r="P270" s="16" t="s">
        <v>2423</v>
      </c>
      <c r="Q270" s="16" t="s">
        <v>1815</v>
      </c>
      <c r="R270" s="16" t="s">
        <v>1849</v>
      </c>
      <c r="S270" s="19" t="s">
        <v>2417</v>
      </c>
      <c r="T270" s="20" t="s">
        <v>40</v>
      </c>
      <c r="U270" s="16" t="s">
        <v>2424</v>
      </c>
      <c r="V270" s="16" t="s">
        <v>2425</v>
      </c>
      <c r="W270" s="30" t="s">
        <v>2426</v>
      </c>
      <c r="X270" s="18" t="s">
        <v>542</v>
      </c>
      <c r="Y270" s="18" t="s">
        <v>98</v>
      </c>
      <c r="Z270" s="18" t="s">
        <v>1815</v>
      </c>
      <c r="AA270" s="16" t="s">
        <v>1816</v>
      </c>
      <c r="AB270" s="16" t="s">
        <v>1817</v>
      </c>
      <c r="AC270" s="16" t="s">
        <v>1818</v>
      </c>
      <c r="AD270" s="123" t="str">
        <f t="shared" si="4"/>
        <v>External Transfer-NBE</v>
      </c>
      <c r="AE270" s="123" t="str">
        <f>VLOOKUP(Table1[[#This Row],[Name of bank]],'اكواد البنوك'!$A$2:$B$34,2,0)</f>
        <v>NBEGEGCXXXX</v>
      </c>
      <c r="AF270" s="21" t="s">
        <v>2427</v>
      </c>
      <c r="AG270" s="15" t="s">
        <v>49</v>
      </c>
    </row>
    <row r="271" spans="1:33">
      <c r="A271" s="14">
        <v>270</v>
      </c>
      <c r="B271" s="14" t="s">
        <v>2428</v>
      </c>
      <c r="C271" s="14" t="s">
        <v>639</v>
      </c>
      <c r="D271" s="15" t="s">
        <v>1718</v>
      </c>
      <c r="E271" s="16" t="s">
        <v>2429</v>
      </c>
      <c r="F271" s="32" t="s">
        <v>2430</v>
      </c>
      <c r="G271" s="17" t="s">
        <v>2431</v>
      </c>
      <c r="H271" s="18" t="s">
        <v>2432</v>
      </c>
      <c r="I271" s="16" t="s">
        <v>1718</v>
      </c>
      <c r="J271" s="16" t="s">
        <v>1718</v>
      </c>
      <c r="K271" s="16"/>
      <c r="L271" s="16"/>
      <c r="M271" s="16"/>
      <c r="N271" s="16"/>
      <c r="O271" s="16"/>
      <c r="P271" s="16"/>
      <c r="Q271" s="16"/>
      <c r="R271" s="16"/>
      <c r="S271" s="19"/>
      <c r="T271" s="20" t="s">
        <v>40</v>
      </c>
      <c r="U271" s="16"/>
      <c r="V271" s="16"/>
      <c r="W271" s="30" t="s">
        <v>1718</v>
      </c>
      <c r="X271" s="18" t="s">
        <v>31</v>
      </c>
      <c r="Y271" s="18" t="s">
        <v>43</v>
      </c>
      <c r="Z271" s="18" t="s">
        <v>1815</v>
      </c>
      <c r="AA271" s="16" t="s">
        <v>2433</v>
      </c>
      <c r="AB271" s="16" t="s">
        <v>2434</v>
      </c>
      <c r="AC271" s="16" t="s">
        <v>2435</v>
      </c>
      <c r="AD271" s="123" t="str">
        <f t="shared" si="4"/>
        <v>Internal Transfer</v>
      </c>
      <c r="AE271" s="123" t="str">
        <f>VLOOKUP(Table1[[#This Row],[Name of bank]],'اكواد البنوك'!$A$2:$B$34,2,0)</f>
        <v>NBEGEGCXXXX</v>
      </c>
      <c r="AF271" s="30" t="s">
        <v>1718</v>
      </c>
      <c r="AG271" s="15" t="s">
        <v>49</v>
      </c>
    </row>
    <row r="272" spans="1:33">
      <c r="A272" s="14">
        <v>271</v>
      </c>
      <c r="B272" s="14" t="str">
        <f>B271</f>
        <v>B002</v>
      </c>
      <c r="C272" s="14" t="s">
        <v>639</v>
      </c>
      <c r="D272" s="15" t="s">
        <v>1718</v>
      </c>
      <c r="E272" s="16" t="s">
        <v>2436</v>
      </c>
      <c r="F272" s="32" t="s">
        <v>2437</v>
      </c>
      <c r="G272" s="17" t="s">
        <v>2438</v>
      </c>
      <c r="H272" s="18" t="s">
        <v>2439</v>
      </c>
      <c r="I272" s="16" t="s">
        <v>1718</v>
      </c>
      <c r="J272" s="16" t="s">
        <v>43</v>
      </c>
      <c r="K272" s="16"/>
      <c r="L272" s="16" t="s">
        <v>1827</v>
      </c>
      <c r="M272" s="16"/>
      <c r="N272" s="16"/>
      <c r="O272" s="16"/>
      <c r="P272" s="16"/>
      <c r="Q272" s="16"/>
      <c r="R272" s="16"/>
      <c r="S272" s="19"/>
      <c r="T272" s="20" t="s">
        <v>40</v>
      </c>
      <c r="U272" s="16"/>
      <c r="V272" s="16"/>
      <c r="W272" s="30" t="s">
        <v>1718</v>
      </c>
      <c r="X272" s="18" t="s">
        <v>66</v>
      </c>
      <c r="Y272" s="18" t="s">
        <v>43</v>
      </c>
      <c r="Z272" s="18" t="s">
        <v>1815</v>
      </c>
      <c r="AA272" s="16" t="s">
        <v>2433</v>
      </c>
      <c r="AB272" s="16" t="s">
        <v>2434</v>
      </c>
      <c r="AC272" s="16" t="s">
        <v>2435</v>
      </c>
      <c r="AD272" s="123" t="str">
        <f t="shared" si="4"/>
        <v>Internal Transfer</v>
      </c>
      <c r="AE272" s="123" t="str">
        <f>VLOOKUP(Table1[[#This Row],[Name of bank]],'اكواد البنوك'!$A$2:$B$34,2,0)</f>
        <v>NBEGEGCXXXX</v>
      </c>
      <c r="AF272" s="30" t="s">
        <v>1718</v>
      </c>
      <c r="AG272" s="15" t="s">
        <v>49</v>
      </c>
    </row>
    <row r="273" spans="1:33">
      <c r="A273" s="14">
        <v>272</v>
      </c>
      <c r="B273" s="14" t="str">
        <f>B272</f>
        <v>B002</v>
      </c>
      <c r="C273" s="14" t="e">
        <v>#N/A</v>
      </c>
      <c r="D273" s="15" t="s">
        <v>1855</v>
      </c>
      <c r="E273" s="16" t="s">
        <v>2440</v>
      </c>
      <c r="F273" s="32" t="s">
        <v>10112</v>
      </c>
      <c r="G273" s="17" t="s">
        <v>2441</v>
      </c>
      <c r="H273" s="18" t="s">
        <v>2442</v>
      </c>
      <c r="I273" s="16" t="s">
        <v>2443</v>
      </c>
      <c r="J273" s="16" t="s">
        <v>1845</v>
      </c>
      <c r="K273" s="16" t="s">
        <v>542</v>
      </c>
      <c r="L273" s="16" t="s">
        <v>136</v>
      </c>
      <c r="M273" s="16" t="s">
        <v>977</v>
      </c>
      <c r="N273" s="16">
        <v>29710280102454</v>
      </c>
      <c r="O273" s="16" t="s">
        <v>2444</v>
      </c>
      <c r="P273" s="16" t="s">
        <v>2445</v>
      </c>
      <c r="Q273" s="16" t="s">
        <v>1815</v>
      </c>
      <c r="R273" s="16" t="s">
        <v>1849</v>
      </c>
      <c r="S273" s="19" t="s">
        <v>1861</v>
      </c>
      <c r="T273" s="20" t="s">
        <v>341</v>
      </c>
      <c r="U273" s="16" t="s">
        <v>10219</v>
      </c>
      <c r="V273" s="16"/>
      <c r="W273" s="30" t="s">
        <v>10218</v>
      </c>
      <c r="X273" s="18" t="s">
        <v>66</v>
      </c>
      <c r="Y273" s="18" t="s">
        <v>98</v>
      </c>
      <c r="Z273" s="18" t="s">
        <v>1815</v>
      </c>
      <c r="AA273" s="16" t="s">
        <v>2433</v>
      </c>
      <c r="AB273" s="16" t="s">
        <v>2434</v>
      </c>
      <c r="AC273" s="16" t="s">
        <v>2435</v>
      </c>
      <c r="AD273" s="123" t="str">
        <f t="shared" si="4"/>
        <v>External Transfer-Other banks</v>
      </c>
      <c r="AE273" s="123" t="str">
        <f>VLOOKUP(Table1[[#This Row],[Name of bank]],'اكواد البنوك'!$A$2:$B$34,2,0)</f>
        <v>AGRIEGCXXXX</v>
      </c>
      <c r="AF273" s="21" t="s">
        <v>346</v>
      </c>
      <c r="AG273" s="15" t="s">
        <v>1862</v>
      </c>
    </row>
    <row r="274" spans="1:33">
      <c r="A274" s="14">
        <v>273</v>
      </c>
      <c r="B274" s="14" t="s">
        <v>2446</v>
      </c>
      <c r="C274" s="14" t="s">
        <v>4447</v>
      </c>
      <c r="D274" s="15" t="s">
        <v>1839</v>
      </c>
      <c r="E274" s="16" t="s">
        <v>2447</v>
      </c>
      <c r="F274" s="32" t="s">
        <v>2448</v>
      </c>
      <c r="G274" s="17" t="s">
        <v>2449</v>
      </c>
      <c r="H274" s="18" t="s">
        <v>2450</v>
      </c>
      <c r="I274" s="16" t="s">
        <v>2451</v>
      </c>
      <c r="J274" s="16" t="s">
        <v>86</v>
      </c>
      <c r="K274" s="16" t="s">
        <v>2452</v>
      </c>
      <c r="L274" s="16">
        <v>7565447</v>
      </c>
      <c r="M274" s="16">
        <v>435681494</v>
      </c>
      <c r="N274" s="16">
        <v>28702271600992</v>
      </c>
      <c r="O274" s="16" t="s">
        <v>2453</v>
      </c>
      <c r="P274" s="16" t="s">
        <v>2454</v>
      </c>
      <c r="Q274" s="16" t="s">
        <v>1815</v>
      </c>
      <c r="R274" s="16" t="s">
        <v>1849</v>
      </c>
      <c r="S274" s="19" t="s">
        <v>2447</v>
      </c>
      <c r="T274" s="20" t="s">
        <v>307</v>
      </c>
      <c r="U274" s="16" t="s">
        <v>2455</v>
      </c>
      <c r="V274" s="16" t="s">
        <v>2456</v>
      </c>
      <c r="W274" s="30" t="s">
        <v>2457</v>
      </c>
      <c r="X274" s="18" t="s">
        <v>2096</v>
      </c>
      <c r="Y274" s="18" t="s">
        <v>98</v>
      </c>
      <c r="Z274" s="18" t="s">
        <v>1815</v>
      </c>
      <c r="AA274" s="16" t="s">
        <v>2433</v>
      </c>
      <c r="AB274" s="16" t="s">
        <v>2434</v>
      </c>
      <c r="AC274" s="16" t="s">
        <v>2435</v>
      </c>
      <c r="AD274" s="123" t="str">
        <f t="shared" si="4"/>
        <v>External Transfer-Other banks</v>
      </c>
      <c r="AE274" s="123" t="str">
        <f>VLOOKUP(Table1[[#This Row],[Name of bank]],'اكواد البنوك'!$A$2:$B$34,2,0)</f>
        <v>CIBEEGCXXXX</v>
      </c>
      <c r="AF274" s="21" t="s">
        <v>2458</v>
      </c>
      <c r="AG274" s="15" t="s">
        <v>49</v>
      </c>
    </row>
    <row r="275" spans="1:33">
      <c r="A275" s="14">
        <v>274</v>
      </c>
      <c r="B275" s="14" t="str">
        <f>B274</f>
        <v>Ground</v>
      </c>
      <c r="C275" s="14" t="e">
        <v>#N/A</v>
      </c>
      <c r="D275" s="15" t="s">
        <v>1855</v>
      </c>
      <c r="E275" s="16" t="s">
        <v>2459</v>
      </c>
      <c r="F275" s="32" t="s">
        <v>2460</v>
      </c>
      <c r="G275" s="17" t="s">
        <v>2461</v>
      </c>
      <c r="H275" s="18">
        <v>201158010395</v>
      </c>
      <c r="I275" s="16" t="s">
        <v>2462</v>
      </c>
      <c r="J275" s="16" t="s">
        <v>1845</v>
      </c>
      <c r="K275" s="16" t="s">
        <v>2462</v>
      </c>
      <c r="L275" s="16" t="s">
        <v>977</v>
      </c>
      <c r="M275" s="16" t="s">
        <v>977</v>
      </c>
      <c r="N275" s="16">
        <v>30306190101106</v>
      </c>
      <c r="O275" s="16" t="s">
        <v>2463</v>
      </c>
      <c r="P275" s="16" t="s">
        <v>2464</v>
      </c>
      <c r="Q275" s="16" t="s">
        <v>1815</v>
      </c>
      <c r="R275" s="16" t="s">
        <v>1849</v>
      </c>
      <c r="S275" s="19" t="s">
        <v>1861</v>
      </c>
      <c r="T275" s="20" t="s">
        <v>40</v>
      </c>
      <c r="U275" s="16" t="s">
        <v>10217</v>
      </c>
      <c r="V275" s="16"/>
      <c r="W275" s="30" t="s">
        <v>10216</v>
      </c>
      <c r="X275" s="18" t="s">
        <v>97</v>
      </c>
      <c r="Y275" s="18" t="s">
        <v>98</v>
      </c>
      <c r="Z275" s="18" t="s">
        <v>1815</v>
      </c>
      <c r="AA275" s="16" t="s">
        <v>2433</v>
      </c>
      <c r="AB275" s="16" t="s">
        <v>2434</v>
      </c>
      <c r="AC275" s="16" t="s">
        <v>2435</v>
      </c>
      <c r="AD275" s="123" t="str">
        <f t="shared" si="4"/>
        <v>External Transfer-NBE</v>
      </c>
      <c r="AE275" s="123" t="str">
        <f>VLOOKUP(Table1[[#This Row],[Name of bank]],'اكواد البنوك'!$A$2:$B$34,2,0)</f>
        <v>NBEGEGCXXXX</v>
      </c>
      <c r="AF275" s="21" t="s">
        <v>10215</v>
      </c>
      <c r="AG275" s="15" t="s">
        <v>1862</v>
      </c>
    </row>
    <row r="276" spans="1:33">
      <c r="A276" s="14">
        <v>275</v>
      </c>
      <c r="B276" s="14" t="s">
        <v>2465</v>
      </c>
      <c r="C276" s="14" t="e">
        <v>#N/A</v>
      </c>
      <c r="D276" s="15" t="s">
        <v>1839</v>
      </c>
      <c r="E276" s="16" t="s">
        <v>2466</v>
      </c>
      <c r="F276" s="32" t="s">
        <v>2467</v>
      </c>
      <c r="G276" s="17" t="s">
        <v>2468</v>
      </c>
      <c r="H276" s="18" t="s">
        <v>2469</v>
      </c>
      <c r="I276" s="16" t="s">
        <v>2470</v>
      </c>
      <c r="J276" s="16" t="s">
        <v>173</v>
      </c>
      <c r="K276" s="16" t="s">
        <v>2471</v>
      </c>
      <c r="L276" s="16">
        <v>61828139</v>
      </c>
      <c r="M276" s="16" t="s">
        <v>427</v>
      </c>
      <c r="N276" s="16">
        <v>28501192104674</v>
      </c>
      <c r="O276" s="16" t="s">
        <v>2472</v>
      </c>
      <c r="P276" s="16" t="s">
        <v>2473</v>
      </c>
      <c r="Q276" s="16" t="s">
        <v>1815</v>
      </c>
      <c r="R276" s="16" t="s">
        <v>1849</v>
      </c>
      <c r="S276" s="19" t="s">
        <v>2474</v>
      </c>
      <c r="T276" s="20" t="s">
        <v>40</v>
      </c>
      <c r="U276" s="16" t="s">
        <v>2475</v>
      </c>
      <c r="V276" s="16" t="s">
        <v>2476</v>
      </c>
      <c r="W276" s="30" t="s">
        <v>2477</v>
      </c>
      <c r="X276" s="18" t="s">
        <v>542</v>
      </c>
      <c r="Y276" s="18" t="s">
        <v>98</v>
      </c>
      <c r="Z276" s="18" t="s">
        <v>1815</v>
      </c>
      <c r="AA276" s="16" t="s">
        <v>2433</v>
      </c>
      <c r="AB276" s="16" t="s">
        <v>2434</v>
      </c>
      <c r="AC276" s="16" t="s">
        <v>2435</v>
      </c>
      <c r="AD276" s="123" t="str">
        <f t="shared" si="4"/>
        <v>External Transfer-NBE</v>
      </c>
      <c r="AE276" s="123" t="str">
        <f>VLOOKUP(Table1[[#This Row],[Name of bank]],'اكواد البنوك'!$A$2:$B$34,2,0)</f>
        <v>NBEGEGCXXXX</v>
      </c>
      <c r="AF276" s="21" t="s">
        <v>2478</v>
      </c>
      <c r="AG276" s="15" t="s">
        <v>49</v>
      </c>
    </row>
    <row r="277" spans="1:33">
      <c r="A277" s="14">
        <v>276</v>
      </c>
      <c r="B277" s="14" t="str">
        <f>B276</f>
        <v>B001</v>
      </c>
      <c r="C277" s="14" t="e">
        <v>#N/A</v>
      </c>
      <c r="D277" s="15" t="s">
        <v>1839</v>
      </c>
      <c r="E277" s="16" t="s">
        <v>2479</v>
      </c>
      <c r="F277" s="32" t="s">
        <v>10118</v>
      </c>
      <c r="G277" s="17" t="s">
        <v>2480</v>
      </c>
      <c r="H277" s="18" t="s">
        <v>2481</v>
      </c>
      <c r="I277" s="16" t="s">
        <v>2482</v>
      </c>
      <c r="J277" s="16" t="s">
        <v>86</v>
      </c>
      <c r="K277" s="16" t="s">
        <v>2483</v>
      </c>
      <c r="L277" s="16">
        <v>59691689</v>
      </c>
      <c r="M277" s="16" t="s">
        <v>136</v>
      </c>
      <c r="N277" s="16">
        <v>29002240103623</v>
      </c>
      <c r="O277" s="16" t="s">
        <v>2484</v>
      </c>
      <c r="P277" s="16" t="s">
        <v>2485</v>
      </c>
      <c r="Q277" s="16" t="s">
        <v>1815</v>
      </c>
      <c r="R277" s="16" t="s">
        <v>1849</v>
      </c>
      <c r="S277" s="19" t="s">
        <v>2486</v>
      </c>
      <c r="T277" s="20" t="s">
        <v>176</v>
      </c>
      <c r="U277" s="16" t="s">
        <v>2487</v>
      </c>
      <c r="V277" s="16" t="s">
        <v>2488</v>
      </c>
      <c r="W277" s="30" t="s">
        <v>2489</v>
      </c>
      <c r="X277" s="18" t="s">
        <v>542</v>
      </c>
      <c r="Y277" s="18" t="s">
        <v>98</v>
      </c>
      <c r="Z277" s="18" t="s">
        <v>1815</v>
      </c>
      <c r="AA277" s="16" t="s">
        <v>2433</v>
      </c>
      <c r="AB277" s="16" t="s">
        <v>2434</v>
      </c>
      <c r="AC277" s="16" t="s">
        <v>2435</v>
      </c>
      <c r="AD277" s="123" t="str">
        <f t="shared" si="4"/>
        <v>External Transfer-Other banks</v>
      </c>
      <c r="AE277" s="123" t="str">
        <f>VLOOKUP(Table1[[#This Row],[Name of bank]],'اكواد البنوك'!$A$2:$B$34,2,0)</f>
        <v>BMISEGCXXXX</v>
      </c>
      <c r="AF277" s="21" t="s">
        <v>2490</v>
      </c>
      <c r="AG277" s="15" t="s">
        <v>49</v>
      </c>
    </row>
    <row r="278" spans="1:33">
      <c r="A278" s="14">
        <v>277</v>
      </c>
      <c r="B278" s="14" t="s">
        <v>2491</v>
      </c>
      <c r="C278" s="14" t="s">
        <v>4315</v>
      </c>
      <c r="D278" s="15" t="s">
        <v>1839</v>
      </c>
      <c r="E278" s="16" t="s">
        <v>2492</v>
      </c>
      <c r="F278" s="32" t="s">
        <v>2493</v>
      </c>
      <c r="G278" s="17" t="s">
        <v>2494</v>
      </c>
      <c r="H278" s="18" t="s">
        <v>2495</v>
      </c>
      <c r="I278" s="16" t="s">
        <v>2496</v>
      </c>
      <c r="J278" s="16" t="s">
        <v>173</v>
      </c>
      <c r="K278" s="16" t="s">
        <v>2497</v>
      </c>
      <c r="L278" s="16">
        <v>22746302</v>
      </c>
      <c r="M278" s="16" t="s">
        <v>234</v>
      </c>
      <c r="N278" s="16">
        <v>28505091401002</v>
      </c>
      <c r="O278" s="16" t="s">
        <v>2498</v>
      </c>
      <c r="P278" s="16" t="s">
        <v>2499</v>
      </c>
      <c r="Q278" s="16" t="s">
        <v>1815</v>
      </c>
      <c r="R278" s="16" t="s">
        <v>1849</v>
      </c>
      <c r="S278" s="87" t="s">
        <v>2492</v>
      </c>
      <c r="T278" s="87" t="s">
        <v>93</v>
      </c>
      <c r="U278" s="87" t="s">
        <v>2500</v>
      </c>
      <c r="V278" s="73" t="s">
        <v>2501</v>
      </c>
      <c r="W278" s="74" t="s">
        <v>2502</v>
      </c>
      <c r="X278" s="18" t="s">
        <v>542</v>
      </c>
      <c r="Y278" s="18" t="s">
        <v>98</v>
      </c>
      <c r="Z278" s="18" t="s">
        <v>1815</v>
      </c>
      <c r="AA278" s="16" t="s">
        <v>2433</v>
      </c>
      <c r="AB278" s="16" t="s">
        <v>2434</v>
      </c>
      <c r="AC278" s="16" t="s">
        <v>2435</v>
      </c>
      <c r="AD278" s="123" t="str">
        <f t="shared" si="4"/>
        <v>External Transfer-Other banks</v>
      </c>
      <c r="AE278" s="124" t="s">
        <v>99</v>
      </c>
      <c r="AF278" s="94" t="s">
        <v>2503</v>
      </c>
      <c r="AG278" s="97" t="s">
        <v>2054</v>
      </c>
    </row>
    <row r="279" spans="1:33">
      <c r="A279" s="14">
        <v>278</v>
      </c>
      <c r="B279" s="14" t="str">
        <f>B278</f>
        <v>B005</v>
      </c>
      <c r="C279" s="14" t="e">
        <v>#N/A</v>
      </c>
      <c r="D279" s="15" t="s">
        <v>1839</v>
      </c>
      <c r="E279" s="16" t="s">
        <v>2504</v>
      </c>
      <c r="F279" s="32" t="s">
        <v>2505</v>
      </c>
      <c r="G279" s="17" t="s">
        <v>2506</v>
      </c>
      <c r="H279" s="18" t="s">
        <v>2507</v>
      </c>
      <c r="I279" s="16" t="s">
        <v>2117</v>
      </c>
      <c r="J279" s="16" t="s">
        <v>86</v>
      </c>
      <c r="K279" s="16" t="s">
        <v>2508</v>
      </c>
      <c r="L279" s="16">
        <v>74771418</v>
      </c>
      <c r="M279" s="16">
        <v>484568809</v>
      </c>
      <c r="N279" s="16">
        <v>29412140103425</v>
      </c>
      <c r="O279" s="16" t="s">
        <v>2509</v>
      </c>
      <c r="P279" s="16" t="s">
        <v>2510</v>
      </c>
      <c r="Q279" s="16" t="s">
        <v>1815</v>
      </c>
      <c r="R279" s="16" t="s">
        <v>1849</v>
      </c>
      <c r="S279" s="19" t="s">
        <v>2511</v>
      </c>
      <c r="T279" s="20" t="s">
        <v>40</v>
      </c>
      <c r="U279" s="16" t="s">
        <v>2512</v>
      </c>
      <c r="V279" s="16" t="s">
        <v>2513</v>
      </c>
      <c r="W279" s="30" t="s">
        <v>2514</v>
      </c>
      <c r="X279" s="18" t="s">
        <v>542</v>
      </c>
      <c r="Y279" s="18" t="s">
        <v>98</v>
      </c>
      <c r="Z279" s="18" t="s">
        <v>1815</v>
      </c>
      <c r="AA279" s="16" t="s">
        <v>2433</v>
      </c>
      <c r="AB279" s="16" t="s">
        <v>2434</v>
      </c>
      <c r="AC279" s="16" t="s">
        <v>2435</v>
      </c>
      <c r="AD279" s="123" t="str">
        <f t="shared" si="4"/>
        <v>External Transfer-NBE</v>
      </c>
      <c r="AE279" s="123" t="str">
        <f>VLOOKUP(Table1[[#This Row],[Name of bank]],'اكواد البنوك'!$A$2:$B$34,2,0)</f>
        <v>NBEGEGCXXXX</v>
      </c>
      <c r="AF279" s="21" t="s">
        <v>2515</v>
      </c>
      <c r="AG279" s="15" t="s">
        <v>49</v>
      </c>
    </row>
    <row r="280" spans="1:33">
      <c r="A280" s="14">
        <v>279</v>
      </c>
      <c r="B280" s="14" t="s">
        <v>639</v>
      </c>
      <c r="C280" s="14" t="s">
        <v>4121</v>
      </c>
      <c r="D280" s="15" t="s">
        <v>1718</v>
      </c>
      <c r="E280" s="16" t="s">
        <v>2516</v>
      </c>
      <c r="F280" s="32" t="s">
        <v>2517</v>
      </c>
      <c r="G280" s="17" t="s">
        <v>2518</v>
      </c>
      <c r="H280" s="18" t="s">
        <v>2519</v>
      </c>
      <c r="I280" s="16" t="s">
        <v>1718</v>
      </c>
      <c r="J280" s="16" t="s">
        <v>43</v>
      </c>
      <c r="K280" s="16"/>
      <c r="L280" s="16"/>
      <c r="M280" s="16"/>
      <c r="N280" s="16"/>
      <c r="O280" s="16"/>
      <c r="P280" s="16"/>
      <c r="Q280" s="16"/>
      <c r="R280" s="16"/>
      <c r="S280" s="19"/>
      <c r="T280" s="20" t="s">
        <v>40</v>
      </c>
      <c r="U280" s="16"/>
      <c r="V280" s="16"/>
      <c r="W280" s="30" t="s">
        <v>1718</v>
      </c>
      <c r="X280" s="18" t="s">
        <v>78</v>
      </c>
      <c r="Y280" s="18" t="s">
        <v>43</v>
      </c>
      <c r="Z280" s="18" t="s">
        <v>1815</v>
      </c>
      <c r="AA280" s="16" t="s">
        <v>2433</v>
      </c>
      <c r="AB280" s="16" t="s">
        <v>2434</v>
      </c>
      <c r="AC280" s="16" t="s">
        <v>2435</v>
      </c>
      <c r="AD280" s="123" t="str">
        <f t="shared" si="4"/>
        <v>Internal Transfer</v>
      </c>
      <c r="AE280" s="123" t="str">
        <f>VLOOKUP(Table1[[#This Row],[Name of bank]],'اكواد البنوك'!$A$2:$B$34,2,0)</f>
        <v>NBEGEGCXXXX</v>
      </c>
      <c r="AF280" s="30" t="s">
        <v>1718</v>
      </c>
      <c r="AG280" s="15" t="s">
        <v>49</v>
      </c>
    </row>
    <row r="281" spans="1:33">
      <c r="A281" s="14">
        <v>280</v>
      </c>
      <c r="B281" s="14" t="str">
        <f>B280</f>
        <v>1st Floor</v>
      </c>
      <c r="C281" s="14">
        <v>103</v>
      </c>
      <c r="D281" s="15" t="s">
        <v>1839</v>
      </c>
      <c r="E281" s="16" t="s">
        <v>2520</v>
      </c>
      <c r="F281" s="32" t="s">
        <v>2521</v>
      </c>
      <c r="G281" s="17" t="s">
        <v>2522</v>
      </c>
      <c r="H281" s="18" t="s">
        <v>2523</v>
      </c>
      <c r="I281" s="16" t="s">
        <v>2524</v>
      </c>
      <c r="J281" s="16" t="s">
        <v>86</v>
      </c>
      <c r="K281" s="16" t="s">
        <v>2525</v>
      </c>
      <c r="L281" s="16">
        <v>77126818</v>
      </c>
      <c r="M281" s="16">
        <v>286616947</v>
      </c>
      <c r="N281" s="16">
        <v>29502070103316</v>
      </c>
      <c r="O281" s="16" t="s">
        <v>2526</v>
      </c>
      <c r="P281" s="16" t="s">
        <v>2527</v>
      </c>
      <c r="Q281" s="16" t="s">
        <v>1815</v>
      </c>
      <c r="R281" s="16" t="s">
        <v>1849</v>
      </c>
      <c r="S281" s="19" t="s">
        <v>2528</v>
      </c>
      <c r="T281" s="20" t="s">
        <v>93</v>
      </c>
      <c r="U281" s="16" t="s">
        <v>2529</v>
      </c>
      <c r="V281" s="16" t="s">
        <v>2530</v>
      </c>
      <c r="W281" s="30" t="s">
        <v>2531</v>
      </c>
      <c r="X281" s="18" t="s">
        <v>97</v>
      </c>
      <c r="Y281" s="18" t="s">
        <v>98</v>
      </c>
      <c r="Z281" s="18" t="s">
        <v>1815</v>
      </c>
      <c r="AA281" s="16" t="s">
        <v>2433</v>
      </c>
      <c r="AB281" s="16" t="s">
        <v>2434</v>
      </c>
      <c r="AC281" s="16" t="s">
        <v>2435</v>
      </c>
      <c r="AD281" s="123" t="str">
        <f t="shared" si="4"/>
        <v>External Transfer-Other banks</v>
      </c>
      <c r="AE281" s="123" t="str">
        <f>VLOOKUP(Table1[[#This Row],[Name of bank]],'اكواد البنوك'!$A$2:$B$34,2,0)</f>
        <v>QNBAEGCXXXX</v>
      </c>
      <c r="AF281" s="21" t="s">
        <v>2532</v>
      </c>
      <c r="AG281" s="15" t="s">
        <v>49</v>
      </c>
    </row>
    <row r="282" spans="1:33">
      <c r="A282" s="14">
        <v>281</v>
      </c>
      <c r="B282" s="14" t="str">
        <f>B281</f>
        <v>1st Floor</v>
      </c>
      <c r="C282" s="14" t="e">
        <v>#N/A</v>
      </c>
      <c r="D282" s="15" t="s">
        <v>1855</v>
      </c>
      <c r="E282" s="16" t="s">
        <v>2533</v>
      </c>
      <c r="F282" s="32" t="s">
        <v>2534</v>
      </c>
      <c r="G282" s="17" t="s">
        <v>2535</v>
      </c>
      <c r="H282" s="18">
        <v>201014255715</v>
      </c>
      <c r="I282" s="16" t="s">
        <v>2443</v>
      </c>
      <c r="J282" s="16" t="s">
        <v>1845</v>
      </c>
      <c r="K282" s="16" t="s">
        <v>2536</v>
      </c>
      <c r="L282" s="16" t="s">
        <v>136</v>
      </c>
      <c r="M282" s="16" t="s">
        <v>136</v>
      </c>
      <c r="N282" s="16">
        <v>29905152100347</v>
      </c>
      <c r="O282" s="16" t="s">
        <v>2537</v>
      </c>
      <c r="P282" s="16" t="s">
        <v>2538</v>
      </c>
      <c r="Q282" s="16" t="s">
        <v>1815</v>
      </c>
      <c r="R282" s="16" t="s">
        <v>1849</v>
      </c>
      <c r="S282" s="19" t="s">
        <v>1861</v>
      </c>
      <c r="T282" s="20" t="s">
        <v>40</v>
      </c>
      <c r="U282" s="16" t="s">
        <v>10205</v>
      </c>
      <c r="V282" s="16"/>
      <c r="W282" s="30" t="s">
        <v>10206</v>
      </c>
      <c r="X282" s="18" t="s">
        <v>97</v>
      </c>
      <c r="Y282" s="18" t="s">
        <v>98</v>
      </c>
      <c r="Z282" s="18" t="s">
        <v>1815</v>
      </c>
      <c r="AA282" s="16" t="s">
        <v>2433</v>
      </c>
      <c r="AB282" s="16" t="s">
        <v>2434</v>
      </c>
      <c r="AC282" s="16" t="s">
        <v>2435</v>
      </c>
      <c r="AD282" s="123" t="str">
        <f t="shared" si="4"/>
        <v>External Transfer-NBE</v>
      </c>
      <c r="AE282" s="123" t="str">
        <f>VLOOKUP(Table1[[#This Row],[Name of bank]],'اكواد البنوك'!$A$2:$B$34,2,0)</f>
        <v>NBEGEGCXXXX</v>
      </c>
      <c r="AF282" s="21">
        <v>162</v>
      </c>
      <c r="AG282" s="15" t="s">
        <v>1862</v>
      </c>
    </row>
    <row r="283" spans="1:33">
      <c r="A283" s="14">
        <v>282</v>
      </c>
      <c r="B283" s="14" t="s">
        <v>2539</v>
      </c>
      <c r="C283" s="14" t="e">
        <v>#N/A</v>
      </c>
      <c r="D283" s="15" t="s">
        <v>1839</v>
      </c>
      <c r="E283" s="16" t="s">
        <v>2540</v>
      </c>
      <c r="F283" s="32" t="s">
        <v>10050</v>
      </c>
      <c r="G283" s="17" t="s">
        <v>2541</v>
      </c>
      <c r="H283" s="18" t="s">
        <v>2542</v>
      </c>
      <c r="I283" s="16" t="s">
        <v>2543</v>
      </c>
      <c r="J283" s="16" t="s">
        <v>86</v>
      </c>
      <c r="K283" s="16" t="s">
        <v>2544</v>
      </c>
      <c r="L283" s="16" t="s">
        <v>234</v>
      </c>
      <c r="M283" s="16" t="s">
        <v>2545</v>
      </c>
      <c r="N283" s="16">
        <v>28509200102202</v>
      </c>
      <c r="O283" s="16" t="s">
        <v>2546</v>
      </c>
      <c r="P283" s="16" t="s">
        <v>2547</v>
      </c>
      <c r="Q283" s="16" t="s">
        <v>1815</v>
      </c>
      <c r="R283" s="16" t="s">
        <v>1849</v>
      </c>
      <c r="S283" s="19" t="s">
        <v>2548</v>
      </c>
      <c r="T283" s="20" t="s">
        <v>40</v>
      </c>
      <c r="U283" s="16" t="s">
        <v>2549</v>
      </c>
      <c r="V283" s="16" t="s">
        <v>2550</v>
      </c>
      <c r="W283" s="30" t="s">
        <v>2551</v>
      </c>
      <c r="X283" s="18" t="s">
        <v>542</v>
      </c>
      <c r="Y283" s="18" t="s">
        <v>98</v>
      </c>
      <c r="Z283" s="18" t="s">
        <v>1815</v>
      </c>
      <c r="AA283" s="16" t="s">
        <v>2433</v>
      </c>
      <c r="AB283" s="16" t="s">
        <v>2434</v>
      </c>
      <c r="AC283" s="16" t="s">
        <v>2435</v>
      </c>
      <c r="AD283" s="123" t="str">
        <f t="shared" si="4"/>
        <v>External Transfer-NBE</v>
      </c>
      <c r="AE283" s="123" t="str">
        <f>VLOOKUP(Table1[[#This Row],[Name of bank]],'اكواد البنوك'!$A$2:$B$34,2,0)</f>
        <v>NBEGEGCXXXX</v>
      </c>
      <c r="AF283" s="21" t="s">
        <v>2552</v>
      </c>
      <c r="AG283" s="15" t="s">
        <v>49</v>
      </c>
    </row>
    <row r="284" spans="1:33">
      <c r="A284" s="14">
        <v>283</v>
      </c>
      <c r="B284" s="14" t="str">
        <f>B283</f>
        <v>B102</v>
      </c>
      <c r="C284" s="14" t="e">
        <v>#N/A</v>
      </c>
      <c r="D284" s="15" t="s">
        <v>1855</v>
      </c>
      <c r="E284" s="16" t="s">
        <v>2553</v>
      </c>
      <c r="F284" s="32" t="s">
        <v>2554</v>
      </c>
      <c r="G284" s="17" t="s">
        <v>2555</v>
      </c>
      <c r="H284" s="18">
        <v>201092018403</v>
      </c>
      <c r="I284" s="16" t="s">
        <v>1858</v>
      </c>
      <c r="J284" s="16" t="s">
        <v>173</v>
      </c>
      <c r="K284" s="16" t="s">
        <v>269</v>
      </c>
      <c r="L284" s="16" t="s">
        <v>136</v>
      </c>
      <c r="M284" s="16" t="s">
        <v>136</v>
      </c>
      <c r="N284" s="16" t="s">
        <v>136</v>
      </c>
      <c r="O284" s="16" t="s">
        <v>2556</v>
      </c>
      <c r="P284" s="16" t="s">
        <v>2557</v>
      </c>
      <c r="Q284" s="16" t="s">
        <v>1815</v>
      </c>
      <c r="R284" s="16" t="s">
        <v>1849</v>
      </c>
      <c r="S284" s="19" t="s">
        <v>1861</v>
      </c>
      <c r="T284" s="20" t="s">
        <v>307</v>
      </c>
      <c r="U284" s="16" t="s">
        <v>10225</v>
      </c>
      <c r="V284" s="16"/>
      <c r="W284" s="30" t="s">
        <v>10226</v>
      </c>
      <c r="X284" s="18" t="s">
        <v>542</v>
      </c>
      <c r="Y284" s="18" t="s">
        <v>98</v>
      </c>
      <c r="Z284" s="18" t="s">
        <v>1815</v>
      </c>
      <c r="AA284" s="16" t="s">
        <v>1816</v>
      </c>
      <c r="AB284" s="16" t="s">
        <v>1817</v>
      </c>
      <c r="AC284" s="16" t="s">
        <v>1818</v>
      </c>
      <c r="AD284" s="123" t="str">
        <f t="shared" si="4"/>
        <v>External Transfer-Other banks</v>
      </c>
      <c r="AE284" s="123" t="str">
        <f>VLOOKUP(Table1[[#This Row],[Name of bank]],'اكواد البنوك'!$A$2:$B$34,2,0)</f>
        <v>CIBEEGCXXXX</v>
      </c>
      <c r="AF284" s="21" t="s">
        <v>2610</v>
      </c>
      <c r="AG284" s="15" t="s">
        <v>1862</v>
      </c>
    </row>
    <row r="285" spans="1:33">
      <c r="A285" s="14">
        <v>284</v>
      </c>
      <c r="B285" s="14" t="str">
        <f>B284</f>
        <v>B102</v>
      </c>
      <c r="C285" s="14" t="e">
        <v>#N/A</v>
      </c>
      <c r="D285" s="15" t="s">
        <v>1831</v>
      </c>
      <c r="E285" s="16" t="s">
        <v>2558</v>
      </c>
      <c r="F285" s="32" t="s">
        <v>2559</v>
      </c>
      <c r="G285" s="17" t="s">
        <v>2560</v>
      </c>
      <c r="H285" s="18" t="s">
        <v>2561</v>
      </c>
      <c r="I285" s="16">
        <v>29211010100674</v>
      </c>
      <c r="J285" s="16" t="s">
        <v>2562</v>
      </c>
      <c r="K285" s="16" t="s">
        <v>1831</v>
      </c>
      <c r="L285" s="16"/>
      <c r="M285" s="16"/>
      <c r="N285" s="16"/>
      <c r="O285" s="16"/>
      <c r="P285" s="16"/>
      <c r="Q285" s="16"/>
      <c r="R285" s="16"/>
      <c r="S285" s="19"/>
      <c r="T285" s="20" t="s">
        <v>1837</v>
      </c>
      <c r="U285" s="16"/>
      <c r="V285" s="16"/>
      <c r="W285" s="30" t="s">
        <v>1838</v>
      </c>
      <c r="X285" s="18" t="s">
        <v>542</v>
      </c>
      <c r="Y285" s="18" t="s">
        <v>98</v>
      </c>
      <c r="Z285" s="18" t="s">
        <v>1815</v>
      </c>
      <c r="AA285" s="16" t="s">
        <v>2433</v>
      </c>
      <c r="AB285" s="16" t="s">
        <v>2434</v>
      </c>
      <c r="AC285" s="16" t="s">
        <v>2435</v>
      </c>
      <c r="AD285" s="123" t="str">
        <f t="shared" si="4"/>
        <v>FUE</v>
      </c>
      <c r="AE285" s="123" t="str">
        <f>VLOOKUP(Table1[[#This Row],[Name of bank]],'اكواد البنوك'!$A$2:$B$34,2,0)</f>
        <v>FUE</v>
      </c>
      <c r="AF285" s="21" t="s">
        <v>1838</v>
      </c>
      <c r="AG285" s="15" t="s">
        <v>49</v>
      </c>
    </row>
    <row r="286" spans="1:33">
      <c r="A286" s="14">
        <v>285</v>
      </c>
      <c r="B286" s="14" t="s">
        <v>2563</v>
      </c>
      <c r="C286" s="14" t="s">
        <v>4447</v>
      </c>
      <c r="D286" s="15" t="s">
        <v>1839</v>
      </c>
      <c r="E286" s="16" t="s">
        <v>2564</v>
      </c>
      <c r="F286" s="32" t="s">
        <v>2565</v>
      </c>
      <c r="G286" s="17" t="s">
        <v>2566</v>
      </c>
      <c r="H286" s="18" t="s">
        <v>2567</v>
      </c>
      <c r="I286" s="16" t="s">
        <v>2156</v>
      </c>
      <c r="J286" s="16" t="s">
        <v>1845</v>
      </c>
      <c r="K286" s="16" t="s">
        <v>2568</v>
      </c>
      <c r="L286" s="16">
        <v>62414357</v>
      </c>
      <c r="M286" s="16">
        <v>100675891</v>
      </c>
      <c r="N286" s="16">
        <v>28402170100227</v>
      </c>
      <c r="O286" s="16" t="s">
        <v>2569</v>
      </c>
      <c r="P286" s="16" t="s">
        <v>2570</v>
      </c>
      <c r="Q286" s="16" t="s">
        <v>1815</v>
      </c>
      <c r="R286" s="16" t="s">
        <v>1849</v>
      </c>
      <c r="S286" s="19" t="s">
        <v>2565</v>
      </c>
      <c r="T286" s="20" t="s">
        <v>40</v>
      </c>
      <c r="U286" s="16" t="s">
        <v>2571</v>
      </c>
      <c r="V286" s="16" t="s">
        <v>2572</v>
      </c>
      <c r="W286" s="30" t="s">
        <v>2573</v>
      </c>
      <c r="X286" s="18" t="s">
        <v>542</v>
      </c>
      <c r="Y286" s="18" t="s">
        <v>98</v>
      </c>
      <c r="Z286" s="18" t="s">
        <v>1815</v>
      </c>
      <c r="AA286" s="16" t="s">
        <v>2433</v>
      </c>
      <c r="AB286" s="16" t="s">
        <v>2434</v>
      </c>
      <c r="AC286" s="16" t="s">
        <v>2435</v>
      </c>
      <c r="AD286" s="123" t="str">
        <f t="shared" si="4"/>
        <v>External Transfer-NBE</v>
      </c>
      <c r="AE286" s="123" t="str">
        <f>VLOOKUP(Table1[[#This Row],[Name of bank]],'اكواد البنوك'!$A$2:$B$34,2,0)</f>
        <v>NBEGEGCXXXX</v>
      </c>
      <c r="AF286" s="21" t="s">
        <v>2574</v>
      </c>
      <c r="AG286" s="15" t="s">
        <v>49</v>
      </c>
    </row>
    <row r="287" spans="1:33">
      <c r="A287" s="14">
        <v>286</v>
      </c>
      <c r="B287" s="14" t="str">
        <f>B286</f>
        <v>B103</v>
      </c>
      <c r="C287" s="14" t="e">
        <v>#N/A</v>
      </c>
      <c r="D287" s="15" t="s">
        <v>1839</v>
      </c>
      <c r="E287" s="16" t="s">
        <v>2575</v>
      </c>
      <c r="F287" s="32" t="s">
        <v>2576</v>
      </c>
      <c r="G287" s="17" t="s">
        <v>2577</v>
      </c>
      <c r="H287" s="18" t="s">
        <v>2578</v>
      </c>
      <c r="I287" s="16" t="s">
        <v>1868</v>
      </c>
      <c r="J287" s="16" t="s">
        <v>86</v>
      </c>
      <c r="K287" s="16" t="s">
        <v>2579</v>
      </c>
      <c r="L287" s="16">
        <v>86005289</v>
      </c>
      <c r="M287" s="16">
        <v>484568809</v>
      </c>
      <c r="N287" s="16">
        <v>30003310100378</v>
      </c>
      <c r="O287" s="16" t="s">
        <v>2580</v>
      </c>
      <c r="P287" s="16" t="s">
        <v>2581</v>
      </c>
      <c r="Q287" s="16" t="s">
        <v>1815</v>
      </c>
      <c r="R287" s="16" t="s">
        <v>1849</v>
      </c>
      <c r="S287" s="19" t="s">
        <v>2582</v>
      </c>
      <c r="T287" s="20" t="s">
        <v>307</v>
      </c>
      <c r="U287" s="16" t="s">
        <v>2583</v>
      </c>
      <c r="V287" s="16" t="s">
        <v>2584</v>
      </c>
      <c r="W287" s="30" t="s">
        <v>2585</v>
      </c>
      <c r="X287" s="18" t="s">
        <v>542</v>
      </c>
      <c r="Y287" s="18" t="s">
        <v>98</v>
      </c>
      <c r="Z287" s="18" t="s">
        <v>1815</v>
      </c>
      <c r="AA287" s="16" t="s">
        <v>2433</v>
      </c>
      <c r="AB287" s="16" t="s">
        <v>2434</v>
      </c>
      <c r="AC287" s="16" t="s">
        <v>2435</v>
      </c>
      <c r="AD287" s="123" t="str">
        <f t="shared" si="4"/>
        <v>External Transfer-Other banks</v>
      </c>
      <c r="AE287" s="123" t="str">
        <f>VLOOKUP(Table1[[#This Row],[Name of bank]],'اكواد البنوك'!$A$2:$B$34,2,0)</f>
        <v>CIBEEGCXXXX</v>
      </c>
      <c r="AF287" s="21" t="s">
        <v>2586</v>
      </c>
      <c r="AG287" s="15" t="s">
        <v>49</v>
      </c>
    </row>
    <row r="288" spans="1:33">
      <c r="A288" s="14">
        <v>287</v>
      </c>
      <c r="B288" s="14" t="s">
        <v>2587</v>
      </c>
      <c r="C288" s="14" t="e">
        <v>#N/A</v>
      </c>
      <c r="D288" s="15" t="s">
        <v>1839</v>
      </c>
      <c r="E288" s="16" t="s">
        <v>2588</v>
      </c>
      <c r="F288" s="32" t="s">
        <v>2589</v>
      </c>
      <c r="G288" s="17" t="s">
        <v>2590</v>
      </c>
      <c r="H288" s="18" t="s">
        <v>2591</v>
      </c>
      <c r="I288" s="16" t="s">
        <v>2592</v>
      </c>
      <c r="J288" s="16" t="s">
        <v>86</v>
      </c>
      <c r="K288" s="16" t="s">
        <v>2593</v>
      </c>
      <c r="L288" s="16">
        <v>68446948</v>
      </c>
      <c r="M288" s="16">
        <v>892171</v>
      </c>
      <c r="N288" s="16">
        <v>29211060100578</v>
      </c>
      <c r="O288" s="16" t="s">
        <v>2594</v>
      </c>
      <c r="P288" s="16" t="s">
        <v>2595</v>
      </c>
      <c r="Q288" s="16" t="s">
        <v>1815</v>
      </c>
      <c r="R288" s="16" t="s">
        <v>1849</v>
      </c>
      <c r="S288" s="19" t="s">
        <v>2596</v>
      </c>
      <c r="T288" s="20" t="s">
        <v>93</v>
      </c>
      <c r="U288" s="16" t="s">
        <v>2597</v>
      </c>
      <c r="V288" s="16" t="s">
        <v>2598</v>
      </c>
      <c r="W288" s="30" t="s">
        <v>2599</v>
      </c>
      <c r="X288" s="18" t="s">
        <v>542</v>
      </c>
      <c r="Y288" s="18" t="s">
        <v>98</v>
      </c>
      <c r="Z288" s="18" t="s">
        <v>1815</v>
      </c>
      <c r="AA288" s="16" t="s">
        <v>2433</v>
      </c>
      <c r="AB288" s="16" t="s">
        <v>2434</v>
      </c>
      <c r="AC288" s="16" t="s">
        <v>2435</v>
      </c>
      <c r="AD288" s="123" t="str">
        <f t="shared" si="4"/>
        <v>External Transfer-Other banks</v>
      </c>
      <c r="AE288" s="123" t="str">
        <f>VLOOKUP(Table1[[#This Row],[Name of bank]],'اكواد البنوك'!$A$2:$B$34,2,0)</f>
        <v>QNBAEGCXXXX</v>
      </c>
      <c r="AF288" s="21" t="s">
        <v>1983</v>
      </c>
      <c r="AG288" s="15" t="s">
        <v>49</v>
      </c>
    </row>
    <row r="289" spans="1:33">
      <c r="A289" s="14">
        <v>288</v>
      </c>
      <c r="B289" s="14" t="str">
        <f>B288</f>
        <v>B104</v>
      </c>
      <c r="C289" s="14" t="e">
        <v>#N/A</v>
      </c>
      <c r="D289" s="15" t="s">
        <v>1839</v>
      </c>
      <c r="E289" s="16" t="s">
        <v>2600</v>
      </c>
      <c r="F289" s="32" t="s">
        <v>2601</v>
      </c>
      <c r="G289" s="17" t="s">
        <v>2602</v>
      </c>
      <c r="H289" s="18" t="s">
        <v>2603</v>
      </c>
      <c r="I289" s="16" t="s">
        <v>2604</v>
      </c>
      <c r="J289" s="16" t="s">
        <v>173</v>
      </c>
      <c r="K289" s="16" t="s">
        <v>2605</v>
      </c>
      <c r="L289" s="16">
        <v>71447636</v>
      </c>
      <c r="M289" s="16">
        <v>6223106</v>
      </c>
      <c r="N289" s="16">
        <v>30004011403573</v>
      </c>
      <c r="O289" s="16" t="s">
        <v>2606</v>
      </c>
      <c r="P289" s="16" t="s">
        <v>2607</v>
      </c>
      <c r="Q289" s="16" t="s">
        <v>1815</v>
      </c>
      <c r="R289" s="16" t="s">
        <v>1882</v>
      </c>
      <c r="S289" s="19" t="s">
        <v>2608</v>
      </c>
      <c r="T289" s="20" t="s">
        <v>341</v>
      </c>
      <c r="U289" s="16" t="s">
        <v>1872</v>
      </c>
      <c r="V289" s="16">
        <v>11258180284270</v>
      </c>
      <c r="W289" s="30" t="s">
        <v>2609</v>
      </c>
      <c r="X289" s="18" t="s">
        <v>542</v>
      </c>
      <c r="Y289" s="18" t="s">
        <v>98</v>
      </c>
      <c r="Z289" s="18" t="s">
        <v>1815</v>
      </c>
      <c r="AA289" s="16" t="s">
        <v>2433</v>
      </c>
      <c r="AB289" s="16" t="s">
        <v>2434</v>
      </c>
      <c r="AC289" s="16" t="s">
        <v>2435</v>
      </c>
      <c r="AD289" s="123" t="str">
        <f t="shared" si="4"/>
        <v>External Transfer-Other banks</v>
      </c>
      <c r="AE289" s="123" t="str">
        <f>VLOOKUP(Table1[[#This Row],[Name of bank]],'اكواد البنوك'!$A$2:$B$34,2,0)</f>
        <v>AGRIEGCXXXX</v>
      </c>
      <c r="AF289" s="21" t="s">
        <v>2610</v>
      </c>
      <c r="AG289" s="15" t="s">
        <v>49</v>
      </c>
    </row>
    <row r="290" spans="1:33">
      <c r="A290" s="14">
        <v>289</v>
      </c>
      <c r="B290" s="14" t="s">
        <v>2611</v>
      </c>
      <c r="C290" s="14" t="e">
        <v>#N/A</v>
      </c>
      <c r="D290" s="15" t="s">
        <v>1839</v>
      </c>
      <c r="E290" s="16" t="s">
        <v>2612</v>
      </c>
      <c r="F290" s="32" t="s">
        <v>2613</v>
      </c>
      <c r="G290" s="17" t="s">
        <v>2614</v>
      </c>
      <c r="H290" s="18" t="s">
        <v>2615</v>
      </c>
      <c r="I290" s="16" t="s">
        <v>2616</v>
      </c>
      <c r="J290" s="16" t="s">
        <v>1845</v>
      </c>
      <c r="K290" s="16" t="s">
        <v>2617</v>
      </c>
      <c r="L290" s="16">
        <v>58236028</v>
      </c>
      <c r="M290" s="16">
        <v>10067591</v>
      </c>
      <c r="N290" s="16">
        <v>28507310102507</v>
      </c>
      <c r="O290" s="16" t="s">
        <v>2618</v>
      </c>
      <c r="P290" s="16" t="s">
        <v>2619</v>
      </c>
      <c r="Q290" s="16" t="s">
        <v>1815</v>
      </c>
      <c r="R290" s="16" t="s">
        <v>1849</v>
      </c>
      <c r="S290" s="19" t="s">
        <v>2613</v>
      </c>
      <c r="T290" s="20" t="s">
        <v>40</v>
      </c>
      <c r="U290" s="16" t="s">
        <v>2123</v>
      </c>
      <c r="V290" s="16" t="s">
        <v>2620</v>
      </c>
      <c r="W290" s="30" t="s">
        <v>2621</v>
      </c>
      <c r="X290" s="18" t="s">
        <v>542</v>
      </c>
      <c r="Y290" s="18" t="s">
        <v>98</v>
      </c>
      <c r="Z290" s="18" t="s">
        <v>1815</v>
      </c>
      <c r="AA290" s="16" t="s">
        <v>2433</v>
      </c>
      <c r="AB290" s="16" t="s">
        <v>2434</v>
      </c>
      <c r="AC290" s="16" t="s">
        <v>2435</v>
      </c>
      <c r="AD290" s="123" t="str">
        <f t="shared" si="4"/>
        <v>External Transfer-NBE</v>
      </c>
      <c r="AE290" s="123" t="str">
        <f>VLOOKUP(Table1[[#This Row],[Name of bank]],'اكواد البنوك'!$A$2:$B$34,2,0)</f>
        <v>NBEGEGCXXXX</v>
      </c>
      <c r="AF290" s="21" t="s">
        <v>2622</v>
      </c>
      <c r="AG290" s="15" t="s">
        <v>49</v>
      </c>
    </row>
    <row r="291" spans="1:33">
      <c r="A291" s="14">
        <v>290</v>
      </c>
      <c r="B291" s="14" t="str">
        <f>B290</f>
        <v>B105</v>
      </c>
      <c r="C291" s="14" t="e">
        <v>#N/A</v>
      </c>
      <c r="D291" s="15" t="s">
        <v>1839</v>
      </c>
      <c r="E291" s="16" t="s">
        <v>2623</v>
      </c>
      <c r="F291" s="32" t="s">
        <v>2624</v>
      </c>
      <c r="G291" s="17" t="s">
        <v>2625</v>
      </c>
      <c r="H291" s="18" t="s">
        <v>2626</v>
      </c>
      <c r="I291" s="16" t="s">
        <v>2627</v>
      </c>
      <c r="J291" s="16" t="s">
        <v>86</v>
      </c>
      <c r="K291" s="16" t="s">
        <v>2628</v>
      </c>
      <c r="L291" s="16">
        <v>75251160</v>
      </c>
      <c r="M291" s="16">
        <v>892171</v>
      </c>
      <c r="N291" s="16">
        <v>29409302100408</v>
      </c>
      <c r="O291" s="16" t="s">
        <v>2629</v>
      </c>
      <c r="P291" s="16" t="s">
        <v>2630</v>
      </c>
      <c r="Q291" s="16" t="s">
        <v>1815</v>
      </c>
      <c r="R291" s="16" t="s">
        <v>1849</v>
      </c>
      <c r="S291" s="19" t="s">
        <v>2631</v>
      </c>
      <c r="T291" s="20" t="s">
        <v>40</v>
      </c>
      <c r="U291" s="16" t="s">
        <v>2632</v>
      </c>
      <c r="V291" s="16" t="s">
        <v>2633</v>
      </c>
      <c r="W291" s="30" t="s">
        <v>2634</v>
      </c>
      <c r="X291" s="18" t="s">
        <v>542</v>
      </c>
      <c r="Y291" s="18" t="s">
        <v>98</v>
      </c>
      <c r="Z291" s="18" t="s">
        <v>1815</v>
      </c>
      <c r="AA291" s="16" t="s">
        <v>2433</v>
      </c>
      <c r="AB291" s="16" t="s">
        <v>2434</v>
      </c>
      <c r="AC291" s="16" t="s">
        <v>2435</v>
      </c>
      <c r="AD291" s="123" t="str">
        <f t="shared" si="4"/>
        <v>External Transfer-NBE</v>
      </c>
      <c r="AE291" s="123" t="str">
        <f>VLOOKUP(Table1[[#This Row],[Name of bank]],'اكواد البنوك'!$A$2:$B$34,2,0)</f>
        <v>NBEGEGCXXXX</v>
      </c>
      <c r="AF291" s="21" t="s">
        <v>1176</v>
      </c>
      <c r="AG291" s="15" t="s">
        <v>49</v>
      </c>
    </row>
    <row r="292" spans="1:33">
      <c r="A292" s="14">
        <v>291</v>
      </c>
      <c r="B292" s="14" t="s">
        <v>2635</v>
      </c>
      <c r="C292" s="14" t="e">
        <v>#N/A</v>
      </c>
      <c r="D292" s="15" t="s">
        <v>1839</v>
      </c>
      <c r="E292" s="16" t="s">
        <v>2636</v>
      </c>
      <c r="F292" s="32" t="s">
        <v>2637</v>
      </c>
      <c r="G292" s="17" t="s">
        <v>2638</v>
      </c>
      <c r="H292" s="18" t="s">
        <v>2639</v>
      </c>
      <c r="I292" s="16" t="s">
        <v>2640</v>
      </c>
      <c r="J292" s="16" t="s">
        <v>86</v>
      </c>
      <c r="K292" s="16" t="s">
        <v>2641</v>
      </c>
      <c r="L292" s="16" t="s">
        <v>136</v>
      </c>
      <c r="M292" s="16" t="s">
        <v>977</v>
      </c>
      <c r="N292" s="16">
        <v>30004110101228</v>
      </c>
      <c r="O292" s="16" t="s">
        <v>2642</v>
      </c>
      <c r="P292" s="16" t="s">
        <v>2643</v>
      </c>
      <c r="Q292" s="16" t="s">
        <v>1815</v>
      </c>
      <c r="R292" s="16" t="s">
        <v>1849</v>
      </c>
      <c r="S292" s="19" t="s">
        <v>2644</v>
      </c>
      <c r="T292" s="20" t="s">
        <v>40</v>
      </c>
      <c r="U292" s="16" t="s">
        <v>2645</v>
      </c>
      <c r="V292" s="16" t="s">
        <v>2646</v>
      </c>
      <c r="W292" s="30" t="s">
        <v>2647</v>
      </c>
      <c r="X292" s="18" t="s">
        <v>542</v>
      </c>
      <c r="Y292" s="18" t="s">
        <v>98</v>
      </c>
      <c r="Z292" s="18" t="s">
        <v>1815</v>
      </c>
      <c r="AA292" s="16" t="s">
        <v>2433</v>
      </c>
      <c r="AB292" s="16" t="s">
        <v>2434</v>
      </c>
      <c r="AC292" s="16" t="s">
        <v>2435</v>
      </c>
      <c r="AD292" s="123" t="str">
        <f t="shared" si="4"/>
        <v>External Transfer-NBE</v>
      </c>
      <c r="AE292" s="123" t="str">
        <f>VLOOKUP(Table1[[#This Row],[Name of bank]],'اكواد البنوك'!$A$2:$B$34,2,0)</f>
        <v>NBEGEGCXXXX</v>
      </c>
      <c r="AF292" s="21" t="s">
        <v>2648</v>
      </c>
      <c r="AG292" s="15" t="s">
        <v>49</v>
      </c>
    </row>
    <row r="293" spans="1:33">
      <c r="A293" s="14">
        <v>292</v>
      </c>
      <c r="B293" s="14" t="str">
        <f>B292</f>
        <v>B106</v>
      </c>
      <c r="C293" s="14" t="e">
        <v>#N/A</v>
      </c>
      <c r="D293" s="15" t="s">
        <v>1839</v>
      </c>
      <c r="E293" s="16" t="s">
        <v>2649</v>
      </c>
      <c r="F293" s="32" t="s">
        <v>10097</v>
      </c>
      <c r="G293" s="17" t="s">
        <v>2650</v>
      </c>
      <c r="H293" s="18" t="s">
        <v>2651</v>
      </c>
      <c r="I293" s="16" t="s">
        <v>2652</v>
      </c>
      <c r="J293" s="16" t="s">
        <v>86</v>
      </c>
      <c r="K293" s="16" t="s">
        <v>1910</v>
      </c>
      <c r="L293" s="16" t="s">
        <v>2653</v>
      </c>
      <c r="M293" s="16" t="s">
        <v>977</v>
      </c>
      <c r="N293" s="16">
        <v>29109052103747</v>
      </c>
      <c r="O293" s="16" t="s">
        <v>2654</v>
      </c>
      <c r="P293" s="16" t="s">
        <v>2655</v>
      </c>
      <c r="Q293" s="16" t="s">
        <v>1815</v>
      </c>
      <c r="R293" s="16" t="s">
        <v>1849</v>
      </c>
      <c r="S293" s="19" t="s">
        <v>2656</v>
      </c>
      <c r="T293" s="20" t="s">
        <v>40</v>
      </c>
      <c r="U293" s="16" t="s">
        <v>2657</v>
      </c>
      <c r="V293" s="16" t="s">
        <v>2658</v>
      </c>
      <c r="W293" s="30" t="s">
        <v>2659</v>
      </c>
      <c r="X293" s="18" t="s">
        <v>542</v>
      </c>
      <c r="Y293" s="18" t="s">
        <v>98</v>
      </c>
      <c r="Z293" s="18" t="s">
        <v>1815</v>
      </c>
      <c r="AA293" s="16" t="s">
        <v>2433</v>
      </c>
      <c r="AB293" s="16" t="s">
        <v>2434</v>
      </c>
      <c r="AC293" s="16" t="s">
        <v>2435</v>
      </c>
      <c r="AD293" s="123" t="str">
        <f t="shared" si="4"/>
        <v>External Transfer-NBE</v>
      </c>
      <c r="AE293" s="123" t="str">
        <f>VLOOKUP(Table1[[#This Row],[Name of bank]],'اكواد البنوك'!$A$2:$B$34,2,0)</f>
        <v>NBEGEGCXXXX</v>
      </c>
      <c r="AF293" s="21" t="s">
        <v>2660</v>
      </c>
      <c r="AG293" s="15" t="s">
        <v>49</v>
      </c>
    </row>
    <row r="294" spans="1:33">
      <c r="A294" s="14">
        <v>293</v>
      </c>
      <c r="B294" s="14" t="s">
        <v>2661</v>
      </c>
      <c r="C294" s="14" t="e">
        <v>#N/A</v>
      </c>
      <c r="D294" s="15" t="s">
        <v>1839</v>
      </c>
      <c r="E294" s="16" t="s">
        <v>2662</v>
      </c>
      <c r="F294" s="32" t="s">
        <v>2663</v>
      </c>
      <c r="G294" s="17" t="s">
        <v>2664</v>
      </c>
      <c r="H294" s="18" t="s">
        <v>2665</v>
      </c>
      <c r="I294" s="16" t="s">
        <v>2117</v>
      </c>
      <c r="J294" s="16" t="s">
        <v>86</v>
      </c>
      <c r="K294" s="16" t="s">
        <v>2666</v>
      </c>
      <c r="L294" s="16">
        <v>80393577</v>
      </c>
      <c r="M294" s="16">
        <v>484568809</v>
      </c>
      <c r="N294" s="16">
        <v>27801280105281</v>
      </c>
      <c r="O294" s="16" t="s">
        <v>2667</v>
      </c>
      <c r="P294" s="16" t="s">
        <v>2668</v>
      </c>
      <c r="Q294" s="16" t="s">
        <v>1815</v>
      </c>
      <c r="R294" s="16" t="s">
        <v>1849</v>
      </c>
      <c r="S294" s="19" t="s">
        <v>2669</v>
      </c>
      <c r="T294" s="20" t="s">
        <v>40</v>
      </c>
      <c r="U294" s="16" t="s">
        <v>2670</v>
      </c>
      <c r="V294" s="16" t="s">
        <v>2671</v>
      </c>
      <c r="W294" s="30" t="s">
        <v>2672</v>
      </c>
      <c r="X294" s="18" t="s">
        <v>542</v>
      </c>
      <c r="Y294" s="18" t="s">
        <v>98</v>
      </c>
      <c r="Z294" s="18" t="s">
        <v>1815</v>
      </c>
      <c r="AA294" s="16" t="s">
        <v>2433</v>
      </c>
      <c r="AB294" s="16" t="s">
        <v>2434</v>
      </c>
      <c r="AC294" s="16" t="s">
        <v>2435</v>
      </c>
      <c r="AD294" s="123" t="str">
        <f t="shared" si="4"/>
        <v>External Transfer-NBE</v>
      </c>
      <c r="AE294" s="123" t="str">
        <f>VLOOKUP(Table1[[#This Row],[Name of bank]],'اكواد البنوك'!$A$2:$B$34,2,0)</f>
        <v>NBEGEGCXXXX</v>
      </c>
      <c r="AF294" s="21" t="s">
        <v>2673</v>
      </c>
      <c r="AG294" s="15" t="s">
        <v>49</v>
      </c>
    </row>
    <row r="295" spans="1:33">
      <c r="A295" s="14">
        <v>294</v>
      </c>
      <c r="B295" s="14" t="e">
        <f>#REF!</f>
        <v>#REF!</v>
      </c>
      <c r="C295" s="14" t="e">
        <v>#N/A</v>
      </c>
      <c r="D295" s="15" t="s">
        <v>1839</v>
      </c>
      <c r="E295" s="16" t="s">
        <v>2674</v>
      </c>
      <c r="F295" s="54" t="s">
        <v>2675</v>
      </c>
      <c r="G295" s="17" t="s">
        <v>2676</v>
      </c>
      <c r="H295" s="18">
        <v>201121382551</v>
      </c>
      <c r="I295" s="16" t="s">
        <v>2677</v>
      </c>
      <c r="J295" s="16" t="s">
        <v>173</v>
      </c>
      <c r="K295" s="16" t="s">
        <v>2678</v>
      </c>
      <c r="L295" s="16" t="s">
        <v>1996</v>
      </c>
      <c r="M295" s="16" t="s">
        <v>1996</v>
      </c>
      <c r="N295" s="16" t="s">
        <v>1996</v>
      </c>
      <c r="O295" s="16" t="s">
        <v>2679</v>
      </c>
      <c r="P295" s="16" t="s">
        <v>2680</v>
      </c>
      <c r="Q295" s="16" t="s">
        <v>1815</v>
      </c>
      <c r="R295" s="16" t="s">
        <v>1882</v>
      </c>
      <c r="S295" s="76" t="s">
        <v>10331</v>
      </c>
      <c r="T295" s="76" t="s">
        <v>10005</v>
      </c>
      <c r="U295" s="76" t="s">
        <v>10332</v>
      </c>
      <c r="V295" s="76" t="s">
        <v>10333</v>
      </c>
      <c r="W295" s="76" t="s">
        <v>10334</v>
      </c>
      <c r="X295" s="18" t="s">
        <v>542</v>
      </c>
      <c r="Y295" s="18" t="s">
        <v>98</v>
      </c>
      <c r="Z295" s="18" t="s">
        <v>1815</v>
      </c>
      <c r="AA295" s="16" t="s">
        <v>2433</v>
      </c>
      <c r="AB295" s="16" t="s">
        <v>2434</v>
      </c>
      <c r="AC295" s="16" t="s">
        <v>2435</v>
      </c>
      <c r="AD295" s="123" t="str">
        <f t="shared" si="4"/>
        <v>External Transfer-Other banks</v>
      </c>
      <c r="AE295" s="123" t="s">
        <v>4761</v>
      </c>
      <c r="AF295" s="21" t="s">
        <v>10229</v>
      </c>
      <c r="AG295" s="15" t="s">
        <v>2681</v>
      </c>
    </row>
    <row r="296" spans="1:33">
      <c r="A296" s="14">
        <v>295</v>
      </c>
      <c r="B296" s="14" t="s">
        <v>73</v>
      </c>
      <c r="C296" s="14" t="e">
        <v>#N/A</v>
      </c>
      <c r="D296" s="15" t="s">
        <v>1831</v>
      </c>
      <c r="E296" s="16" t="s">
        <v>2682</v>
      </c>
      <c r="F296" s="32" t="s">
        <v>2683</v>
      </c>
      <c r="G296" s="17" t="s">
        <v>2684</v>
      </c>
      <c r="H296" s="18" t="s">
        <v>2685</v>
      </c>
      <c r="I296" s="16" t="s">
        <v>1831</v>
      </c>
      <c r="J296" s="16"/>
      <c r="K296" s="16"/>
      <c r="L296" s="16" t="s">
        <v>1836</v>
      </c>
      <c r="M296" s="16">
        <v>58181727</v>
      </c>
      <c r="N296" s="16" t="s">
        <v>2686</v>
      </c>
      <c r="O296" s="16"/>
      <c r="P296" s="16"/>
      <c r="Q296" s="16"/>
      <c r="R296" s="16"/>
      <c r="S296" s="19"/>
      <c r="T296" s="20" t="s">
        <v>1837</v>
      </c>
      <c r="U296" s="16"/>
      <c r="V296" s="16"/>
      <c r="W296" s="30" t="s">
        <v>1838</v>
      </c>
      <c r="X296" s="18" t="s">
        <v>2096</v>
      </c>
      <c r="Y296" s="18" t="s">
        <v>98</v>
      </c>
      <c r="Z296" s="18" t="s">
        <v>1815</v>
      </c>
      <c r="AA296" s="16" t="s">
        <v>2433</v>
      </c>
      <c r="AB296" s="16" t="s">
        <v>2434</v>
      </c>
      <c r="AC296" s="16" t="s">
        <v>2435</v>
      </c>
      <c r="AD296" s="123" t="str">
        <f t="shared" si="4"/>
        <v>FUE</v>
      </c>
      <c r="AE296" s="123" t="str">
        <f>VLOOKUP(Table1[[#This Row],[Name of bank]],'اكواد البنوك'!$A$2:$B$34,2,0)</f>
        <v>FUE</v>
      </c>
      <c r="AF296" s="21" t="s">
        <v>1838</v>
      </c>
      <c r="AG296" s="15" t="s">
        <v>49</v>
      </c>
    </row>
    <row r="297" spans="1:33">
      <c r="A297" s="14">
        <v>296</v>
      </c>
      <c r="B297" s="14" t="str">
        <f>B296</f>
        <v>2nd Floor</v>
      </c>
      <c r="C297" s="14" t="e">
        <v>#N/A</v>
      </c>
      <c r="D297" s="15" t="s">
        <v>1855</v>
      </c>
      <c r="E297" s="16" t="s">
        <v>2687</v>
      </c>
      <c r="F297" s="32" t="s">
        <v>2688</v>
      </c>
      <c r="G297" s="17" t="s">
        <v>2689</v>
      </c>
      <c r="H297" s="18">
        <v>201157009696</v>
      </c>
      <c r="I297" s="16" t="s">
        <v>2462</v>
      </c>
      <c r="J297" s="16" t="s">
        <v>1845</v>
      </c>
      <c r="K297" s="16" t="s">
        <v>2462</v>
      </c>
      <c r="L297" s="16" t="s">
        <v>136</v>
      </c>
      <c r="M297" s="16" t="s">
        <v>136</v>
      </c>
      <c r="N297" s="16">
        <v>30309170100684</v>
      </c>
      <c r="O297" s="16" t="s">
        <v>2690</v>
      </c>
      <c r="P297" s="16" t="s">
        <v>2691</v>
      </c>
      <c r="Q297" s="16" t="s">
        <v>1815</v>
      </c>
      <c r="R297" s="16" t="s">
        <v>1849</v>
      </c>
      <c r="S297" s="19" t="s">
        <v>1861</v>
      </c>
      <c r="T297" s="20" t="s">
        <v>40</v>
      </c>
      <c r="U297" s="16" t="s">
        <v>1851</v>
      </c>
      <c r="V297" s="16"/>
      <c r="W297" s="115" t="s">
        <v>10235</v>
      </c>
      <c r="X297" s="18" t="s">
        <v>97</v>
      </c>
      <c r="Y297" s="18" t="s">
        <v>98</v>
      </c>
      <c r="Z297" s="18" t="s">
        <v>1815</v>
      </c>
      <c r="AA297" s="16" t="s">
        <v>2433</v>
      </c>
      <c r="AB297" s="16" t="s">
        <v>2434</v>
      </c>
      <c r="AC297" s="16" t="s">
        <v>2435</v>
      </c>
      <c r="AD297" s="123" t="str">
        <f t="shared" si="4"/>
        <v>External Transfer-NBE</v>
      </c>
      <c r="AE297" s="123" t="str">
        <f>VLOOKUP(Table1[[#This Row],[Name of bank]],'اكواد البنوك'!$A$2:$B$34,2,0)</f>
        <v>NBEGEGCXXXX</v>
      </c>
      <c r="AF297" s="114" t="s">
        <v>2163</v>
      </c>
      <c r="AG297" s="15" t="s">
        <v>1862</v>
      </c>
    </row>
    <row r="298" spans="1:33">
      <c r="A298" s="14">
        <v>297</v>
      </c>
      <c r="B298" s="14" t="str">
        <f>B297</f>
        <v>2nd Floor</v>
      </c>
      <c r="C298" s="14" t="e">
        <v>#N/A</v>
      </c>
      <c r="D298" s="15" t="s">
        <v>1831</v>
      </c>
      <c r="E298" s="16" t="s">
        <v>2692</v>
      </c>
      <c r="F298" s="32" t="s">
        <v>10106</v>
      </c>
      <c r="G298" s="17" t="s">
        <v>2693</v>
      </c>
      <c r="H298" s="18" t="s">
        <v>2694</v>
      </c>
      <c r="I298" s="16" t="s">
        <v>1831</v>
      </c>
      <c r="J298" s="16"/>
      <c r="K298" s="16"/>
      <c r="L298" s="16" t="s">
        <v>1836</v>
      </c>
      <c r="M298" s="16" t="s">
        <v>1996</v>
      </c>
      <c r="N298" s="16">
        <v>30510050100629</v>
      </c>
      <c r="O298" s="16"/>
      <c r="P298" s="16"/>
      <c r="Q298" s="16"/>
      <c r="R298" s="16"/>
      <c r="S298" s="19"/>
      <c r="T298" s="20" t="s">
        <v>1837</v>
      </c>
      <c r="U298" s="16"/>
      <c r="V298" s="16"/>
      <c r="W298" s="30" t="s">
        <v>1838</v>
      </c>
      <c r="X298" s="18" t="s">
        <v>97</v>
      </c>
      <c r="Y298" s="18" t="s">
        <v>98</v>
      </c>
      <c r="Z298" s="18" t="s">
        <v>1815</v>
      </c>
      <c r="AA298" s="16" t="s">
        <v>2433</v>
      </c>
      <c r="AB298" s="16" t="s">
        <v>2434</v>
      </c>
      <c r="AC298" s="16" t="s">
        <v>2435</v>
      </c>
      <c r="AD298" s="123" t="str">
        <f t="shared" si="4"/>
        <v>FUE</v>
      </c>
      <c r="AE298" s="123" t="str">
        <f>VLOOKUP(Table1[[#This Row],[Name of bank]],'اكواد البنوك'!$A$2:$B$34,2,0)</f>
        <v>FUE</v>
      </c>
      <c r="AF298" s="21" t="s">
        <v>1838</v>
      </c>
      <c r="AG298" s="15" t="s">
        <v>49</v>
      </c>
    </row>
    <row r="299" spans="1:33">
      <c r="A299" s="14">
        <v>298</v>
      </c>
      <c r="B299" s="14" t="s">
        <v>2695</v>
      </c>
      <c r="C299" s="14" t="e">
        <v>#N/A</v>
      </c>
      <c r="D299" s="15" t="s">
        <v>1839</v>
      </c>
      <c r="E299" s="16" t="s">
        <v>2696</v>
      </c>
      <c r="F299" s="32" t="s">
        <v>2697</v>
      </c>
      <c r="G299" s="17" t="s">
        <v>2698</v>
      </c>
      <c r="H299" s="18" t="s">
        <v>2699</v>
      </c>
      <c r="I299" s="16" t="s">
        <v>2700</v>
      </c>
      <c r="J299" s="16" t="s">
        <v>86</v>
      </c>
      <c r="K299" s="16" t="s">
        <v>2701</v>
      </c>
      <c r="L299" s="16">
        <v>52513922</v>
      </c>
      <c r="M299" s="16">
        <v>892171</v>
      </c>
      <c r="N299" s="16">
        <v>29309030101049</v>
      </c>
      <c r="O299" s="16" t="s">
        <v>2702</v>
      </c>
      <c r="P299" s="16" t="s">
        <v>2703</v>
      </c>
      <c r="Q299" s="16" t="s">
        <v>1815</v>
      </c>
      <c r="R299" s="16" t="s">
        <v>1849</v>
      </c>
      <c r="S299" s="19" t="s">
        <v>2697</v>
      </c>
      <c r="T299" s="20" t="s">
        <v>40</v>
      </c>
      <c r="U299" s="16" t="s">
        <v>2704</v>
      </c>
      <c r="V299" s="16" t="s">
        <v>2705</v>
      </c>
      <c r="W299" s="30" t="s">
        <v>2706</v>
      </c>
      <c r="X299" s="18" t="s">
        <v>542</v>
      </c>
      <c r="Y299" s="18" t="s">
        <v>98</v>
      </c>
      <c r="Z299" s="18" t="s">
        <v>1815</v>
      </c>
      <c r="AA299" s="16" t="s">
        <v>2433</v>
      </c>
      <c r="AB299" s="16" t="s">
        <v>2434</v>
      </c>
      <c r="AC299" s="16" t="s">
        <v>2435</v>
      </c>
      <c r="AD299" s="123" t="str">
        <f t="shared" si="4"/>
        <v>External Transfer-NBE</v>
      </c>
      <c r="AE299" s="123" t="str">
        <f>VLOOKUP(Table1[[#This Row],[Name of bank]],'اكواد البنوك'!$A$2:$B$34,2,0)</f>
        <v>NBEGEGCXXXX</v>
      </c>
      <c r="AF299" s="21" t="s">
        <v>2707</v>
      </c>
      <c r="AG299" s="15" t="s">
        <v>49</v>
      </c>
    </row>
    <row r="300" spans="1:33">
      <c r="A300" s="14">
        <v>299</v>
      </c>
      <c r="B300" s="14" t="str">
        <f>B299</f>
        <v>B201</v>
      </c>
      <c r="C300" s="14">
        <v>101</v>
      </c>
      <c r="D300" s="15" t="s">
        <v>1839</v>
      </c>
      <c r="E300" s="16" t="s">
        <v>2708</v>
      </c>
      <c r="F300" s="32" t="s">
        <v>2709</v>
      </c>
      <c r="G300" s="17" t="s">
        <v>2710</v>
      </c>
      <c r="H300" s="18">
        <v>201151128310</v>
      </c>
      <c r="I300" s="16" t="s">
        <v>2711</v>
      </c>
      <c r="J300" s="16" t="s">
        <v>86</v>
      </c>
      <c r="K300" s="16" t="s">
        <v>257</v>
      </c>
      <c r="L300" s="16" t="s">
        <v>136</v>
      </c>
      <c r="M300" s="16" t="s">
        <v>136</v>
      </c>
      <c r="N300" s="16">
        <v>29306050104843</v>
      </c>
      <c r="O300" s="16" t="s">
        <v>2712</v>
      </c>
      <c r="P300" s="16" t="s">
        <v>2713</v>
      </c>
      <c r="Q300" s="16" t="s">
        <v>1815</v>
      </c>
      <c r="R300" s="16" t="s">
        <v>1849</v>
      </c>
      <c r="S300" s="91" t="s">
        <v>2714</v>
      </c>
      <c r="T300" s="91" t="s">
        <v>93</v>
      </c>
      <c r="U300" s="91" t="s">
        <v>2715</v>
      </c>
      <c r="V300" s="73" t="s">
        <v>10303</v>
      </c>
      <c r="W300" s="119" t="s">
        <v>9991</v>
      </c>
      <c r="X300" s="18" t="s">
        <v>542</v>
      </c>
      <c r="Y300" s="18" t="s">
        <v>98</v>
      </c>
      <c r="Z300" s="18" t="s">
        <v>1815</v>
      </c>
      <c r="AA300" s="16" t="s">
        <v>2433</v>
      </c>
      <c r="AB300" s="16" t="s">
        <v>2434</v>
      </c>
      <c r="AC300" s="16" t="s">
        <v>2435</v>
      </c>
      <c r="AD300" s="123" t="str">
        <f t="shared" si="4"/>
        <v>External Transfer-Other banks</v>
      </c>
      <c r="AE300" s="123" t="str">
        <f>VLOOKUP(Table1[[#This Row],[Name of bank]],'اكواد البنوك'!$A$2:$B$34,2,0)</f>
        <v>QNBAEGCXXXX</v>
      </c>
      <c r="AF300" s="120" t="s">
        <v>10391</v>
      </c>
      <c r="AG300" s="112" t="s">
        <v>1073</v>
      </c>
    </row>
    <row r="301" spans="1:33">
      <c r="A301" s="14">
        <v>300</v>
      </c>
      <c r="B301" s="14" t="e">
        <f>#REF!</f>
        <v>#REF!</v>
      </c>
      <c r="C301" s="14" t="e">
        <v>#N/A</v>
      </c>
      <c r="D301" s="15" t="s">
        <v>1831</v>
      </c>
      <c r="E301" s="16" t="s">
        <v>2716</v>
      </c>
      <c r="F301" s="32" t="s">
        <v>2717</v>
      </c>
      <c r="G301" s="17" t="s">
        <v>2718</v>
      </c>
      <c r="H301" s="18" t="s">
        <v>2719</v>
      </c>
      <c r="I301" s="16"/>
      <c r="J301" s="16"/>
      <c r="K301" s="16" t="s">
        <v>1831</v>
      </c>
      <c r="L301" s="16" t="s">
        <v>1836</v>
      </c>
      <c r="M301" s="16" t="s">
        <v>2720</v>
      </c>
      <c r="N301" s="16">
        <v>29006010102178</v>
      </c>
      <c r="O301" s="16"/>
      <c r="P301" s="16"/>
      <c r="Q301" s="16"/>
      <c r="R301" s="16"/>
      <c r="S301" s="19"/>
      <c r="T301" s="20" t="s">
        <v>1837</v>
      </c>
      <c r="U301" s="16"/>
      <c r="V301" s="16"/>
      <c r="W301" s="30" t="s">
        <v>1838</v>
      </c>
      <c r="X301" s="18" t="s">
        <v>542</v>
      </c>
      <c r="Y301" s="18" t="s">
        <v>98</v>
      </c>
      <c r="Z301" s="18" t="s">
        <v>1815</v>
      </c>
      <c r="AA301" s="16" t="s">
        <v>2433</v>
      </c>
      <c r="AB301" s="16" t="s">
        <v>2434</v>
      </c>
      <c r="AC301" s="16" t="s">
        <v>2435</v>
      </c>
      <c r="AD301" s="123" t="str">
        <f t="shared" si="4"/>
        <v>FUE</v>
      </c>
      <c r="AE301" s="123" t="str">
        <f>VLOOKUP(Table1[[#This Row],[Name of bank]],'اكواد البنوك'!$A$2:$B$34,2,0)</f>
        <v>FUE</v>
      </c>
      <c r="AF301" s="21" t="s">
        <v>1838</v>
      </c>
      <c r="AG301" s="15" t="s">
        <v>49</v>
      </c>
    </row>
    <row r="302" spans="1:33">
      <c r="A302" s="14">
        <v>301</v>
      </c>
      <c r="B302" s="14" t="s">
        <v>2721</v>
      </c>
      <c r="C302" s="14" t="e">
        <v>#N/A</v>
      </c>
      <c r="D302" s="15" t="s">
        <v>1839</v>
      </c>
      <c r="E302" s="16" t="s">
        <v>2722</v>
      </c>
      <c r="F302" s="32" t="s">
        <v>2723</v>
      </c>
      <c r="G302" s="17" t="s">
        <v>2724</v>
      </c>
      <c r="H302" s="18">
        <v>201201145663</v>
      </c>
      <c r="I302" s="16" t="s">
        <v>2725</v>
      </c>
      <c r="J302" s="16" t="s">
        <v>173</v>
      </c>
      <c r="K302" s="16" t="s">
        <v>2726</v>
      </c>
      <c r="L302" s="16" t="s">
        <v>234</v>
      </c>
      <c r="M302" s="16" t="s">
        <v>234</v>
      </c>
      <c r="N302" s="16">
        <v>29609092500806</v>
      </c>
      <c r="O302" s="16" t="s">
        <v>2727</v>
      </c>
      <c r="P302" s="16" t="s">
        <v>2728</v>
      </c>
      <c r="Q302" s="16" t="s">
        <v>1815</v>
      </c>
      <c r="R302" s="16" t="s">
        <v>1882</v>
      </c>
      <c r="S302" s="96" t="s">
        <v>10304</v>
      </c>
      <c r="T302" s="96" t="s">
        <v>274</v>
      </c>
      <c r="U302" s="96" t="s">
        <v>4856</v>
      </c>
      <c r="V302" s="73" t="s">
        <v>10305</v>
      </c>
      <c r="W302" s="118" t="s">
        <v>10306</v>
      </c>
      <c r="X302" s="18" t="s">
        <v>542</v>
      </c>
      <c r="Y302" s="18" t="s">
        <v>98</v>
      </c>
      <c r="Z302" s="18" t="s">
        <v>1815</v>
      </c>
      <c r="AA302" s="16" t="s">
        <v>2433</v>
      </c>
      <c r="AB302" s="16" t="s">
        <v>2434</v>
      </c>
      <c r="AC302" s="16" t="s">
        <v>2435</v>
      </c>
      <c r="AD302" s="123" t="str">
        <f t="shared" si="4"/>
        <v>External Transfer-Other banks</v>
      </c>
      <c r="AE302" s="123" t="str">
        <f>VLOOKUP(Table1[[#This Row],[Name of bank]],'اكواد البنوك'!$A$2:$B$34,2,0)</f>
        <v>BCAIEGCXXXX</v>
      </c>
      <c r="AF302" s="120" t="s">
        <v>10392</v>
      </c>
      <c r="AG302" s="112" t="s">
        <v>1073</v>
      </c>
    </row>
    <row r="303" spans="1:33">
      <c r="A303" s="14">
        <v>302</v>
      </c>
      <c r="B303" s="14" t="str">
        <f>B302</f>
        <v>B202</v>
      </c>
      <c r="C303" s="14" t="e">
        <v>#N/A</v>
      </c>
      <c r="D303" s="15" t="s">
        <v>1831</v>
      </c>
      <c r="E303" s="16" t="s">
        <v>2729</v>
      </c>
      <c r="F303" s="32" t="s">
        <v>10140</v>
      </c>
      <c r="G303" s="17" t="s">
        <v>2730</v>
      </c>
      <c r="H303" s="18" t="s">
        <v>2731</v>
      </c>
      <c r="I303" s="16"/>
      <c r="J303" s="16"/>
      <c r="K303" s="16" t="s">
        <v>1831</v>
      </c>
      <c r="L303" s="16" t="s">
        <v>1836</v>
      </c>
      <c r="M303" s="16" t="s">
        <v>2732</v>
      </c>
      <c r="N303" s="16">
        <v>28605010107916</v>
      </c>
      <c r="O303" s="16"/>
      <c r="P303" s="16"/>
      <c r="Q303" s="16"/>
      <c r="R303" s="16"/>
      <c r="S303" s="19"/>
      <c r="T303" s="20" t="s">
        <v>1837</v>
      </c>
      <c r="U303" s="16"/>
      <c r="V303" s="16"/>
      <c r="W303" s="30" t="s">
        <v>1838</v>
      </c>
      <c r="X303" s="18" t="s">
        <v>542</v>
      </c>
      <c r="Y303" s="18" t="s">
        <v>98</v>
      </c>
      <c r="Z303" s="18" t="s">
        <v>1815</v>
      </c>
      <c r="AA303" s="16" t="s">
        <v>2433</v>
      </c>
      <c r="AB303" s="16" t="s">
        <v>2434</v>
      </c>
      <c r="AC303" s="16" t="s">
        <v>2435</v>
      </c>
      <c r="AD303" s="123" t="str">
        <f t="shared" si="4"/>
        <v>FUE</v>
      </c>
      <c r="AE303" s="123" t="str">
        <f>VLOOKUP(Table1[[#This Row],[Name of bank]],'اكواد البنوك'!$A$2:$B$34,2,0)</f>
        <v>FUE</v>
      </c>
      <c r="AF303" s="21" t="s">
        <v>1838</v>
      </c>
      <c r="AG303" s="15" t="s">
        <v>49</v>
      </c>
    </row>
    <row r="304" spans="1:33">
      <c r="A304" s="14">
        <v>303</v>
      </c>
      <c r="B304" s="14" t="s">
        <v>2733</v>
      </c>
      <c r="C304" s="14" t="e">
        <v>#N/A</v>
      </c>
      <c r="D304" s="15" t="s">
        <v>1831</v>
      </c>
      <c r="E304" s="16" t="s">
        <v>2734</v>
      </c>
      <c r="F304" s="32" t="s">
        <v>2735</v>
      </c>
      <c r="G304" s="17" t="s">
        <v>2736</v>
      </c>
      <c r="H304" s="18" t="s">
        <v>2737</v>
      </c>
      <c r="I304" s="16"/>
      <c r="J304" s="16"/>
      <c r="K304" s="16" t="s">
        <v>1831</v>
      </c>
      <c r="L304" s="16" t="s">
        <v>1836</v>
      </c>
      <c r="M304" s="16">
        <v>62327745</v>
      </c>
      <c r="N304" s="16" t="s">
        <v>2738</v>
      </c>
      <c r="O304" s="16"/>
      <c r="P304" s="16"/>
      <c r="Q304" s="16"/>
      <c r="R304" s="16"/>
      <c r="S304" s="19"/>
      <c r="T304" s="20" t="s">
        <v>1837</v>
      </c>
      <c r="U304" s="16"/>
      <c r="V304" s="16"/>
      <c r="W304" s="30" t="s">
        <v>1838</v>
      </c>
      <c r="X304" s="18" t="s">
        <v>542</v>
      </c>
      <c r="Y304" s="18" t="s">
        <v>98</v>
      </c>
      <c r="Z304" s="18" t="s">
        <v>1815</v>
      </c>
      <c r="AA304" s="16" t="s">
        <v>2433</v>
      </c>
      <c r="AB304" s="16" t="s">
        <v>2434</v>
      </c>
      <c r="AC304" s="16" t="s">
        <v>2435</v>
      </c>
      <c r="AD304" s="123" t="str">
        <f t="shared" si="4"/>
        <v>FUE</v>
      </c>
      <c r="AE304" s="123" t="str">
        <f>VLOOKUP(Table1[[#This Row],[Name of bank]],'اكواد البنوك'!$A$2:$B$34,2,0)</f>
        <v>FUE</v>
      </c>
      <c r="AF304" s="21" t="s">
        <v>1838</v>
      </c>
      <c r="AG304" s="15" t="s">
        <v>49</v>
      </c>
    </row>
    <row r="305" spans="1:33">
      <c r="A305" s="14">
        <v>304</v>
      </c>
      <c r="B305" s="14" t="str">
        <f>B304</f>
        <v>B204</v>
      </c>
      <c r="C305" s="14">
        <v>502</v>
      </c>
      <c r="D305" s="15" t="s">
        <v>1839</v>
      </c>
      <c r="E305" s="16" t="s">
        <v>2739</v>
      </c>
      <c r="F305" s="32" t="s">
        <v>2740</v>
      </c>
      <c r="G305" s="17" t="s">
        <v>2741</v>
      </c>
      <c r="H305" s="18" t="s">
        <v>2742</v>
      </c>
      <c r="I305" s="16" t="s">
        <v>1868</v>
      </c>
      <c r="J305" s="16" t="s">
        <v>86</v>
      </c>
      <c r="K305" s="16" t="s">
        <v>2743</v>
      </c>
      <c r="L305" s="16">
        <v>16467432</v>
      </c>
      <c r="M305" s="16" t="s">
        <v>2744</v>
      </c>
      <c r="N305" s="16">
        <v>28710111700101</v>
      </c>
      <c r="O305" s="16" t="s">
        <v>2745</v>
      </c>
      <c r="P305" s="16" t="s">
        <v>2746</v>
      </c>
      <c r="Q305" s="16" t="s">
        <v>1815</v>
      </c>
      <c r="R305" s="16" t="s">
        <v>1849</v>
      </c>
      <c r="S305" s="19" t="s">
        <v>2747</v>
      </c>
      <c r="T305" s="20" t="s">
        <v>40</v>
      </c>
      <c r="U305" s="16" t="s">
        <v>2748</v>
      </c>
      <c r="V305" s="16" t="s">
        <v>2749</v>
      </c>
      <c r="W305" s="30" t="s">
        <v>2750</v>
      </c>
      <c r="X305" s="18" t="s">
        <v>542</v>
      </c>
      <c r="Y305" s="18" t="s">
        <v>98</v>
      </c>
      <c r="Z305" s="18" t="s">
        <v>1815</v>
      </c>
      <c r="AA305" s="16" t="s">
        <v>2433</v>
      </c>
      <c r="AB305" s="16" t="s">
        <v>2434</v>
      </c>
      <c r="AC305" s="16" t="s">
        <v>2435</v>
      </c>
      <c r="AD305" s="123" t="str">
        <f t="shared" si="4"/>
        <v>External Transfer-NBE</v>
      </c>
      <c r="AE305" s="123" t="str">
        <f>VLOOKUP(Table1[[#This Row],[Name of bank]],'اكواد البنوك'!$A$2:$B$34,2,0)</f>
        <v>NBEGEGCXXXX</v>
      </c>
      <c r="AF305" s="21" t="s">
        <v>2751</v>
      </c>
      <c r="AG305" s="15" t="s">
        <v>49</v>
      </c>
    </row>
    <row r="306" spans="1:33">
      <c r="A306" s="14">
        <v>305</v>
      </c>
      <c r="B306" s="14" t="s">
        <v>2752</v>
      </c>
      <c r="C306" s="14">
        <v>503</v>
      </c>
      <c r="D306" s="15" t="s">
        <v>1839</v>
      </c>
      <c r="E306" s="16" t="s">
        <v>2753</v>
      </c>
      <c r="F306" s="32" t="s">
        <v>10068</v>
      </c>
      <c r="G306" s="17" t="s">
        <v>2754</v>
      </c>
      <c r="H306" s="18" t="s">
        <v>2755</v>
      </c>
      <c r="I306" s="16" t="s">
        <v>2640</v>
      </c>
      <c r="J306" s="16" t="s">
        <v>86</v>
      </c>
      <c r="K306" s="16" t="s">
        <v>269</v>
      </c>
      <c r="L306" s="16">
        <v>45404424</v>
      </c>
      <c r="M306" s="16" t="s">
        <v>136</v>
      </c>
      <c r="N306" s="16">
        <v>29106250400367</v>
      </c>
      <c r="O306" s="16" t="s">
        <v>2756</v>
      </c>
      <c r="P306" s="16" t="s">
        <v>2757</v>
      </c>
      <c r="Q306" s="16" t="s">
        <v>1815</v>
      </c>
      <c r="R306" s="16" t="s">
        <v>1849</v>
      </c>
      <c r="S306" s="19" t="s">
        <v>2753</v>
      </c>
      <c r="T306" s="20" t="s">
        <v>93</v>
      </c>
      <c r="U306" s="16" t="s">
        <v>1980</v>
      </c>
      <c r="V306" s="16" t="s">
        <v>2758</v>
      </c>
      <c r="W306" s="30" t="s">
        <v>2759</v>
      </c>
      <c r="X306" s="18" t="s">
        <v>542</v>
      </c>
      <c r="Y306" s="18" t="s">
        <v>98</v>
      </c>
      <c r="Z306" s="18" t="s">
        <v>1815</v>
      </c>
      <c r="AA306" s="16" t="s">
        <v>2433</v>
      </c>
      <c r="AB306" s="16" t="s">
        <v>2434</v>
      </c>
      <c r="AC306" s="16" t="s">
        <v>2435</v>
      </c>
      <c r="AD306" s="123" t="str">
        <f t="shared" si="4"/>
        <v>External Transfer-Other banks</v>
      </c>
      <c r="AE306" s="123" t="str">
        <f>VLOOKUP(Table1[[#This Row],[Name of bank]],'اكواد البنوك'!$A$2:$B$34,2,0)</f>
        <v>QNBAEGCXXXX</v>
      </c>
      <c r="AF306" s="21" t="s">
        <v>1983</v>
      </c>
      <c r="AG306" s="15" t="s">
        <v>49</v>
      </c>
    </row>
    <row r="307" spans="1:33">
      <c r="A307" s="14">
        <v>306</v>
      </c>
      <c r="B307" s="14" t="str">
        <f>B306</f>
        <v>B205</v>
      </c>
      <c r="C307" s="14" t="e">
        <v>#N/A</v>
      </c>
      <c r="D307" s="15" t="s">
        <v>1831</v>
      </c>
      <c r="E307" s="16" t="s">
        <v>2760</v>
      </c>
      <c r="F307" s="32" t="s">
        <v>2761</v>
      </c>
      <c r="G307" s="17" t="s">
        <v>2762</v>
      </c>
      <c r="H307" s="18" t="s">
        <v>2763</v>
      </c>
      <c r="I307" s="16">
        <v>29906051601791</v>
      </c>
      <c r="J307" s="16" t="s">
        <v>1996</v>
      </c>
      <c r="K307" s="16" t="s">
        <v>1831</v>
      </c>
      <c r="L307" s="16" t="s">
        <v>2764</v>
      </c>
      <c r="M307" s="16"/>
      <c r="N307" s="16"/>
      <c r="O307" s="16"/>
      <c r="P307" s="16"/>
      <c r="Q307" s="16"/>
      <c r="R307" s="16"/>
      <c r="S307" s="19"/>
      <c r="T307" s="20" t="s">
        <v>1837</v>
      </c>
      <c r="U307" s="16"/>
      <c r="V307" s="16"/>
      <c r="W307" s="30" t="s">
        <v>1838</v>
      </c>
      <c r="X307" s="18" t="s">
        <v>542</v>
      </c>
      <c r="Y307" s="18" t="s">
        <v>98</v>
      </c>
      <c r="Z307" s="18" t="s">
        <v>1815</v>
      </c>
      <c r="AA307" s="16" t="s">
        <v>2433</v>
      </c>
      <c r="AB307" s="16" t="s">
        <v>2434</v>
      </c>
      <c r="AC307" s="16" t="s">
        <v>2435</v>
      </c>
      <c r="AD307" s="123" t="str">
        <f t="shared" si="4"/>
        <v>FUE</v>
      </c>
      <c r="AE307" s="123" t="str">
        <f>VLOOKUP(Table1[[#This Row],[Name of bank]],'اكواد البنوك'!$A$2:$B$34,2,0)</f>
        <v>FUE</v>
      </c>
      <c r="AF307" s="21" t="s">
        <v>1838</v>
      </c>
      <c r="AG307" s="15" t="s">
        <v>49</v>
      </c>
    </row>
    <row r="308" spans="1:33">
      <c r="A308" s="14">
        <v>307</v>
      </c>
      <c r="B308" s="14" t="s">
        <v>2765</v>
      </c>
      <c r="C308" s="14" t="s">
        <v>4177</v>
      </c>
      <c r="D308" s="15" t="s">
        <v>1831</v>
      </c>
      <c r="E308" s="16" t="s">
        <v>2766</v>
      </c>
      <c r="F308" s="32" t="s">
        <v>10088</v>
      </c>
      <c r="G308" s="17" t="s">
        <v>2767</v>
      </c>
      <c r="H308" s="18" t="s">
        <v>2768</v>
      </c>
      <c r="I308" s="16"/>
      <c r="J308" s="16"/>
      <c r="K308" s="16" t="s">
        <v>1831</v>
      </c>
      <c r="L308" s="16" t="s">
        <v>1836</v>
      </c>
      <c r="M308" s="16">
        <v>64547009</v>
      </c>
      <c r="N308" s="16" t="s">
        <v>2769</v>
      </c>
      <c r="O308" s="16"/>
      <c r="P308" s="16"/>
      <c r="Q308" s="16"/>
      <c r="R308" s="16"/>
      <c r="S308" s="19"/>
      <c r="T308" s="20" t="s">
        <v>1837</v>
      </c>
      <c r="U308" s="16"/>
      <c r="V308" s="16"/>
      <c r="W308" s="30" t="s">
        <v>1838</v>
      </c>
      <c r="X308" s="18" t="s">
        <v>542</v>
      </c>
      <c r="Y308" s="18" t="s">
        <v>98</v>
      </c>
      <c r="Z308" s="18" t="s">
        <v>1815</v>
      </c>
      <c r="AA308" s="16" t="s">
        <v>2433</v>
      </c>
      <c r="AB308" s="16" t="s">
        <v>2434</v>
      </c>
      <c r="AC308" s="16" t="s">
        <v>2435</v>
      </c>
      <c r="AD308" s="123" t="str">
        <f t="shared" si="4"/>
        <v>FUE</v>
      </c>
      <c r="AE308" s="123" t="str">
        <f>VLOOKUP(Table1[[#This Row],[Name of bank]],'اكواد البنوك'!$A$2:$B$34,2,0)</f>
        <v>FUE</v>
      </c>
      <c r="AF308" s="21" t="s">
        <v>1838</v>
      </c>
      <c r="AG308" s="15" t="s">
        <v>49</v>
      </c>
    </row>
    <row r="309" spans="1:33">
      <c r="A309" s="14">
        <v>308</v>
      </c>
      <c r="B309" s="14" t="str">
        <f>B308</f>
        <v>B206</v>
      </c>
      <c r="C309" s="14" t="e">
        <v>#N/A</v>
      </c>
      <c r="D309" s="15" t="s">
        <v>1839</v>
      </c>
      <c r="E309" s="16" t="s">
        <v>2770</v>
      </c>
      <c r="F309" s="32" t="s">
        <v>10155</v>
      </c>
      <c r="G309" s="17" t="s">
        <v>2771</v>
      </c>
      <c r="H309" s="18" t="s">
        <v>2772</v>
      </c>
      <c r="I309" s="16" t="s">
        <v>2773</v>
      </c>
      <c r="J309" s="16" t="s">
        <v>173</v>
      </c>
      <c r="K309" s="16" t="s">
        <v>2774</v>
      </c>
      <c r="L309" s="16">
        <v>3239370</v>
      </c>
      <c r="M309" s="16" t="s">
        <v>136</v>
      </c>
      <c r="N309" s="16">
        <v>27903010104761</v>
      </c>
      <c r="O309" s="16" t="s">
        <v>2775</v>
      </c>
      <c r="P309" s="16" t="s">
        <v>2776</v>
      </c>
      <c r="Q309" s="16" t="s">
        <v>1815</v>
      </c>
      <c r="R309" s="16" t="s">
        <v>1849</v>
      </c>
      <c r="S309" s="19" t="s">
        <v>2777</v>
      </c>
      <c r="T309" s="20" t="s">
        <v>93</v>
      </c>
      <c r="U309" s="16" t="s">
        <v>2778</v>
      </c>
      <c r="V309" s="16" t="s">
        <v>2779</v>
      </c>
      <c r="W309" s="30" t="s">
        <v>2780</v>
      </c>
      <c r="X309" s="18" t="s">
        <v>542</v>
      </c>
      <c r="Y309" s="18" t="s">
        <v>98</v>
      </c>
      <c r="Z309" s="18" t="s">
        <v>1815</v>
      </c>
      <c r="AA309" s="16" t="s">
        <v>2433</v>
      </c>
      <c r="AB309" s="16" t="s">
        <v>2434</v>
      </c>
      <c r="AC309" s="16" t="s">
        <v>2435</v>
      </c>
      <c r="AD309" s="123" t="str">
        <f t="shared" si="4"/>
        <v>External Transfer-Other banks</v>
      </c>
      <c r="AE309" s="123" t="str">
        <f>VLOOKUP(Table1[[#This Row],[Name of bank]],'اكواد البنوك'!$A$2:$B$34,2,0)</f>
        <v>QNBAEGCXXXX</v>
      </c>
      <c r="AF309" s="21" t="s">
        <v>2781</v>
      </c>
      <c r="AG309" s="15" t="s">
        <v>49</v>
      </c>
    </row>
    <row r="310" spans="1:33">
      <c r="A310" s="14">
        <v>309</v>
      </c>
      <c r="B310" s="14" t="s">
        <v>2782</v>
      </c>
      <c r="C310" s="14" t="e">
        <v>#N/A</v>
      </c>
      <c r="D310" s="15" t="s">
        <v>1839</v>
      </c>
      <c r="E310" s="16" t="s">
        <v>2783</v>
      </c>
      <c r="F310" s="32" t="s">
        <v>2784</v>
      </c>
      <c r="G310" s="17" t="s">
        <v>2785</v>
      </c>
      <c r="H310" s="18" t="s">
        <v>2786</v>
      </c>
      <c r="I310" s="16" t="s">
        <v>2787</v>
      </c>
      <c r="J310" s="16" t="s">
        <v>173</v>
      </c>
      <c r="K310" s="16" t="s">
        <v>269</v>
      </c>
      <c r="L310" s="16" t="s">
        <v>234</v>
      </c>
      <c r="M310" s="16" t="s">
        <v>234</v>
      </c>
      <c r="N310" s="16">
        <v>28211180102201</v>
      </c>
      <c r="O310" s="16" t="s">
        <v>2788</v>
      </c>
      <c r="P310" s="16" t="s">
        <v>2789</v>
      </c>
      <c r="Q310" s="16" t="s">
        <v>1815</v>
      </c>
      <c r="R310" s="16" t="s">
        <v>1849</v>
      </c>
      <c r="S310" s="19" t="s">
        <v>2790</v>
      </c>
      <c r="T310" s="20" t="s">
        <v>993</v>
      </c>
      <c r="U310" s="16" t="s">
        <v>1926</v>
      </c>
      <c r="V310" s="16" t="s">
        <v>2791</v>
      </c>
      <c r="W310" s="30" t="s">
        <v>2792</v>
      </c>
      <c r="X310" s="18" t="s">
        <v>542</v>
      </c>
      <c r="Y310" s="18" t="s">
        <v>98</v>
      </c>
      <c r="Z310" s="18" t="s">
        <v>1815</v>
      </c>
      <c r="AA310" s="16" t="s">
        <v>2433</v>
      </c>
      <c r="AB310" s="16" t="s">
        <v>2434</v>
      </c>
      <c r="AC310" s="16" t="s">
        <v>2435</v>
      </c>
      <c r="AD310" s="123" t="str">
        <f t="shared" si="4"/>
        <v>External Transfer-Other banks</v>
      </c>
      <c r="AE310" s="123" t="str">
        <f>VLOOKUP(Table1[[#This Row],[Name of bank]],'اكواد البنوك'!$A$2:$B$34,2,0)</f>
        <v>ALEXEGCXXXX</v>
      </c>
      <c r="AF310" s="21" t="s">
        <v>2107</v>
      </c>
      <c r="AG310" s="15" t="s">
        <v>49</v>
      </c>
    </row>
    <row r="311" spans="1:33">
      <c r="A311" s="14">
        <v>310</v>
      </c>
      <c r="B311" s="14" t="str">
        <f>B310</f>
        <v>B207</v>
      </c>
      <c r="C311" s="14" t="e">
        <v>#N/A</v>
      </c>
      <c r="D311" s="15" t="s">
        <v>1839</v>
      </c>
      <c r="E311" s="16" t="s">
        <v>2793</v>
      </c>
      <c r="F311" s="32" t="s">
        <v>2794</v>
      </c>
      <c r="G311" s="17" t="s">
        <v>2795</v>
      </c>
      <c r="H311" s="18" t="s">
        <v>2796</v>
      </c>
      <c r="I311" s="16" t="s">
        <v>2797</v>
      </c>
      <c r="J311" s="16" t="s">
        <v>86</v>
      </c>
      <c r="K311" s="16" t="s">
        <v>2798</v>
      </c>
      <c r="L311" s="16">
        <v>71772134</v>
      </c>
      <c r="M311" s="16">
        <v>484568809</v>
      </c>
      <c r="N311" s="16">
        <v>29304258800506</v>
      </c>
      <c r="O311" s="16" t="s">
        <v>2799</v>
      </c>
      <c r="P311" s="16" t="s">
        <v>2800</v>
      </c>
      <c r="Q311" s="16" t="s">
        <v>1815</v>
      </c>
      <c r="R311" s="16" t="s">
        <v>1849</v>
      </c>
      <c r="S311" s="87" t="s">
        <v>2801</v>
      </c>
      <c r="T311" s="87" t="s">
        <v>40</v>
      </c>
      <c r="U311" s="87" t="s">
        <v>2802</v>
      </c>
      <c r="V311" s="73" t="s">
        <v>2803</v>
      </c>
      <c r="W311" s="74" t="s">
        <v>2804</v>
      </c>
      <c r="X311" s="18" t="s">
        <v>542</v>
      </c>
      <c r="Y311" s="18" t="s">
        <v>98</v>
      </c>
      <c r="Z311" s="18" t="s">
        <v>1815</v>
      </c>
      <c r="AA311" s="16" t="s">
        <v>2433</v>
      </c>
      <c r="AB311" s="16" t="s">
        <v>2434</v>
      </c>
      <c r="AC311" s="16" t="s">
        <v>2435</v>
      </c>
      <c r="AD311" s="123" t="str">
        <f t="shared" si="4"/>
        <v>External Transfer-NBE</v>
      </c>
      <c r="AE311" s="124" t="s">
        <v>48</v>
      </c>
      <c r="AF311" s="94" t="s">
        <v>2586</v>
      </c>
      <c r="AG311" s="97" t="s">
        <v>2054</v>
      </c>
    </row>
    <row r="312" spans="1:33">
      <c r="A312" s="14">
        <v>311</v>
      </c>
      <c r="B312" s="14" t="str">
        <f>B311</f>
        <v>B207</v>
      </c>
      <c r="C312" s="14" t="e">
        <v>#N/A</v>
      </c>
      <c r="D312" s="15" t="s">
        <v>1831</v>
      </c>
      <c r="E312" s="16" t="s">
        <v>2805</v>
      </c>
      <c r="F312" s="32" t="s">
        <v>2806</v>
      </c>
      <c r="G312" s="17" t="s">
        <v>2807</v>
      </c>
      <c r="H312" s="18" t="s">
        <v>2808</v>
      </c>
      <c r="I312" s="16"/>
      <c r="J312" s="16"/>
      <c r="K312" s="16" t="s">
        <v>1831</v>
      </c>
      <c r="L312" s="16" t="s">
        <v>1836</v>
      </c>
      <c r="M312" s="16" t="s">
        <v>2809</v>
      </c>
      <c r="N312" s="16">
        <v>28903130104237</v>
      </c>
      <c r="O312" s="16"/>
      <c r="P312" s="16"/>
      <c r="Q312" s="16"/>
      <c r="R312" s="16"/>
      <c r="S312" s="19"/>
      <c r="T312" s="20" t="s">
        <v>1837</v>
      </c>
      <c r="U312" s="16"/>
      <c r="V312" s="16"/>
      <c r="W312" s="30" t="s">
        <v>1838</v>
      </c>
      <c r="X312" s="18" t="s">
        <v>542</v>
      </c>
      <c r="Y312" s="18" t="s">
        <v>98</v>
      </c>
      <c r="Z312" s="18" t="s">
        <v>1815</v>
      </c>
      <c r="AA312" s="16" t="s">
        <v>2433</v>
      </c>
      <c r="AB312" s="16" t="s">
        <v>2434</v>
      </c>
      <c r="AC312" s="16" t="s">
        <v>2435</v>
      </c>
      <c r="AD312" s="123" t="str">
        <f t="shared" si="4"/>
        <v>FUE</v>
      </c>
      <c r="AE312" s="123" t="str">
        <f>VLOOKUP(Table1[[#This Row],[Name of bank]],'اكواد البنوك'!$A$2:$B$34,2,0)</f>
        <v>FUE</v>
      </c>
      <c r="AF312" s="21" t="s">
        <v>1838</v>
      </c>
      <c r="AG312" s="15" t="s">
        <v>49</v>
      </c>
    </row>
    <row r="313" spans="1:33">
      <c r="A313" s="14">
        <v>312</v>
      </c>
      <c r="B313" s="14" t="s">
        <v>206</v>
      </c>
      <c r="C313" s="14" t="s">
        <v>312</v>
      </c>
      <c r="D313" s="15" t="s">
        <v>1827</v>
      </c>
      <c r="E313" s="16" t="s">
        <v>2810</v>
      </c>
      <c r="F313" s="32" t="s">
        <v>2811</v>
      </c>
      <c r="G313" s="17" t="s">
        <v>2812</v>
      </c>
      <c r="H313" s="18" t="s">
        <v>2813</v>
      </c>
      <c r="I313" s="16" t="s">
        <v>1827</v>
      </c>
      <c r="J313" s="16"/>
      <c r="K313" s="16"/>
      <c r="L313" s="16"/>
      <c r="M313" s="16"/>
      <c r="N313" s="16"/>
      <c r="O313" s="16"/>
      <c r="P313" s="16"/>
      <c r="Q313" s="16"/>
      <c r="R313" s="16"/>
      <c r="S313" s="19"/>
      <c r="T313" s="20" t="s">
        <v>40</v>
      </c>
      <c r="U313" s="16"/>
      <c r="V313" s="16"/>
      <c r="W313" s="30">
        <v>58</v>
      </c>
      <c r="X313" s="18" t="s">
        <v>78</v>
      </c>
      <c r="Y313" s="18" t="s">
        <v>43</v>
      </c>
      <c r="Z313" s="18" t="s">
        <v>1815</v>
      </c>
      <c r="AA313" s="16" t="s">
        <v>2433</v>
      </c>
      <c r="AB313" s="16" t="s">
        <v>2434</v>
      </c>
      <c r="AC313" s="16" t="s">
        <v>2435</v>
      </c>
      <c r="AD313" s="123" t="str">
        <f t="shared" si="4"/>
        <v>Internal Transfer</v>
      </c>
      <c r="AE313" s="123" t="str">
        <f>VLOOKUP(Table1[[#This Row],[Name of bank]],'اكواد البنوك'!$A$2:$B$34,2,0)</f>
        <v>NBEGEGCXXXX</v>
      </c>
      <c r="AF313" s="30">
        <v>58</v>
      </c>
      <c r="AG313" s="15" t="s">
        <v>49</v>
      </c>
    </row>
    <row r="314" spans="1:33">
      <c r="A314" s="14">
        <v>313</v>
      </c>
      <c r="B314" s="14" t="str">
        <f>B313</f>
        <v>3rd Floor</v>
      </c>
      <c r="C314" s="14" t="e">
        <v>#N/A</v>
      </c>
      <c r="D314" s="15" t="s">
        <v>1855</v>
      </c>
      <c r="E314" s="16" t="s">
        <v>2814</v>
      </c>
      <c r="F314" s="32" t="s">
        <v>2815</v>
      </c>
      <c r="G314" s="17" t="s">
        <v>2816</v>
      </c>
      <c r="H314" s="18">
        <v>201119181779</v>
      </c>
      <c r="I314" s="16" t="s">
        <v>2817</v>
      </c>
      <c r="J314" s="16" t="s">
        <v>1845</v>
      </c>
      <c r="K314" s="16" t="s">
        <v>234</v>
      </c>
      <c r="L314" s="16" t="s">
        <v>234</v>
      </c>
      <c r="M314" s="16" t="s">
        <v>234</v>
      </c>
      <c r="N314" s="16">
        <v>2921205010074</v>
      </c>
      <c r="O314" s="16" t="s">
        <v>2818</v>
      </c>
      <c r="P314" s="16" t="s">
        <v>2819</v>
      </c>
      <c r="Q314" s="16" t="s">
        <v>1815</v>
      </c>
      <c r="R314" s="16" t="s">
        <v>1849</v>
      </c>
      <c r="S314" s="19" t="s">
        <v>1861</v>
      </c>
      <c r="T314" s="20" t="s">
        <v>40</v>
      </c>
      <c r="U314" s="16" t="s">
        <v>10227</v>
      </c>
      <c r="V314" s="16"/>
      <c r="W314" s="30" t="s">
        <v>10228</v>
      </c>
      <c r="X314" s="18" t="s">
        <v>97</v>
      </c>
      <c r="Y314" s="18" t="s">
        <v>98</v>
      </c>
      <c r="Z314" s="18" t="s">
        <v>1815</v>
      </c>
      <c r="AA314" s="16" t="s">
        <v>2433</v>
      </c>
      <c r="AB314" s="16" t="s">
        <v>2434</v>
      </c>
      <c r="AC314" s="16" t="s">
        <v>2435</v>
      </c>
      <c r="AD314" s="123" t="str">
        <f t="shared" si="4"/>
        <v>External Transfer-NBE</v>
      </c>
      <c r="AE314" s="123" t="str">
        <f>VLOOKUP(Table1[[#This Row],[Name of bank]],'اكواد البنوك'!$A$2:$B$34,2,0)</f>
        <v>NBEGEGCXXXX</v>
      </c>
      <c r="AF314" s="21" t="s">
        <v>10229</v>
      </c>
      <c r="AG314" s="15" t="s">
        <v>1862</v>
      </c>
    </row>
    <row r="315" spans="1:33">
      <c r="A315" s="14">
        <v>314</v>
      </c>
      <c r="B315" s="14" t="str">
        <f>B314</f>
        <v>3rd Floor</v>
      </c>
      <c r="C315" s="14" t="e">
        <v>#N/A</v>
      </c>
      <c r="D315" s="15" t="s">
        <v>1831</v>
      </c>
      <c r="E315" s="16" t="s">
        <v>2820</v>
      </c>
      <c r="F315" s="32" t="s">
        <v>2821</v>
      </c>
      <c r="G315" s="17" t="s">
        <v>2822</v>
      </c>
      <c r="H315" s="18" t="s">
        <v>2823</v>
      </c>
      <c r="I315" s="16" t="s">
        <v>1831</v>
      </c>
      <c r="J315" s="16"/>
      <c r="K315" s="16"/>
      <c r="L315" s="16" t="s">
        <v>1836</v>
      </c>
      <c r="M315" s="16">
        <v>31821437</v>
      </c>
      <c r="N315" s="16" t="s">
        <v>2824</v>
      </c>
      <c r="O315" s="16"/>
      <c r="P315" s="16"/>
      <c r="Q315" s="16"/>
      <c r="R315" s="16"/>
      <c r="S315" s="19"/>
      <c r="T315" s="20" t="s">
        <v>1837</v>
      </c>
      <c r="U315" s="16"/>
      <c r="V315" s="16"/>
      <c r="W315" s="30" t="s">
        <v>1838</v>
      </c>
      <c r="X315" s="18" t="s">
        <v>97</v>
      </c>
      <c r="Y315" s="18" t="s">
        <v>98</v>
      </c>
      <c r="Z315" s="18" t="s">
        <v>1815</v>
      </c>
      <c r="AA315" s="16" t="s">
        <v>2433</v>
      </c>
      <c r="AB315" s="16" t="s">
        <v>2434</v>
      </c>
      <c r="AC315" s="16" t="s">
        <v>2435</v>
      </c>
      <c r="AD315" s="123" t="str">
        <f t="shared" si="4"/>
        <v>FUE</v>
      </c>
      <c r="AE315" s="123" t="str">
        <f>VLOOKUP(Table1[[#This Row],[Name of bank]],'اكواد البنوك'!$A$2:$B$34,2,0)</f>
        <v>FUE</v>
      </c>
      <c r="AF315" s="21" t="s">
        <v>1838</v>
      </c>
      <c r="AG315" s="15" t="s">
        <v>49</v>
      </c>
    </row>
    <row r="316" spans="1:33">
      <c r="A316" s="14">
        <v>315</v>
      </c>
      <c r="B316" s="14" t="s">
        <v>2825</v>
      </c>
      <c r="C316" s="14" t="e">
        <v>#N/A</v>
      </c>
      <c r="D316" s="15" t="s">
        <v>1839</v>
      </c>
      <c r="E316" s="16" t="s">
        <v>2826</v>
      </c>
      <c r="F316" s="32" t="s">
        <v>2827</v>
      </c>
      <c r="G316" s="17" t="s">
        <v>2828</v>
      </c>
      <c r="H316" s="18" t="s">
        <v>2829</v>
      </c>
      <c r="I316" s="16" t="s">
        <v>2830</v>
      </c>
      <c r="J316" s="16" t="s">
        <v>86</v>
      </c>
      <c r="K316" s="16" t="s">
        <v>2831</v>
      </c>
      <c r="L316" s="16" t="s">
        <v>234</v>
      </c>
      <c r="M316" s="16" t="s">
        <v>234</v>
      </c>
      <c r="N316" s="16">
        <v>29408080105337</v>
      </c>
      <c r="O316" s="16" t="s">
        <v>2832</v>
      </c>
      <c r="P316" s="16" t="s">
        <v>2833</v>
      </c>
      <c r="Q316" s="16" t="s">
        <v>1815</v>
      </c>
      <c r="R316" s="16" t="s">
        <v>1849</v>
      </c>
      <c r="S316" s="19" t="s">
        <v>2834</v>
      </c>
      <c r="T316" s="20" t="s">
        <v>40</v>
      </c>
      <c r="U316" s="16" t="s">
        <v>2835</v>
      </c>
      <c r="V316" s="16" t="s">
        <v>2836</v>
      </c>
      <c r="W316" s="30" t="s">
        <v>2837</v>
      </c>
      <c r="X316" s="18" t="s">
        <v>542</v>
      </c>
      <c r="Y316" s="18" t="s">
        <v>98</v>
      </c>
      <c r="Z316" s="18" t="s">
        <v>1815</v>
      </c>
      <c r="AA316" s="16" t="s">
        <v>2433</v>
      </c>
      <c r="AB316" s="16" t="s">
        <v>2434</v>
      </c>
      <c r="AC316" s="16" t="s">
        <v>2435</v>
      </c>
      <c r="AD316" s="123" t="str">
        <f t="shared" si="4"/>
        <v>External Transfer-NBE</v>
      </c>
      <c r="AE316" s="123" t="str">
        <f>VLOOKUP(Table1[[#This Row],[Name of bank]],'اكواد البنوك'!$A$2:$B$34,2,0)</f>
        <v>NBEGEGCXXXX</v>
      </c>
      <c r="AF316" s="21" t="s">
        <v>1874</v>
      </c>
      <c r="AG316" s="15" t="s">
        <v>49</v>
      </c>
    </row>
    <row r="317" spans="1:33">
      <c r="A317" s="14">
        <v>316</v>
      </c>
      <c r="B317" s="14" t="str">
        <f>B316</f>
        <v>B301</v>
      </c>
      <c r="C317" s="14" t="s">
        <v>4153</v>
      </c>
      <c r="D317" s="15" t="s">
        <v>1839</v>
      </c>
      <c r="E317" s="16" t="s">
        <v>2838</v>
      </c>
      <c r="F317" s="32" t="s">
        <v>2839</v>
      </c>
      <c r="G317" s="17" t="s">
        <v>2840</v>
      </c>
      <c r="H317" s="18" t="s">
        <v>2841</v>
      </c>
      <c r="I317" s="16" t="s">
        <v>2842</v>
      </c>
      <c r="J317" s="16" t="s">
        <v>173</v>
      </c>
      <c r="K317" s="16" t="s">
        <v>2843</v>
      </c>
      <c r="L317" s="16">
        <v>61317951</v>
      </c>
      <c r="M317" s="16" t="s">
        <v>2844</v>
      </c>
      <c r="N317" s="16">
        <v>28012130102518</v>
      </c>
      <c r="O317" s="16" t="s">
        <v>2845</v>
      </c>
      <c r="P317" s="16" t="s">
        <v>2846</v>
      </c>
      <c r="Q317" s="16" t="s">
        <v>1815</v>
      </c>
      <c r="R317" s="16" t="s">
        <v>1849</v>
      </c>
      <c r="S317" s="87" t="s">
        <v>2847</v>
      </c>
      <c r="T317" s="87" t="s">
        <v>2848</v>
      </c>
      <c r="U317" s="87" t="s">
        <v>2849</v>
      </c>
      <c r="V317" s="73" t="s">
        <v>2850</v>
      </c>
      <c r="W317" s="74" t="s">
        <v>2851</v>
      </c>
      <c r="X317" s="18" t="s">
        <v>542</v>
      </c>
      <c r="Y317" s="18" t="s">
        <v>98</v>
      </c>
      <c r="Z317" s="18" t="s">
        <v>1815</v>
      </c>
      <c r="AA317" s="16" t="s">
        <v>2433</v>
      </c>
      <c r="AB317" s="16" t="s">
        <v>2434</v>
      </c>
      <c r="AC317" s="16" t="s">
        <v>2435</v>
      </c>
      <c r="AD317" s="123" t="str">
        <f t="shared" si="4"/>
        <v>External Transfer-Other banks</v>
      </c>
      <c r="AE317" s="123" t="str">
        <f>VLOOKUP(Table1[[#This Row],[Name of bank]],'اكواد البنوك'!$A$2:$B$34,2,0)</f>
        <v>EGGBEGCAXXX</v>
      </c>
      <c r="AF317" s="94" t="s">
        <v>2853</v>
      </c>
      <c r="AG317" s="97" t="s">
        <v>2054</v>
      </c>
    </row>
    <row r="318" spans="1:33">
      <c r="A318" s="14">
        <v>317</v>
      </c>
      <c r="B318" s="14" t="str">
        <f>B317</f>
        <v>B301</v>
      </c>
      <c r="C318" s="14" t="s">
        <v>4213</v>
      </c>
      <c r="D318" s="15" t="s">
        <v>1839</v>
      </c>
      <c r="E318" s="16" t="s">
        <v>2854</v>
      </c>
      <c r="F318" s="32" t="s">
        <v>2855</v>
      </c>
      <c r="G318" s="17" t="s">
        <v>2856</v>
      </c>
      <c r="H318" s="18" t="s">
        <v>2857</v>
      </c>
      <c r="I318" s="16" t="s">
        <v>2858</v>
      </c>
      <c r="J318" s="16" t="s">
        <v>86</v>
      </c>
      <c r="K318" s="16" t="s">
        <v>2859</v>
      </c>
      <c r="L318" s="16" t="s">
        <v>2860</v>
      </c>
      <c r="M318" s="16" t="s">
        <v>136</v>
      </c>
      <c r="N318" s="16">
        <v>28607110102922</v>
      </c>
      <c r="O318" s="16" t="s">
        <v>2861</v>
      </c>
      <c r="P318" s="16" t="s">
        <v>2862</v>
      </c>
      <c r="Q318" s="16" t="s">
        <v>1815</v>
      </c>
      <c r="R318" s="16" t="s">
        <v>1849</v>
      </c>
      <c r="S318" s="19" t="s">
        <v>2863</v>
      </c>
      <c r="T318" s="20" t="s">
        <v>307</v>
      </c>
      <c r="U318" s="16" t="s">
        <v>2583</v>
      </c>
      <c r="V318" s="16" t="s">
        <v>2864</v>
      </c>
      <c r="W318" s="30" t="s">
        <v>2865</v>
      </c>
      <c r="X318" s="18" t="s">
        <v>542</v>
      </c>
      <c r="Y318" s="18" t="s">
        <v>98</v>
      </c>
      <c r="Z318" s="18" t="s">
        <v>1815</v>
      </c>
      <c r="AA318" s="16" t="s">
        <v>2433</v>
      </c>
      <c r="AB318" s="16" t="s">
        <v>2434</v>
      </c>
      <c r="AC318" s="16" t="s">
        <v>2435</v>
      </c>
      <c r="AD318" s="123" t="str">
        <f t="shared" si="4"/>
        <v>External Transfer-Other banks</v>
      </c>
      <c r="AE318" s="123" t="str">
        <f>VLOOKUP(Table1[[#This Row],[Name of bank]],'اكواد البنوك'!$A$2:$B$34,2,0)</f>
        <v>CIBEEGCXXXX</v>
      </c>
      <c r="AF318" s="21" t="s">
        <v>2586</v>
      </c>
      <c r="AG318" s="15" t="s">
        <v>49</v>
      </c>
    </row>
    <row r="319" spans="1:33">
      <c r="A319" s="14">
        <v>318</v>
      </c>
      <c r="B319" s="14" t="s">
        <v>2866</v>
      </c>
      <c r="C319" s="14" t="e">
        <v>#N/A</v>
      </c>
      <c r="D319" s="15" t="s">
        <v>1839</v>
      </c>
      <c r="E319" s="16" t="s">
        <v>2867</v>
      </c>
      <c r="F319" s="32" t="s">
        <v>2868</v>
      </c>
      <c r="G319" s="17" t="s">
        <v>2869</v>
      </c>
      <c r="H319" s="18" t="s">
        <v>2870</v>
      </c>
      <c r="I319" s="16" t="s">
        <v>2221</v>
      </c>
      <c r="J319" s="16" t="s">
        <v>86</v>
      </c>
      <c r="K319" s="16" t="s">
        <v>2871</v>
      </c>
      <c r="L319" s="16" t="s">
        <v>2872</v>
      </c>
      <c r="M319" s="16">
        <v>892171</v>
      </c>
      <c r="N319" s="16">
        <v>28411190102683</v>
      </c>
      <c r="O319" s="16" t="s">
        <v>2873</v>
      </c>
      <c r="P319" s="16" t="s">
        <v>2874</v>
      </c>
      <c r="Q319" s="16" t="s">
        <v>1815</v>
      </c>
      <c r="R319" s="16" t="s">
        <v>1849</v>
      </c>
      <c r="S319" s="19" t="s">
        <v>2875</v>
      </c>
      <c r="T319" s="20" t="s">
        <v>40</v>
      </c>
      <c r="U319" s="16" t="s">
        <v>2876</v>
      </c>
      <c r="V319" s="16" t="s">
        <v>2877</v>
      </c>
      <c r="W319" s="30" t="s">
        <v>2878</v>
      </c>
      <c r="X319" s="18" t="s">
        <v>542</v>
      </c>
      <c r="Y319" s="18" t="s">
        <v>98</v>
      </c>
      <c r="Z319" s="18" t="s">
        <v>1815</v>
      </c>
      <c r="AA319" s="16" t="s">
        <v>2433</v>
      </c>
      <c r="AB319" s="16" t="s">
        <v>2434</v>
      </c>
      <c r="AC319" s="16" t="s">
        <v>2435</v>
      </c>
      <c r="AD319" s="123" t="str">
        <f t="shared" si="4"/>
        <v>External Transfer-NBE</v>
      </c>
      <c r="AE319" s="123" t="str">
        <f>VLOOKUP(Table1[[#This Row],[Name of bank]],'اكواد البنوك'!$A$2:$B$34,2,0)</f>
        <v>NBEGEGCXXXX</v>
      </c>
      <c r="AF319" s="21" t="s">
        <v>2853</v>
      </c>
      <c r="AG319" s="15" t="s">
        <v>49</v>
      </c>
    </row>
    <row r="320" spans="1:33">
      <c r="A320" s="14">
        <v>319</v>
      </c>
      <c r="B320" s="14" t="str">
        <f>B319</f>
        <v>B302</v>
      </c>
      <c r="C320" s="14">
        <v>404</v>
      </c>
      <c r="D320" s="15" t="s">
        <v>1839</v>
      </c>
      <c r="E320" s="16" t="s">
        <v>2879</v>
      </c>
      <c r="F320" s="32" t="s">
        <v>2880</v>
      </c>
      <c r="G320" s="17" t="s">
        <v>2881</v>
      </c>
      <c r="H320" s="18">
        <v>201128404404</v>
      </c>
      <c r="I320" s="16" t="s">
        <v>2882</v>
      </c>
      <c r="J320" s="16" t="s">
        <v>86</v>
      </c>
      <c r="K320" s="16" t="s">
        <v>106</v>
      </c>
      <c r="L320" s="16">
        <v>50676824</v>
      </c>
      <c r="M320" s="16" t="s">
        <v>427</v>
      </c>
      <c r="N320" s="16">
        <v>28704100102296</v>
      </c>
      <c r="O320" s="16" t="s">
        <v>2883</v>
      </c>
      <c r="P320" s="16" t="s">
        <v>2884</v>
      </c>
      <c r="Q320" s="16" t="s">
        <v>1815</v>
      </c>
      <c r="R320" s="16" t="s">
        <v>1849</v>
      </c>
      <c r="S320" s="91" t="s">
        <v>2885</v>
      </c>
      <c r="T320" s="91" t="s">
        <v>10307</v>
      </c>
      <c r="U320" s="91" t="s">
        <v>3969</v>
      </c>
      <c r="V320" s="73" t="s">
        <v>2887</v>
      </c>
      <c r="W320" s="74" t="s">
        <v>2888</v>
      </c>
      <c r="X320" s="18" t="s">
        <v>542</v>
      </c>
      <c r="Y320" s="18" t="s">
        <v>98</v>
      </c>
      <c r="Z320" s="18" t="s">
        <v>1815</v>
      </c>
      <c r="AA320" s="16" t="s">
        <v>2433</v>
      </c>
      <c r="AB320" s="16" t="s">
        <v>2434</v>
      </c>
      <c r="AC320" s="16" t="s">
        <v>2435</v>
      </c>
      <c r="AD320" s="123" t="str">
        <f t="shared" si="4"/>
        <v>External Transfer-Other banks</v>
      </c>
      <c r="AE320" s="123" t="e">
        <f>VLOOKUP(Table1[[#This Row],[Name of bank]],'اكواد البنوك'!$A$2:$B$34,2,0)</f>
        <v>#N/A</v>
      </c>
      <c r="AF320" s="94" t="s">
        <v>1022</v>
      </c>
      <c r="AG320" s="97" t="s">
        <v>1073</v>
      </c>
    </row>
    <row r="321" spans="1:33">
      <c r="A321" s="14">
        <v>320</v>
      </c>
      <c r="B321" s="14" t="s">
        <v>2889</v>
      </c>
      <c r="C321" s="14">
        <v>403</v>
      </c>
      <c r="D321" s="15" t="s">
        <v>1839</v>
      </c>
      <c r="E321" s="16" t="s">
        <v>2890</v>
      </c>
      <c r="F321" s="32" t="s">
        <v>2891</v>
      </c>
      <c r="G321" s="17" t="s">
        <v>2892</v>
      </c>
      <c r="H321" s="18">
        <v>201116887550</v>
      </c>
      <c r="I321" s="16" t="s">
        <v>2893</v>
      </c>
      <c r="J321" s="16" t="s">
        <v>86</v>
      </c>
      <c r="K321" s="16" t="s">
        <v>2894</v>
      </c>
      <c r="L321" s="16">
        <v>78008715</v>
      </c>
      <c r="M321" s="16" t="s">
        <v>977</v>
      </c>
      <c r="N321" s="16">
        <v>29507010102924</v>
      </c>
      <c r="O321" s="16" t="s">
        <v>2895</v>
      </c>
      <c r="P321" s="16" t="s">
        <v>2896</v>
      </c>
      <c r="Q321" s="16" t="s">
        <v>1815</v>
      </c>
      <c r="R321" s="16" t="s">
        <v>1849</v>
      </c>
      <c r="S321" s="91" t="s">
        <v>2897</v>
      </c>
      <c r="T321" s="91" t="s">
        <v>93</v>
      </c>
      <c r="U321" s="91" t="s">
        <v>2898</v>
      </c>
      <c r="V321" s="73" t="s">
        <v>10308</v>
      </c>
      <c r="W321" s="74" t="s">
        <v>2899</v>
      </c>
      <c r="X321" s="18" t="s">
        <v>542</v>
      </c>
      <c r="Y321" s="18" t="s">
        <v>98</v>
      </c>
      <c r="Z321" s="18" t="s">
        <v>1815</v>
      </c>
      <c r="AA321" s="16" t="s">
        <v>2433</v>
      </c>
      <c r="AB321" s="16" t="s">
        <v>2434</v>
      </c>
      <c r="AC321" s="16" t="s">
        <v>2435</v>
      </c>
      <c r="AD321" s="123" t="str">
        <f t="shared" si="4"/>
        <v>External Transfer-Other banks</v>
      </c>
      <c r="AE321" s="123" t="str">
        <f>VLOOKUP(Table1[[#This Row],[Name of bank]],'اكواد البنوك'!$A$2:$B$34,2,0)</f>
        <v>QNBAEGCXXXX</v>
      </c>
      <c r="AF321" s="77" t="s">
        <v>5787</v>
      </c>
      <c r="AG321" s="70" t="s">
        <v>2202</v>
      </c>
    </row>
    <row r="322" spans="1:33">
      <c r="A322" s="14">
        <v>321</v>
      </c>
      <c r="B322" s="14" t="str">
        <f>B321</f>
        <v>B304</v>
      </c>
      <c r="C322" s="14">
        <v>501</v>
      </c>
      <c r="D322" s="15" t="s">
        <v>1839</v>
      </c>
      <c r="E322" s="16" t="s">
        <v>2900</v>
      </c>
      <c r="F322" s="32" t="s">
        <v>10197</v>
      </c>
      <c r="G322" s="17" t="s">
        <v>2901</v>
      </c>
      <c r="H322" s="18" t="s">
        <v>2902</v>
      </c>
      <c r="I322" s="16" t="s">
        <v>2903</v>
      </c>
      <c r="J322" s="16" t="s">
        <v>86</v>
      </c>
      <c r="K322" s="16" t="s">
        <v>199</v>
      </c>
      <c r="L322" s="16">
        <v>68502035</v>
      </c>
      <c r="M322" s="16">
        <v>892171</v>
      </c>
      <c r="N322" s="16">
        <v>29205070100614</v>
      </c>
      <c r="O322" s="16" t="s">
        <v>2904</v>
      </c>
      <c r="P322" s="16" t="s">
        <v>2905</v>
      </c>
      <c r="Q322" s="16" t="s">
        <v>1815</v>
      </c>
      <c r="R322" s="16" t="s">
        <v>1849</v>
      </c>
      <c r="S322" s="19" t="s">
        <v>2906</v>
      </c>
      <c r="T322" s="20" t="s">
        <v>93</v>
      </c>
      <c r="U322" s="16" t="s">
        <v>2907</v>
      </c>
      <c r="V322" s="16" t="s">
        <v>2908</v>
      </c>
      <c r="W322" s="30" t="s">
        <v>2909</v>
      </c>
      <c r="X322" s="18" t="s">
        <v>542</v>
      </c>
      <c r="Y322" s="18" t="s">
        <v>98</v>
      </c>
      <c r="Z322" s="18" t="s">
        <v>1815</v>
      </c>
      <c r="AA322" s="16" t="s">
        <v>2433</v>
      </c>
      <c r="AB322" s="16" t="s">
        <v>2434</v>
      </c>
      <c r="AC322" s="16" t="s">
        <v>2435</v>
      </c>
      <c r="AD322" s="123" t="str">
        <f t="shared" ref="AD322:AD385" si="5">IF(ISNUMBER(SEARCH("EXTERNAL CASH",T322)),
   "EXTERNAL CASH",
   IF(ISNUMBER(SEARCH("شيك من القاهرة",T322)),
      "FUE",
      IF(ISNUMBER(SEARCH("INTERNAL CASH",T322)),
         "INTRNAL CASH",
         IF(Y322="IP",
            "Internal Transfer",
            IF(ISNUMBER(SEARCH("National Bank of Egypt",T322)),
               "External Transfer-NBE",
               "External Transfer-Other banks"
            )
         )
      )
   )
)</f>
        <v>External Transfer-Other banks</v>
      </c>
      <c r="AE322" s="123" t="str">
        <f>VLOOKUP(Table1[[#This Row],[Name of bank]],'اكواد البنوك'!$A$2:$B$34,2,0)</f>
        <v>QNBAEGCXXXX</v>
      </c>
      <c r="AF322" s="21" t="s">
        <v>2910</v>
      </c>
      <c r="AG322" s="15" t="s">
        <v>49</v>
      </c>
    </row>
    <row r="323" spans="1:33">
      <c r="A323" s="14">
        <v>322</v>
      </c>
      <c r="B323" s="14" t="s">
        <v>2911</v>
      </c>
      <c r="C323" s="14">
        <v>506</v>
      </c>
      <c r="D323" s="15" t="s">
        <v>1839</v>
      </c>
      <c r="E323" s="16" t="s">
        <v>2912</v>
      </c>
      <c r="F323" s="32" t="s">
        <v>10057</v>
      </c>
      <c r="G323" s="17" t="s">
        <v>2913</v>
      </c>
      <c r="H323" s="18" t="s">
        <v>2914</v>
      </c>
      <c r="I323" s="16" t="s">
        <v>2915</v>
      </c>
      <c r="J323" s="16" t="s">
        <v>86</v>
      </c>
      <c r="K323" s="16" t="s">
        <v>2508</v>
      </c>
      <c r="L323" s="16">
        <v>47380450</v>
      </c>
      <c r="M323" s="16" t="s">
        <v>136</v>
      </c>
      <c r="N323" s="16">
        <v>28112032102326</v>
      </c>
      <c r="O323" s="16" t="s">
        <v>2916</v>
      </c>
      <c r="P323" s="16" t="s">
        <v>2917</v>
      </c>
      <c r="Q323" s="16" t="s">
        <v>1815</v>
      </c>
      <c r="R323" s="16" t="s">
        <v>1849</v>
      </c>
      <c r="S323" s="19" t="s">
        <v>2918</v>
      </c>
      <c r="T323" s="20" t="s">
        <v>307</v>
      </c>
      <c r="U323" s="16" t="s">
        <v>2583</v>
      </c>
      <c r="V323" s="16" t="s">
        <v>2919</v>
      </c>
      <c r="W323" s="30" t="s">
        <v>2920</v>
      </c>
      <c r="X323" s="18" t="s">
        <v>542</v>
      </c>
      <c r="Y323" s="18" t="s">
        <v>98</v>
      </c>
      <c r="Z323" s="18" t="s">
        <v>1815</v>
      </c>
      <c r="AA323" s="16" t="s">
        <v>2433</v>
      </c>
      <c r="AB323" s="16" t="s">
        <v>2434</v>
      </c>
      <c r="AC323" s="16" t="s">
        <v>2435</v>
      </c>
      <c r="AD323" s="123" t="str">
        <f t="shared" si="5"/>
        <v>External Transfer-Other banks</v>
      </c>
      <c r="AE323" s="123" t="str">
        <f>VLOOKUP(Table1[[#This Row],[Name of bank]],'اكواد البنوك'!$A$2:$B$34,2,0)</f>
        <v>CIBEEGCXXXX</v>
      </c>
      <c r="AF323" s="21" t="s">
        <v>2921</v>
      </c>
      <c r="AG323" s="15" t="s">
        <v>49</v>
      </c>
    </row>
    <row r="324" spans="1:33">
      <c r="A324" s="14">
        <v>323</v>
      </c>
      <c r="B324" s="14" t="str">
        <f>B323</f>
        <v>B305</v>
      </c>
      <c r="C324" s="14" t="e">
        <v>#N/A</v>
      </c>
      <c r="D324" s="15" t="s">
        <v>1839</v>
      </c>
      <c r="E324" s="16" t="s">
        <v>2922</v>
      </c>
      <c r="F324" s="32" t="s">
        <v>2923</v>
      </c>
      <c r="G324" s="17" t="s">
        <v>2924</v>
      </c>
      <c r="H324" s="18" t="s">
        <v>2925</v>
      </c>
      <c r="I324" s="16" t="s">
        <v>2926</v>
      </c>
      <c r="J324" s="16" t="s">
        <v>86</v>
      </c>
      <c r="K324" s="16" t="s">
        <v>2927</v>
      </c>
      <c r="L324" s="16">
        <v>47827701</v>
      </c>
      <c r="M324" s="16">
        <v>313561214</v>
      </c>
      <c r="N324" s="16">
        <v>29312010107769</v>
      </c>
      <c r="O324" s="16" t="s">
        <v>2928</v>
      </c>
      <c r="P324" s="16" t="s">
        <v>2929</v>
      </c>
      <c r="Q324" s="16" t="s">
        <v>1815</v>
      </c>
      <c r="R324" s="16" t="s">
        <v>1849</v>
      </c>
      <c r="S324" s="19" t="s">
        <v>2930</v>
      </c>
      <c r="T324" s="20" t="s">
        <v>40</v>
      </c>
      <c r="U324" s="16" t="s">
        <v>2931</v>
      </c>
      <c r="V324" s="16" t="s">
        <v>2932</v>
      </c>
      <c r="W324" s="30" t="s">
        <v>2933</v>
      </c>
      <c r="X324" s="18" t="s">
        <v>542</v>
      </c>
      <c r="Y324" s="18" t="s">
        <v>98</v>
      </c>
      <c r="Z324" s="18" t="s">
        <v>1815</v>
      </c>
      <c r="AA324" s="16" t="s">
        <v>2433</v>
      </c>
      <c r="AB324" s="16" t="s">
        <v>2434</v>
      </c>
      <c r="AC324" s="16" t="s">
        <v>2435</v>
      </c>
      <c r="AD324" s="123" t="str">
        <f t="shared" si="5"/>
        <v>External Transfer-NBE</v>
      </c>
      <c r="AE324" s="123" t="str">
        <f>VLOOKUP(Table1[[#This Row],[Name of bank]],'اكواد البنوك'!$A$2:$B$34,2,0)</f>
        <v>NBEGEGCXXXX</v>
      </c>
      <c r="AF324" s="21" t="s">
        <v>2934</v>
      </c>
      <c r="AG324" s="15" t="s">
        <v>49</v>
      </c>
    </row>
    <row r="325" spans="1:33">
      <c r="A325" s="14">
        <v>324</v>
      </c>
      <c r="B325" s="14" t="str">
        <f>B324</f>
        <v>B305</v>
      </c>
      <c r="C325" s="14" t="e">
        <v>#N/A</v>
      </c>
      <c r="D325" s="15" t="s">
        <v>1831</v>
      </c>
      <c r="E325" s="16" t="s">
        <v>2935</v>
      </c>
      <c r="F325" s="32" t="s">
        <v>10146</v>
      </c>
      <c r="G325" s="17" t="s">
        <v>2936</v>
      </c>
      <c r="H325" s="18" t="s">
        <v>2937</v>
      </c>
      <c r="I325" s="16"/>
      <c r="J325" s="16"/>
      <c r="K325" s="16" t="s">
        <v>1831</v>
      </c>
      <c r="L325" s="16" t="s">
        <v>1836</v>
      </c>
      <c r="M325" s="16" t="s">
        <v>1996</v>
      </c>
      <c r="N325" s="16">
        <v>29309070103001</v>
      </c>
      <c r="O325" s="16"/>
      <c r="P325" s="16"/>
      <c r="Q325" s="16"/>
      <c r="R325" s="16"/>
      <c r="S325" s="19"/>
      <c r="T325" s="20" t="s">
        <v>1837</v>
      </c>
      <c r="U325" s="16"/>
      <c r="V325" s="16"/>
      <c r="W325" s="30" t="s">
        <v>1838</v>
      </c>
      <c r="X325" s="18" t="s">
        <v>542</v>
      </c>
      <c r="Y325" s="18" t="s">
        <v>98</v>
      </c>
      <c r="Z325" s="18" t="s">
        <v>1815</v>
      </c>
      <c r="AA325" s="16" t="s">
        <v>2433</v>
      </c>
      <c r="AB325" s="16" t="s">
        <v>2434</v>
      </c>
      <c r="AC325" s="16" t="s">
        <v>2435</v>
      </c>
      <c r="AD325" s="123" t="str">
        <f t="shared" si="5"/>
        <v>FUE</v>
      </c>
      <c r="AE325" s="123" t="str">
        <f>VLOOKUP(Table1[[#This Row],[Name of bank]],'اكواد البنوك'!$A$2:$B$34,2,0)</f>
        <v>FUE</v>
      </c>
      <c r="AF325" s="21" t="s">
        <v>1838</v>
      </c>
      <c r="AG325" s="15" t="s">
        <v>49</v>
      </c>
    </row>
    <row r="326" spans="1:33">
      <c r="A326" s="14">
        <v>325</v>
      </c>
      <c r="B326" s="14" t="s">
        <v>312</v>
      </c>
      <c r="C326" s="14">
        <v>302</v>
      </c>
      <c r="D326" s="15" t="s">
        <v>1839</v>
      </c>
      <c r="E326" s="16" t="s">
        <v>2938</v>
      </c>
      <c r="F326" s="32" t="s">
        <v>2939</v>
      </c>
      <c r="G326" s="17" t="s">
        <v>2940</v>
      </c>
      <c r="H326" s="18" t="s">
        <v>2941</v>
      </c>
      <c r="I326" s="16" t="s">
        <v>2942</v>
      </c>
      <c r="J326" s="16" t="s">
        <v>86</v>
      </c>
      <c r="K326" s="16" t="s">
        <v>2943</v>
      </c>
      <c r="L326" s="16">
        <v>78162748</v>
      </c>
      <c r="M326" s="16" t="s">
        <v>136</v>
      </c>
      <c r="N326" s="16">
        <v>27507260102922</v>
      </c>
      <c r="O326" s="16" t="s">
        <v>2944</v>
      </c>
      <c r="P326" s="16" t="s">
        <v>2945</v>
      </c>
      <c r="Q326" s="16" t="s">
        <v>1815</v>
      </c>
      <c r="R326" s="16" t="s">
        <v>1849</v>
      </c>
      <c r="S326" s="19" t="s">
        <v>2946</v>
      </c>
      <c r="T326" s="20" t="s">
        <v>176</v>
      </c>
      <c r="U326" s="16" t="s">
        <v>2947</v>
      </c>
      <c r="V326" s="16" t="s">
        <v>2948</v>
      </c>
      <c r="W326" s="30" t="s">
        <v>2949</v>
      </c>
      <c r="X326" s="18" t="s">
        <v>2096</v>
      </c>
      <c r="Y326" s="18" t="s">
        <v>98</v>
      </c>
      <c r="Z326" s="18" t="s">
        <v>1815</v>
      </c>
      <c r="AA326" s="16" t="s">
        <v>2433</v>
      </c>
      <c r="AB326" s="16" t="s">
        <v>2434</v>
      </c>
      <c r="AC326" s="16" t="s">
        <v>2435</v>
      </c>
      <c r="AD326" s="123" t="str">
        <f t="shared" si="5"/>
        <v>External Transfer-Other banks</v>
      </c>
      <c r="AE326" s="123" t="str">
        <f>VLOOKUP(Table1[[#This Row],[Name of bank]],'اكواد البنوك'!$A$2:$B$34,2,0)</f>
        <v>BMISEGCXXXX</v>
      </c>
      <c r="AF326" s="21" t="s">
        <v>2378</v>
      </c>
      <c r="AG326" s="15" t="s">
        <v>49</v>
      </c>
    </row>
    <row r="327" spans="1:33">
      <c r="A327" s="14">
        <v>326</v>
      </c>
      <c r="B327" s="14" t="str">
        <f>B326</f>
        <v>4th Floor</v>
      </c>
      <c r="C327" s="14" t="e">
        <v>#N/A</v>
      </c>
      <c r="D327" s="15" t="s">
        <v>1855</v>
      </c>
      <c r="E327" s="16" t="s">
        <v>2950</v>
      </c>
      <c r="F327" s="32" t="s">
        <v>2951</v>
      </c>
      <c r="G327" s="17" t="s">
        <v>2952</v>
      </c>
      <c r="H327" s="18">
        <v>201003707902</v>
      </c>
      <c r="I327" s="16" t="s">
        <v>2817</v>
      </c>
      <c r="J327" s="16" t="s">
        <v>1845</v>
      </c>
      <c r="K327" s="16" t="s">
        <v>2536</v>
      </c>
      <c r="L327" s="16" t="s">
        <v>136</v>
      </c>
      <c r="M327" s="16" t="s">
        <v>136</v>
      </c>
      <c r="N327" s="16">
        <v>28907200102925</v>
      </c>
      <c r="O327" s="16" t="s">
        <v>2953</v>
      </c>
      <c r="P327" s="16" t="s">
        <v>2954</v>
      </c>
      <c r="Q327" s="16" t="s">
        <v>1815</v>
      </c>
      <c r="R327" s="16" t="s">
        <v>1849</v>
      </c>
      <c r="S327" s="19" t="s">
        <v>1861</v>
      </c>
      <c r="T327" s="20" t="s">
        <v>40</v>
      </c>
      <c r="U327" s="16" t="s">
        <v>10223</v>
      </c>
      <c r="V327" s="16"/>
      <c r="W327" s="30" t="s">
        <v>10224</v>
      </c>
      <c r="X327" s="18" t="s">
        <v>97</v>
      </c>
      <c r="Y327" s="18" t="s">
        <v>98</v>
      </c>
      <c r="Z327" s="18" t="s">
        <v>1815</v>
      </c>
      <c r="AA327" s="16" t="s">
        <v>2433</v>
      </c>
      <c r="AB327" s="16" t="s">
        <v>2434</v>
      </c>
      <c r="AC327" s="16" t="s">
        <v>2435</v>
      </c>
      <c r="AD327" s="123" t="str">
        <f t="shared" si="5"/>
        <v>External Transfer-NBE</v>
      </c>
      <c r="AE327" s="123" t="str">
        <f>VLOOKUP(Table1[[#This Row],[Name of bank]],'اكواد البنوك'!$A$2:$B$34,2,0)</f>
        <v>NBEGEGCXXXX</v>
      </c>
      <c r="AF327" s="21" t="s">
        <v>6220</v>
      </c>
      <c r="AG327" s="15" t="s">
        <v>1862</v>
      </c>
    </row>
    <row r="328" spans="1:33">
      <c r="A328" s="14">
        <v>327</v>
      </c>
      <c r="B328" s="14" t="s">
        <v>2955</v>
      </c>
      <c r="C328" s="14" t="e">
        <v>#N/A</v>
      </c>
      <c r="D328" s="15" t="s">
        <v>1839</v>
      </c>
      <c r="E328" s="16" t="s">
        <v>2956</v>
      </c>
      <c r="F328" s="32" t="s">
        <v>2957</v>
      </c>
      <c r="G328" s="17" t="s">
        <v>2958</v>
      </c>
      <c r="H328" s="18" t="s">
        <v>2959</v>
      </c>
      <c r="I328" s="16" t="s">
        <v>2960</v>
      </c>
      <c r="J328" s="16" t="s">
        <v>86</v>
      </c>
      <c r="K328" s="16" t="s">
        <v>2961</v>
      </c>
      <c r="L328" s="16">
        <v>55980406</v>
      </c>
      <c r="M328" s="16" t="s">
        <v>2744</v>
      </c>
      <c r="N328" s="16">
        <v>27802202103309</v>
      </c>
      <c r="O328" s="16" t="s">
        <v>2962</v>
      </c>
      <c r="P328" s="16" t="s">
        <v>2963</v>
      </c>
      <c r="Q328" s="16" t="s">
        <v>1815</v>
      </c>
      <c r="R328" s="16" t="s">
        <v>1849</v>
      </c>
      <c r="S328" s="19" t="s">
        <v>2964</v>
      </c>
      <c r="T328" s="20" t="s">
        <v>307</v>
      </c>
      <c r="U328" s="16" t="s">
        <v>2965</v>
      </c>
      <c r="V328" s="16" t="s">
        <v>2966</v>
      </c>
      <c r="W328" s="30" t="s">
        <v>2967</v>
      </c>
      <c r="X328" s="18" t="s">
        <v>542</v>
      </c>
      <c r="Y328" s="18" t="s">
        <v>98</v>
      </c>
      <c r="Z328" s="18" t="s">
        <v>1815</v>
      </c>
      <c r="AA328" s="16" t="s">
        <v>2433</v>
      </c>
      <c r="AB328" s="16" t="s">
        <v>2434</v>
      </c>
      <c r="AC328" s="16" t="s">
        <v>2435</v>
      </c>
      <c r="AD328" s="123" t="str">
        <f t="shared" si="5"/>
        <v>External Transfer-Other banks</v>
      </c>
      <c r="AE328" s="123" t="str">
        <f>VLOOKUP(Table1[[#This Row],[Name of bank]],'اكواد البنوك'!$A$2:$B$34,2,0)</f>
        <v>CIBEEGCXXXX</v>
      </c>
      <c r="AF328" s="21" t="s">
        <v>2586</v>
      </c>
      <c r="AG328" s="15" t="s">
        <v>49</v>
      </c>
    </row>
    <row r="329" spans="1:33">
      <c r="A329" s="14">
        <v>328</v>
      </c>
      <c r="B329" s="14" t="str">
        <f>B328</f>
        <v>B401</v>
      </c>
      <c r="C329" s="14" t="e">
        <v>#N/A</v>
      </c>
      <c r="D329" s="15" t="s">
        <v>1831</v>
      </c>
      <c r="E329" s="16" t="s">
        <v>2968</v>
      </c>
      <c r="F329" s="32" t="s">
        <v>10110</v>
      </c>
      <c r="G329" s="17" t="s">
        <v>2969</v>
      </c>
      <c r="H329" s="18" t="s">
        <v>2970</v>
      </c>
      <c r="I329" s="16"/>
      <c r="J329" s="16"/>
      <c r="K329" s="16" t="s">
        <v>1831</v>
      </c>
      <c r="L329" s="16" t="s">
        <v>1836</v>
      </c>
      <c r="M329" s="16">
        <v>53225640</v>
      </c>
      <c r="N329" s="16" t="s">
        <v>2971</v>
      </c>
      <c r="O329" s="16"/>
      <c r="P329" s="16"/>
      <c r="Q329" s="16"/>
      <c r="R329" s="16"/>
      <c r="S329" s="19"/>
      <c r="T329" s="20" t="s">
        <v>1837</v>
      </c>
      <c r="U329" s="16"/>
      <c r="V329" s="16"/>
      <c r="W329" s="30" t="s">
        <v>1838</v>
      </c>
      <c r="X329" s="18" t="s">
        <v>542</v>
      </c>
      <c r="Y329" s="18" t="s">
        <v>98</v>
      </c>
      <c r="Z329" s="18" t="s">
        <v>1815</v>
      </c>
      <c r="AA329" s="16" t="s">
        <v>2433</v>
      </c>
      <c r="AB329" s="16" t="s">
        <v>2434</v>
      </c>
      <c r="AC329" s="16" t="s">
        <v>2435</v>
      </c>
      <c r="AD329" s="123" t="str">
        <f t="shared" si="5"/>
        <v>FUE</v>
      </c>
      <c r="AE329" s="123" t="str">
        <f>VLOOKUP(Table1[[#This Row],[Name of bank]],'اكواد البنوك'!$A$2:$B$34,2,0)</f>
        <v>FUE</v>
      </c>
      <c r="AF329" s="21" t="s">
        <v>1838</v>
      </c>
      <c r="AG329" s="15" t="s">
        <v>49</v>
      </c>
    </row>
    <row r="330" spans="1:33">
      <c r="A330" s="14">
        <v>329</v>
      </c>
      <c r="B330" s="14" t="s">
        <v>2972</v>
      </c>
      <c r="C330" s="14" t="e">
        <v>#N/A</v>
      </c>
      <c r="D330" s="15" t="s">
        <v>1831</v>
      </c>
      <c r="E330" s="16" t="s">
        <v>2973</v>
      </c>
      <c r="F330" s="32" t="s">
        <v>10017</v>
      </c>
      <c r="G330" s="17" t="s">
        <v>2974</v>
      </c>
      <c r="H330" s="18" t="s">
        <v>2975</v>
      </c>
      <c r="I330" s="16"/>
      <c r="J330" s="16"/>
      <c r="K330" s="16" t="s">
        <v>1831</v>
      </c>
      <c r="L330" s="16" t="s">
        <v>1836</v>
      </c>
      <c r="M330" s="16" t="s">
        <v>2976</v>
      </c>
      <c r="N330" s="16">
        <v>29208050100617</v>
      </c>
      <c r="O330" s="16"/>
      <c r="P330" s="16"/>
      <c r="Q330" s="16"/>
      <c r="R330" s="16"/>
      <c r="S330" s="19"/>
      <c r="T330" s="20" t="s">
        <v>1837</v>
      </c>
      <c r="U330" s="16"/>
      <c r="V330" s="16"/>
      <c r="W330" s="30" t="s">
        <v>1838</v>
      </c>
      <c r="X330" s="18" t="s">
        <v>542</v>
      </c>
      <c r="Y330" s="18" t="s">
        <v>98</v>
      </c>
      <c r="Z330" s="18" t="s">
        <v>1815</v>
      </c>
      <c r="AA330" s="16" t="s">
        <v>2433</v>
      </c>
      <c r="AB330" s="16" t="s">
        <v>2434</v>
      </c>
      <c r="AC330" s="16" t="s">
        <v>2435</v>
      </c>
      <c r="AD330" s="123" t="str">
        <f t="shared" si="5"/>
        <v>FUE</v>
      </c>
      <c r="AE330" s="123" t="str">
        <f>VLOOKUP(Table1[[#This Row],[Name of bank]],'اكواد البنوك'!$A$2:$B$34,2,0)</f>
        <v>FUE</v>
      </c>
      <c r="AF330" s="21" t="s">
        <v>1838</v>
      </c>
      <c r="AG330" s="15" t="s">
        <v>49</v>
      </c>
    </row>
    <row r="331" spans="1:33">
      <c r="A331" s="14">
        <v>330</v>
      </c>
      <c r="B331" s="14" t="str">
        <f>B330</f>
        <v>B402</v>
      </c>
      <c r="C331" s="14" t="e">
        <v>#N/A</v>
      </c>
      <c r="D331" s="15" t="s">
        <v>1839</v>
      </c>
      <c r="E331" s="16" t="s">
        <v>2977</v>
      </c>
      <c r="F331" s="32" t="s">
        <v>10091</v>
      </c>
      <c r="G331" s="17" t="s">
        <v>2978</v>
      </c>
      <c r="H331" s="18" t="s">
        <v>2979</v>
      </c>
      <c r="I331" s="16" t="s">
        <v>2980</v>
      </c>
      <c r="J331" s="16" t="s">
        <v>86</v>
      </c>
      <c r="K331" s="16" t="s">
        <v>148</v>
      </c>
      <c r="L331" s="16">
        <v>60760751</v>
      </c>
      <c r="M331" s="16" t="s">
        <v>136</v>
      </c>
      <c r="N331" s="16">
        <v>28701010135722</v>
      </c>
      <c r="O331" s="16" t="s">
        <v>2981</v>
      </c>
      <c r="P331" s="16" t="s">
        <v>2982</v>
      </c>
      <c r="Q331" s="16" t="s">
        <v>1815</v>
      </c>
      <c r="R331" s="16" t="s">
        <v>1849</v>
      </c>
      <c r="S331" s="19" t="s">
        <v>2983</v>
      </c>
      <c r="T331" s="20" t="s">
        <v>176</v>
      </c>
      <c r="U331" s="16" t="s">
        <v>2984</v>
      </c>
      <c r="V331" s="16" t="s">
        <v>2985</v>
      </c>
      <c r="W331" s="30" t="s">
        <v>2986</v>
      </c>
      <c r="X331" s="18" t="s">
        <v>542</v>
      </c>
      <c r="Y331" s="18" t="s">
        <v>98</v>
      </c>
      <c r="Z331" s="18" t="s">
        <v>1815</v>
      </c>
      <c r="AA331" s="16" t="s">
        <v>2433</v>
      </c>
      <c r="AB331" s="16" t="s">
        <v>2434</v>
      </c>
      <c r="AC331" s="16" t="s">
        <v>2435</v>
      </c>
      <c r="AD331" s="123" t="str">
        <f t="shared" si="5"/>
        <v>External Transfer-Other banks</v>
      </c>
      <c r="AE331" s="123" t="str">
        <f>VLOOKUP(Table1[[#This Row],[Name of bank]],'اكواد البنوك'!$A$2:$B$34,2,0)</f>
        <v>BMISEGCXXXX</v>
      </c>
      <c r="AF331" s="21" t="s">
        <v>2987</v>
      </c>
      <c r="AG331" s="15" t="s">
        <v>49</v>
      </c>
    </row>
    <row r="332" spans="1:33">
      <c r="A332" s="14">
        <v>331</v>
      </c>
      <c r="B332" s="14" t="s">
        <v>2988</v>
      </c>
      <c r="C332" s="14" t="e">
        <v>#N/A</v>
      </c>
      <c r="D332" s="15" t="s">
        <v>1839</v>
      </c>
      <c r="E332" s="16" t="s">
        <v>2989</v>
      </c>
      <c r="F332" s="32" t="s">
        <v>2990</v>
      </c>
      <c r="G332" s="17" t="s">
        <v>2991</v>
      </c>
      <c r="H332" s="18" t="s">
        <v>2992</v>
      </c>
      <c r="I332" s="16" t="s">
        <v>2993</v>
      </c>
      <c r="J332" s="16" t="s">
        <v>86</v>
      </c>
      <c r="K332" s="16" t="s">
        <v>384</v>
      </c>
      <c r="L332" s="16">
        <v>56428901</v>
      </c>
      <c r="M332" s="16" t="s">
        <v>234</v>
      </c>
      <c r="N332" s="16">
        <v>28109011406618</v>
      </c>
      <c r="O332" s="16" t="s">
        <v>2994</v>
      </c>
      <c r="P332" s="16" t="s">
        <v>2995</v>
      </c>
      <c r="Q332" s="16" t="s">
        <v>1815</v>
      </c>
      <c r="R332" s="16" t="s">
        <v>1849</v>
      </c>
      <c r="S332" s="19" t="s">
        <v>2996</v>
      </c>
      <c r="T332" s="20" t="s">
        <v>40</v>
      </c>
      <c r="U332" s="16" t="s">
        <v>2997</v>
      </c>
      <c r="V332" s="16" t="s">
        <v>2998</v>
      </c>
      <c r="W332" s="30" t="s">
        <v>2999</v>
      </c>
      <c r="X332" s="18" t="s">
        <v>542</v>
      </c>
      <c r="Y332" s="18" t="s">
        <v>98</v>
      </c>
      <c r="Z332" s="18" t="s">
        <v>1815</v>
      </c>
      <c r="AA332" s="16" t="s">
        <v>2433</v>
      </c>
      <c r="AB332" s="16" t="s">
        <v>2434</v>
      </c>
      <c r="AC332" s="16" t="s">
        <v>2435</v>
      </c>
      <c r="AD332" s="123" t="str">
        <f t="shared" si="5"/>
        <v>External Transfer-NBE</v>
      </c>
      <c r="AE332" s="123" t="str">
        <f>VLOOKUP(Table1[[#This Row],[Name of bank]],'اكواد البنوك'!$A$2:$B$34,2,0)</f>
        <v>NBEGEGCXXXX</v>
      </c>
      <c r="AF332" s="21" t="s">
        <v>3000</v>
      </c>
      <c r="AG332" s="15" t="s">
        <v>49</v>
      </c>
    </row>
    <row r="333" spans="1:33">
      <c r="A333" s="14">
        <v>332</v>
      </c>
      <c r="B333" s="14" t="str">
        <f>B332</f>
        <v>B404</v>
      </c>
      <c r="C333" s="14" t="e">
        <v>#N/A</v>
      </c>
      <c r="D333" s="15" t="s">
        <v>1831</v>
      </c>
      <c r="E333" s="16" t="s">
        <v>3001</v>
      </c>
      <c r="F333" s="32" t="s">
        <v>10019</v>
      </c>
      <c r="G333" s="17" t="s">
        <v>3002</v>
      </c>
      <c r="H333" s="18" t="s">
        <v>3003</v>
      </c>
      <c r="I333" s="16"/>
      <c r="J333" s="16"/>
      <c r="K333" s="16" t="s">
        <v>1831</v>
      </c>
      <c r="L333" s="16" t="s">
        <v>1836</v>
      </c>
      <c r="M333" s="16">
        <v>66100459</v>
      </c>
      <c r="N333" s="16">
        <v>28801011423556</v>
      </c>
      <c r="O333" s="16"/>
      <c r="P333" s="16"/>
      <c r="Q333" s="16"/>
      <c r="R333" s="16"/>
      <c r="S333" s="19"/>
      <c r="T333" s="20" t="s">
        <v>1837</v>
      </c>
      <c r="U333" s="16"/>
      <c r="V333" s="16"/>
      <c r="W333" s="30" t="s">
        <v>1838</v>
      </c>
      <c r="X333" s="18" t="s">
        <v>542</v>
      </c>
      <c r="Y333" s="18" t="s">
        <v>98</v>
      </c>
      <c r="Z333" s="18" t="s">
        <v>1815</v>
      </c>
      <c r="AA333" s="16" t="s">
        <v>2433</v>
      </c>
      <c r="AB333" s="16" t="s">
        <v>2434</v>
      </c>
      <c r="AC333" s="16" t="s">
        <v>2435</v>
      </c>
      <c r="AD333" s="123" t="str">
        <f t="shared" si="5"/>
        <v>FUE</v>
      </c>
      <c r="AE333" s="123" t="str">
        <f>VLOOKUP(Table1[[#This Row],[Name of bank]],'اكواد البنوك'!$A$2:$B$34,2,0)</f>
        <v>FUE</v>
      </c>
      <c r="AF333" s="21" t="s">
        <v>1838</v>
      </c>
      <c r="AG333" s="15" t="s">
        <v>49</v>
      </c>
    </row>
    <row r="334" spans="1:33">
      <c r="A334" s="14">
        <v>333</v>
      </c>
      <c r="B334" s="14" t="s">
        <v>3004</v>
      </c>
      <c r="C334" s="14" t="e">
        <v>#N/A</v>
      </c>
      <c r="D334" s="15" t="s">
        <v>1839</v>
      </c>
      <c r="E334" s="16" t="s">
        <v>3005</v>
      </c>
      <c r="F334" s="32" t="s">
        <v>3006</v>
      </c>
      <c r="G334" s="17" t="s">
        <v>3007</v>
      </c>
      <c r="H334" s="18" t="s">
        <v>3008</v>
      </c>
      <c r="I334" s="16" t="s">
        <v>3009</v>
      </c>
      <c r="J334" s="16" t="s">
        <v>173</v>
      </c>
      <c r="K334" s="16" t="s">
        <v>3010</v>
      </c>
      <c r="L334" s="16" t="s">
        <v>977</v>
      </c>
      <c r="M334" s="16" t="s">
        <v>136</v>
      </c>
      <c r="N334" s="16">
        <v>28805301401128</v>
      </c>
      <c r="O334" s="16" t="s">
        <v>3011</v>
      </c>
      <c r="P334" s="16" t="s">
        <v>3012</v>
      </c>
      <c r="Q334" s="16" t="s">
        <v>1815</v>
      </c>
      <c r="R334" s="16" t="s">
        <v>1849</v>
      </c>
      <c r="S334" s="87" t="s">
        <v>3013</v>
      </c>
      <c r="T334" s="87" t="s">
        <v>176</v>
      </c>
      <c r="U334" s="87" t="s">
        <v>10309</v>
      </c>
      <c r="V334" s="73" t="s">
        <v>3014</v>
      </c>
      <c r="W334" s="74" t="s">
        <v>3015</v>
      </c>
      <c r="X334" s="18" t="s">
        <v>542</v>
      </c>
      <c r="Y334" s="18" t="s">
        <v>98</v>
      </c>
      <c r="Z334" s="18" t="s">
        <v>1815</v>
      </c>
      <c r="AA334" s="16" t="s">
        <v>2433</v>
      </c>
      <c r="AB334" s="16" t="s">
        <v>2434</v>
      </c>
      <c r="AC334" s="16" t="s">
        <v>2435</v>
      </c>
      <c r="AD334" s="123" t="str">
        <f t="shared" si="5"/>
        <v>External Transfer-Other banks</v>
      </c>
      <c r="AE334" s="124" t="s">
        <v>180</v>
      </c>
      <c r="AF334" s="94" t="s">
        <v>3016</v>
      </c>
      <c r="AG334" s="97" t="s">
        <v>2054</v>
      </c>
    </row>
    <row r="335" spans="1:33">
      <c r="A335" s="14">
        <v>334</v>
      </c>
      <c r="B335" s="14" t="str">
        <f>B334</f>
        <v>B405</v>
      </c>
      <c r="C335" s="14" t="e">
        <v>#N/A</v>
      </c>
      <c r="D335" s="15" t="s">
        <v>1839</v>
      </c>
      <c r="E335" s="16" t="s">
        <v>3017</v>
      </c>
      <c r="F335" s="32" t="s">
        <v>3018</v>
      </c>
      <c r="G335" s="17" t="s">
        <v>3019</v>
      </c>
      <c r="H335" s="18" t="s">
        <v>3020</v>
      </c>
      <c r="I335" s="16" t="s">
        <v>3021</v>
      </c>
      <c r="J335" s="16" t="s">
        <v>86</v>
      </c>
      <c r="K335" s="16" t="s">
        <v>3022</v>
      </c>
      <c r="L335" s="16">
        <v>65709375</v>
      </c>
      <c r="M335" s="16" t="s">
        <v>234</v>
      </c>
      <c r="N335" s="16">
        <v>28907302102831</v>
      </c>
      <c r="O335" s="16" t="s">
        <v>3023</v>
      </c>
      <c r="P335" s="16" t="s">
        <v>3024</v>
      </c>
      <c r="Q335" s="16" t="s">
        <v>1815</v>
      </c>
      <c r="R335" s="16" t="s">
        <v>1849</v>
      </c>
      <c r="S335" s="19" t="s">
        <v>3025</v>
      </c>
      <c r="T335" s="20" t="s">
        <v>40</v>
      </c>
      <c r="U335" s="16" t="s">
        <v>3026</v>
      </c>
      <c r="V335" s="16" t="s">
        <v>3027</v>
      </c>
      <c r="W335" s="30" t="s">
        <v>3028</v>
      </c>
      <c r="X335" s="18" t="s">
        <v>542</v>
      </c>
      <c r="Y335" s="18" t="s">
        <v>98</v>
      </c>
      <c r="Z335" s="18" t="s">
        <v>1815</v>
      </c>
      <c r="AA335" s="16" t="s">
        <v>2433</v>
      </c>
      <c r="AB335" s="16" t="s">
        <v>2434</v>
      </c>
      <c r="AC335" s="16" t="s">
        <v>2435</v>
      </c>
      <c r="AD335" s="123" t="str">
        <f t="shared" si="5"/>
        <v>External Transfer-NBE</v>
      </c>
      <c r="AE335" s="123" t="str">
        <f>VLOOKUP(Table1[[#This Row],[Name of bank]],'اكواد البنوك'!$A$2:$B$34,2,0)</f>
        <v>NBEGEGCXXXX</v>
      </c>
      <c r="AF335" s="21" t="s">
        <v>311</v>
      </c>
      <c r="AG335" s="15" t="s">
        <v>49</v>
      </c>
    </row>
    <row r="336" spans="1:33">
      <c r="A336" s="14">
        <v>335</v>
      </c>
      <c r="B336" s="14" t="s">
        <v>3029</v>
      </c>
      <c r="C336" s="14" t="e">
        <v>#N/A</v>
      </c>
      <c r="D336" s="15" t="s">
        <v>1839</v>
      </c>
      <c r="E336" s="16" t="s">
        <v>3030</v>
      </c>
      <c r="F336" s="32" t="s">
        <v>3031</v>
      </c>
      <c r="G336" s="17" t="s">
        <v>3032</v>
      </c>
      <c r="H336" s="18" t="s">
        <v>3033</v>
      </c>
      <c r="I336" s="16" t="s">
        <v>3034</v>
      </c>
      <c r="J336" s="16" t="s">
        <v>173</v>
      </c>
      <c r="K336" s="16" t="s">
        <v>384</v>
      </c>
      <c r="L336" s="16">
        <v>72252279</v>
      </c>
      <c r="M336" s="16" t="s">
        <v>234</v>
      </c>
      <c r="N336" s="16">
        <v>29309090104764</v>
      </c>
      <c r="O336" s="16" t="s">
        <v>3035</v>
      </c>
      <c r="P336" s="16" t="s">
        <v>3036</v>
      </c>
      <c r="Q336" s="16" t="s">
        <v>1815</v>
      </c>
      <c r="R336" s="16" t="s">
        <v>1849</v>
      </c>
      <c r="S336" s="19" t="s">
        <v>3037</v>
      </c>
      <c r="T336" s="20" t="s">
        <v>1914</v>
      </c>
      <c r="U336" s="16" t="s">
        <v>1915</v>
      </c>
      <c r="V336" s="16" t="s">
        <v>3038</v>
      </c>
      <c r="W336" s="30" t="s">
        <v>3039</v>
      </c>
      <c r="X336" s="18" t="s">
        <v>542</v>
      </c>
      <c r="Y336" s="18" t="s">
        <v>98</v>
      </c>
      <c r="Z336" s="18" t="s">
        <v>1815</v>
      </c>
      <c r="AA336" s="16" t="s">
        <v>2433</v>
      </c>
      <c r="AB336" s="16" t="s">
        <v>2434</v>
      </c>
      <c r="AC336" s="16" t="s">
        <v>2435</v>
      </c>
      <c r="AD336" s="123" t="str">
        <f t="shared" si="5"/>
        <v>External Transfer-Other banks</v>
      </c>
      <c r="AE336" s="123" t="str">
        <f>VLOOKUP(Table1[[#This Row],[Name of bank]],'اكواد البنوك'!$A$2:$B$34,2,0)</f>
        <v>MSHQEGCAXXX</v>
      </c>
      <c r="AF336" s="21" t="s">
        <v>3040</v>
      </c>
      <c r="AG336" s="15" t="s">
        <v>49</v>
      </c>
    </row>
    <row r="337" spans="1:33">
      <c r="A337" s="14">
        <v>336</v>
      </c>
      <c r="B337" s="14" t="str">
        <f>B336</f>
        <v>B406</v>
      </c>
      <c r="C337" s="14" t="e">
        <v>#N/A</v>
      </c>
      <c r="D337" s="15" t="s">
        <v>1831</v>
      </c>
      <c r="E337" s="16" t="s">
        <v>3041</v>
      </c>
      <c r="F337" s="32" t="s">
        <v>10045</v>
      </c>
      <c r="G337" s="17" t="s">
        <v>3042</v>
      </c>
      <c r="H337" s="18" t="s">
        <v>3043</v>
      </c>
      <c r="I337" s="16" t="s">
        <v>1831</v>
      </c>
      <c r="J337" s="16"/>
      <c r="K337" s="16"/>
      <c r="L337" s="16" t="s">
        <v>1836</v>
      </c>
      <c r="M337" s="16" t="s">
        <v>1996</v>
      </c>
      <c r="N337" s="16">
        <v>28902180102808</v>
      </c>
      <c r="O337" s="16"/>
      <c r="P337" s="16"/>
      <c r="Q337" s="16"/>
      <c r="R337" s="16"/>
      <c r="S337" s="19"/>
      <c r="T337" s="20" t="s">
        <v>1837</v>
      </c>
      <c r="U337" s="16"/>
      <c r="V337" s="16"/>
      <c r="W337" s="30" t="s">
        <v>1838</v>
      </c>
      <c r="X337" s="18" t="s">
        <v>542</v>
      </c>
      <c r="Y337" s="18" t="s">
        <v>98</v>
      </c>
      <c r="Z337" s="18" t="s">
        <v>1815</v>
      </c>
      <c r="AA337" s="16" t="s">
        <v>2433</v>
      </c>
      <c r="AB337" s="16" t="s">
        <v>2434</v>
      </c>
      <c r="AC337" s="16" t="s">
        <v>2435</v>
      </c>
      <c r="AD337" s="123" t="str">
        <f t="shared" si="5"/>
        <v>FUE</v>
      </c>
      <c r="AE337" s="123" t="str">
        <f>VLOOKUP(Table1[[#This Row],[Name of bank]],'اكواد البنوك'!$A$2:$B$34,2,0)</f>
        <v>FUE</v>
      </c>
      <c r="AF337" s="21" t="s">
        <v>1838</v>
      </c>
      <c r="AG337" s="15" t="s">
        <v>49</v>
      </c>
    </row>
    <row r="338" spans="1:33">
      <c r="A338" s="14">
        <v>337</v>
      </c>
      <c r="B338" s="14" t="s">
        <v>3044</v>
      </c>
      <c r="C338" s="14" t="e">
        <v>#N/A</v>
      </c>
      <c r="D338" s="15" t="s">
        <v>1831</v>
      </c>
      <c r="E338" s="16" t="s">
        <v>3045</v>
      </c>
      <c r="F338" s="32" t="s">
        <v>10094</v>
      </c>
      <c r="G338" s="17" t="s">
        <v>3046</v>
      </c>
      <c r="H338" s="18" t="s">
        <v>3047</v>
      </c>
      <c r="I338" s="16" t="s">
        <v>1831</v>
      </c>
      <c r="J338" s="16"/>
      <c r="K338" s="16"/>
      <c r="L338" s="16" t="s">
        <v>1836</v>
      </c>
      <c r="M338" s="16" t="s">
        <v>3048</v>
      </c>
      <c r="N338" s="16">
        <v>29203290100141</v>
      </c>
      <c r="O338" s="16"/>
      <c r="P338" s="16"/>
      <c r="Q338" s="16"/>
      <c r="R338" s="16"/>
      <c r="S338" s="19"/>
      <c r="T338" s="20" t="s">
        <v>1837</v>
      </c>
      <c r="U338" s="16"/>
      <c r="V338" s="16"/>
      <c r="W338" s="30" t="s">
        <v>1838</v>
      </c>
      <c r="X338" s="18" t="s">
        <v>542</v>
      </c>
      <c r="Y338" s="18" t="s">
        <v>98</v>
      </c>
      <c r="Z338" s="18" t="s">
        <v>1815</v>
      </c>
      <c r="AA338" s="16" t="s">
        <v>2433</v>
      </c>
      <c r="AB338" s="16" t="s">
        <v>2434</v>
      </c>
      <c r="AC338" s="16" t="s">
        <v>2435</v>
      </c>
      <c r="AD338" s="123" t="str">
        <f t="shared" si="5"/>
        <v>FUE</v>
      </c>
      <c r="AE338" s="123" t="str">
        <f>VLOOKUP(Table1[[#This Row],[Name of bank]],'اكواد البنوك'!$A$2:$B$34,2,0)</f>
        <v>FUE</v>
      </c>
      <c r="AF338" s="21" t="s">
        <v>1838</v>
      </c>
      <c r="AG338" s="15" t="s">
        <v>49</v>
      </c>
    </row>
    <row r="339" spans="1:33">
      <c r="A339" s="14">
        <v>338</v>
      </c>
      <c r="B339" s="14" t="str">
        <f>B338</f>
        <v>B407</v>
      </c>
      <c r="C339" s="14" t="e">
        <v>#N/A</v>
      </c>
      <c r="D339" s="15" t="s">
        <v>1839</v>
      </c>
      <c r="E339" s="16" t="s">
        <v>3049</v>
      </c>
      <c r="F339" s="32" t="s">
        <v>10018</v>
      </c>
      <c r="G339" s="17" t="s">
        <v>3050</v>
      </c>
      <c r="H339" s="18" t="s">
        <v>3051</v>
      </c>
      <c r="I339" s="16" t="s">
        <v>3052</v>
      </c>
      <c r="J339" s="16" t="s">
        <v>173</v>
      </c>
      <c r="K339" s="16" t="s">
        <v>3053</v>
      </c>
      <c r="L339" s="16" t="s">
        <v>3054</v>
      </c>
      <c r="M339" s="16" t="s">
        <v>136</v>
      </c>
      <c r="N339" s="16">
        <v>30006210102755</v>
      </c>
      <c r="O339" s="16" t="s">
        <v>3055</v>
      </c>
      <c r="P339" s="16" t="s">
        <v>3056</v>
      </c>
      <c r="Q339" s="16" t="s">
        <v>1815</v>
      </c>
      <c r="R339" s="16" t="s">
        <v>1849</v>
      </c>
      <c r="S339" s="19" t="s">
        <v>3057</v>
      </c>
      <c r="T339" s="20" t="s">
        <v>176</v>
      </c>
      <c r="U339" s="116" t="s">
        <v>1943</v>
      </c>
      <c r="V339" s="16" t="s">
        <v>3059</v>
      </c>
      <c r="W339" s="113" t="s">
        <v>3060</v>
      </c>
      <c r="X339" s="18" t="s">
        <v>542</v>
      </c>
      <c r="Y339" s="18" t="s">
        <v>98</v>
      </c>
      <c r="Z339" s="18" t="s">
        <v>1815</v>
      </c>
      <c r="AA339" s="16" t="s">
        <v>2433</v>
      </c>
      <c r="AB339" s="16" t="s">
        <v>2434</v>
      </c>
      <c r="AC339" s="16" t="s">
        <v>2435</v>
      </c>
      <c r="AD339" s="123" t="str">
        <f t="shared" si="5"/>
        <v>External Transfer-Other banks</v>
      </c>
      <c r="AE339" s="123" t="str">
        <f>VLOOKUP(Table1[[#This Row],[Name of bank]],'اكواد البنوك'!$A$2:$B$34,2,0)</f>
        <v>BMISEGCXXXX</v>
      </c>
      <c r="AF339" s="114" t="s">
        <v>1946</v>
      </c>
      <c r="AG339" s="15" t="s">
        <v>2054</v>
      </c>
    </row>
    <row r="340" spans="1:33">
      <c r="A340" s="14">
        <v>339</v>
      </c>
      <c r="B340" s="14" t="s">
        <v>3061</v>
      </c>
      <c r="C340" s="14" t="s">
        <v>2446</v>
      </c>
      <c r="D340" s="15" t="s">
        <v>1703</v>
      </c>
      <c r="E340" s="16" t="s">
        <v>3062</v>
      </c>
      <c r="F340" s="32" t="s">
        <v>3063</v>
      </c>
      <c r="G340" s="17" t="s">
        <v>3064</v>
      </c>
      <c r="H340" s="18">
        <v>201225174188</v>
      </c>
      <c r="I340" s="16" t="s">
        <v>1703</v>
      </c>
      <c r="J340" s="16" t="e">
        <v>#N/A</v>
      </c>
      <c r="K340" s="16" t="e">
        <v>#N/A</v>
      </c>
      <c r="L340" s="16" t="e">
        <v>#N/A</v>
      </c>
      <c r="M340" s="16" t="e">
        <v>#N/A</v>
      </c>
      <c r="N340" s="16" t="s">
        <v>3065</v>
      </c>
      <c r="O340" s="16"/>
      <c r="P340" s="16"/>
      <c r="Q340" s="16"/>
      <c r="R340" s="16"/>
      <c r="S340" s="19"/>
      <c r="T340" s="20" t="s">
        <v>40</v>
      </c>
      <c r="U340" s="16"/>
      <c r="V340" s="16"/>
      <c r="W340" s="30">
        <v>25</v>
      </c>
      <c r="X340" s="18" t="s">
        <v>31</v>
      </c>
      <c r="Y340" s="18" t="s">
        <v>43</v>
      </c>
      <c r="Z340" s="18" t="s">
        <v>1815</v>
      </c>
      <c r="AA340" s="16" t="s">
        <v>3066</v>
      </c>
      <c r="AB340" s="16" t="s">
        <v>3067</v>
      </c>
      <c r="AC340" s="16" t="s">
        <v>3068</v>
      </c>
      <c r="AD340" s="123" t="str">
        <f t="shared" si="5"/>
        <v>Internal Transfer</v>
      </c>
      <c r="AE340" s="123" t="str">
        <f>VLOOKUP(Table1[[#This Row],[Name of bank]],'اكواد البنوك'!$A$2:$B$34,2,0)</f>
        <v>NBEGEGCXXXX</v>
      </c>
      <c r="AF340" s="21">
        <v>25</v>
      </c>
      <c r="AG340" s="15" t="s">
        <v>3069</v>
      </c>
    </row>
    <row r="341" spans="1:33">
      <c r="A341" s="14">
        <v>340</v>
      </c>
      <c r="B341" s="14" t="str">
        <f>B340</f>
        <v>GS 214</v>
      </c>
      <c r="C341" s="14" t="e">
        <v>#N/A</v>
      </c>
      <c r="D341" s="15" t="s">
        <v>1703</v>
      </c>
      <c r="E341" s="16" t="s">
        <v>3070</v>
      </c>
      <c r="F341" s="32" t="s">
        <v>3071</v>
      </c>
      <c r="G341" s="17" t="s">
        <v>3072</v>
      </c>
      <c r="H341" s="18">
        <v>201003561685</v>
      </c>
      <c r="I341" s="16" t="s">
        <v>1703</v>
      </c>
      <c r="J341" s="16"/>
      <c r="K341" s="16"/>
      <c r="L341" s="16"/>
      <c r="M341" s="16"/>
      <c r="N341" s="16"/>
      <c r="O341" s="16"/>
      <c r="P341" s="16"/>
      <c r="Q341" s="16"/>
      <c r="R341" s="16"/>
      <c r="S341" s="19"/>
      <c r="T341" s="20" t="s">
        <v>40</v>
      </c>
      <c r="U341" s="16"/>
      <c r="V341" s="16"/>
      <c r="W341" s="30">
        <v>40</v>
      </c>
      <c r="X341" s="18" t="s">
        <v>66</v>
      </c>
      <c r="Y341" s="18" t="s">
        <v>43</v>
      </c>
      <c r="Z341" s="18" t="s">
        <v>1815</v>
      </c>
      <c r="AA341" s="16" t="s">
        <v>3066</v>
      </c>
      <c r="AB341" s="16" t="s">
        <v>3067</v>
      </c>
      <c r="AC341" s="16" t="s">
        <v>3068</v>
      </c>
      <c r="AD341" s="123" t="str">
        <f t="shared" si="5"/>
        <v>Internal Transfer</v>
      </c>
      <c r="AE341" s="123" t="str">
        <f>VLOOKUP(Table1[[#This Row],[Name of bank]],'اكواد البنوك'!$A$2:$B$34,2,0)</f>
        <v>NBEGEGCXXXX</v>
      </c>
      <c r="AF341" s="21">
        <v>40</v>
      </c>
      <c r="AG341" s="15" t="s">
        <v>167</v>
      </c>
    </row>
    <row r="342" spans="1:33">
      <c r="A342" s="14">
        <v>341</v>
      </c>
      <c r="B342" s="14" t="str">
        <f>B341</f>
        <v>GS 214</v>
      </c>
      <c r="C342" s="14" t="e">
        <v>#N/A</v>
      </c>
      <c r="D342" s="15" t="s">
        <v>1703</v>
      </c>
      <c r="E342" s="16" t="s">
        <v>3073</v>
      </c>
      <c r="F342" s="32" t="s">
        <v>3074</v>
      </c>
      <c r="G342" s="17" t="s">
        <v>3075</v>
      </c>
      <c r="H342" s="18">
        <v>201002956950</v>
      </c>
      <c r="I342" s="16" t="s">
        <v>1703</v>
      </c>
      <c r="J342" s="16"/>
      <c r="K342" s="16"/>
      <c r="L342" s="16"/>
      <c r="M342" s="16"/>
      <c r="N342" s="16"/>
      <c r="O342" s="16"/>
      <c r="P342" s="16"/>
      <c r="Q342" s="16"/>
      <c r="R342" s="16"/>
      <c r="S342" s="19"/>
      <c r="T342" s="20" t="s">
        <v>40</v>
      </c>
      <c r="U342" s="16"/>
      <c r="V342" s="16"/>
      <c r="W342" s="30">
        <v>44</v>
      </c>
      <c r="X342" s="18" t="s">
        <v>66</v>
      </c>
      <c r="Y342" s="18" t="s">
        <v>43</v>
      </c>
      <c r="Z342" s="18" t="s">
        <v>1815</v>
      </c>
      <c r="AA342" s="16" t="s">
        <v>3066</v>
      </c>
      <c r="AB342" s="16" t="s">
        <v>3067</v>
      </c>
      <c r="AC342" s="16" t="s">
        <v>3068</v>
      </c>
      <c r="AD342" s="123" t="str">
        <f t="shared" si="5"/>
        <v>Internal Transfer</v>
      </c>
      <c r="AE342" s="123" t="str">
        <f>VLOOKUP(Table1[[#This Row],[Name of bank]],'اكواد البنوك'!$A$2:$B$34,2,0)</f>
        <v>NBEGEGCXXXX</v>
      </c>
      <c r="AF342" s="21">
        <v>44</v>
      </c>
      <c r="AG342" s="15" t="s">
        <v>167</v>
      </c>
    </row>
    <row r="343" spans="1:33">
      <c r="A343" s="14">
        <v>342</v>
      </c>
      <c r="B343" s="14" t="s">
        <v>2446</v>
      </c>
      <c r="C343" s="14" t="s">
        <v>73</v>
      </c>
      <c r="D343" s="15" t="s">
        <v>1827</v>
      </c>
      <c r="E343" s="16" t="s">
        <v>3076</v>
      </c>
      <c r="F343" s="32" t="s">
        <v>3077</v>
      </c>
      <c r="G343" s="17" t="s">
        <v>3078</v>
      </c>
      <c r="H343" s="18" t="s">
        <v>3079</v>
      </c>
      <c r="I343" s="16" t="s">
        <v>1827</v>
      </c>
      <c r="J343" s="16" t="s">
        <v>43</v>
      </c>
      <c r="K343" s="16" t="s">
        <v>1827</v>
      </c>
      <c r="L343" s="16"/>
      <c r="M343" s="16" t="s">
        <v>1827</v>
      </c>
      <c r="N343" s="16"/>
      <c r="O343" s="16"/>
      <c r="P343" s="16"/>
      <c r="Q343" s="16"/>
      <c r="R343" s="16"/>
      <c r="S343" s="19">
        <v>64</v>
      </c>
      <c r="T343" s="20" t="s">
        <v>40</v>
      </c>
      <c r="U343" s="16"/>
      <c r="V343" s="16"/>
      <c r="W343" s="30">
        <v>64</v>
      </c>
      <c r="X343" s="18" t="s">
        <v>78</v>
      </c>
      <c r="Y343" s="18" t="s">
        <v>43</v>
      </c>
      <c r="Z343" s="18" t="s">
        <v>1815</v>
      </c>
      <c r="AA343" s="16" t="s">
        <v>3066</v>
      </c>
      <c r="AB343" s="16" t="s">
        <v>3067</v>
      </c>
      <c r="AC343" s="16" t="s">
        <v>3068</v>
      </c>
      <c r="AD343" s="123" t="str">
        <f t="shared" si="5"/>
        <v>Internal Transfer</v>
      </c>
      <c r="AE343" s="123" t="str">
        <f>VLOOKUP(Table1[[#This Row],[Name of bank]],'اكواد البنوك'!$A$2:$B$34,2,0)</f>
        <v>NBEGEGCXXXX</v>
      </c>
      <c r="AF343" s="21" t="s">
        <v>3080</v>
      </c>
      <c r="AG343" s="15" t="s">
        <v>49</v>
      </c>
    </row>
    <row r="344" spans="1:33">
      <c r="A344" s="14">
        <v>343</v>
      </c>
      <c r="B344" s="14" t="str">
        <f>B343</f>
        <v>Ground</v>
      </c>
      <c r="C344" s="14" t="e">
        <v>#N/A</v>
      </c>
      <c r="D344" s="15" t="s">
        <v>1855</v>
      </c>
      <c r="E344" s="16" t="s">
        <v>3081</v>
      </c>
      <c r="F344" s="32" t="s">
        <v>3082</v>
      </c>
      <c r="G344" s="17" t="s">
        <v>3083</v>
      </c>
      <c r="H344" s="18">
        <v>201094668442</v>
      </c>
      <c r="I344" s="16" t="s">
        <v>1858</v>
      </c>
      <c r="J344" s="16" t="s">
        <v>1845</v>
      </c>
      <c r="K344" s="16" t="s">
        <v>3084</v>
      </c>
      <c r="L344" s="16" t="s">
        <v>136</v>
      </c>
      <c r="M344" s="16" t="s">
        <v>136</v>
      </c>
      <c r="N344" s="16">
        <v>28810300101001</v>
      </c>
      <c r="O344" s="16" t="s">
        <v>3085</v>
      </c>
      <c r="P344" s="16" t="s">
        <v>3086</v>
      </c>
      <c r="Q344" s="16" t="s">
        <v>1815</v>
      </c>
      <c r="R344" s="16" t="s">
        <v>1849</v>
      </c>
      <c r="S344" s="19" t="s">
        <v>1861</v>
      </c>
      <c r="T344" s="20" t="s">
        <v>40</v>
      </c>
      <c r="U344" s="16" t="s">
        <v>10208</v>
      </c>
      <c r="V344" s="16"/>
      <c r="W344" s="30" t="s">
        <v>10207</v>
      </c>
      <c r="X344" s="18" t="s">
        <v>97</v>
      </c>
      <c r="Y344" s="18" t="s">
        <v>98</v>
      </c>
      <c r="Z344" s="18" t="s">
        <v>1815</v>
      </c>
      <c r="AA344" s="16" t="s">
        <v>3066</v>
      </c>
      <c r="AB344" s="16" t="s">
        <v>3067</v>
      </c>
      <c r="AC344" s="16" t="s">
        <v>3068</v>
      </c>
      <c r="AD344" s="123" t="str">
        <f t="shared" si="5"/>
        <v>External Transfer-NBE</v>
      </c>
      <c r="AE344" s="123" t="str">
        <f>VLOOKUP(Table1[[#This Row],[Name of bank]],'اكواد البنوك'!$A$2:$B$34,2,0)</f>
        <v>NBEGEGCXXXX</v>
      </c>
      <c r="AF344" s="21">
        <v>170</v>
      </c>
      <c r="AG344" s="15" t="s">
        <v>1862</v>
      </c>
    </row>
    <row r="345" spans="1:33">
      <c r="A345" s="14">
        <v>344</v>
      </c>
      <c r="B345" s="14" t="s">
        <v>3087</v>
      </c>
      <c r="C345" s="14" t="e">
        <v>#N/A</v>
      </c>
      <c r="D345" s="15" t="s">
        <v>1831</v>
      </c>
      <c r="E345" s="16" t="s">
        <v>3088</v>
      </c>
      <c r="F345" s="32" t="s">
        <v>3089</v>
      </c>
      <c r="G345" s="17" t="s">
        <v>3090</v>
      </c>
      <c r="H345" s="18" t="s">
        <v>3091</v>
      </c>
      <c r="I345" s="16" t="s">
        <v>1831</v>
      </c>
      <c r="J345" s="16"/>
      <c r="K345" s="16"/>
      <c r="L345" s="16" t="s">
        <v>1836</v>
      </c>
      <c r="M345" s="16" t="s">
        <v>1996</v>
      </c>
      <c r="N345" s="16" t="s">
        <v>3092</v>
      </c>
      <c r="O345" s="16"/>
      <c r="P345" s="16"/>
      <c r="Q345" s="16"/>
      <c r="R345" s="16"/>
      <c r="S345" s="19"/>
      <c r="T345" s="20" t="s">
        <v>1837</v>
      </c>
      <c r="U345" s="16"/>
      <c r="V345" s="16"/>
      <c r="W345" s="30" t="s">
        <v>1838</v>
      </c>
      <c r="X345" s="18" t="s">
        <v>542</v>
      </c>
      <c r="Y345" s="18" t="s">
        <v>98</v>
      </c>
      <c r="Z345" s="18" t="s">
        <v>1815</v>
      </c>
      <c r="AA345" s="16" t="s">
        <v>3066</v>
      </c>
      <c r="AB345" s="16" t="s">
        <v>3067</v>
      </c>
      <c r="AC345" s="16" t="s">
        <v>3068</v>
      </c>
      <c r="AD345" s="123" t="str">
        <f t="shared" si="5"/>
        <v>FUE</v>
      </c>
      <c r="AE345" s="123" t="str">
        <f>VLOOKUP(Table1[[#This Row],[Name of bank]],'اكواد البنوك'!$A$2:$B$34,2,0)</f>
        <v>FUE</v>
      </c>
      <c r="AF345" s="21" t="s">
        <v>1838</v>
      </c>
      <c r="AG345" s="15" t="s">
        <v>49</v>
      </c>
    </row>
    <row r="346" spans="1:33">
      <c r="A346" s="14">
        <v>345</v>
      </c>
      <c r="B346" s="14" t="str">
        <f>B345</f>
        <v>GS 002</v>
      </c>
      <c r="C346" s="14" t="e">
        <v>#N/A</v>
      </c>
      <c r="D346" s="15" t="s">
        <v>1839</v>
      </c>
      <c r="E346" s="16" t="s">
        <v>3093</v>
      </c>
      <c r="F346" s="32" t="s">
        <v>3094</v>
      </c>
      <c r="G346" s="17" t="s">
        <v>3095</v>
      </c>
      <c r="H346" s="18" t="s">
        <v>3096</v>
      </c>
      <c r="I346" s="16" t="s">
        <v>3097</v>
      </c>
      <c r="J346" s="16" t="s">
        <v>86</v>
      </c>
      <c r="K346" s="16" t="s">
        <v>148</v>
      </c>
      <c r="L346" s="16">
        <v>64603312</v>
      </c>
      <c r="M346" s="16" t="s">
        <v>3098</v>
      </c>
      <c r="N346" s="16">
        <v>283070100461</v>
      </c>
      <c r="O346" s="16" t="s">
        <v>3099</v>
      </c>
      <c r="P346" s="16" t="s">
        <v>3100</v>
      </c>
      <c r="Q346" s="16" t="s">
        <v>1815</v>
      </c>
      <c r="R346" s="16" t="s">
        <v>1849</v>
      </c>
      <c r="S346" s="87" t="s">
        <v>3101</v>
      </c>
      <c r="T346" s="87" t="s">
        <v>176</v>
      </c>
      <c r="U346" s="87" t="s">
        <v>10310</v>
      </c>
      <c r="V346" s="73" t="s">
        <v>3102</v>
      </c>
      <c r="W346" s="74" t="s">
        <v>3103</v>
      </c>
      <c r="X346" s="18" t="s">
        <v>542</v>
      </c>
      <c r="Y346" s="18" t="s">
        <v>98</v>
      </c>
      <c r="Z346" s="18" t="s">
        <v>1815</v>
      </c>
      <c r="AA346" s="16" t="s">
        <v>3066</v>
      </c>
      <c r="AB346" s="16" t="s">
        <v>3067</v>
      </c>
      <c r="AC346" s="16" t="s">
        <v>3068</v>
      </c>
      <c r="AD346" s="123" t="str">
        <f t="shared" si="5"/>
        <v>External Transfer-Other banks</v>
      </c>
      <c r="AE346" s="124" t="s">
        <v>180</v>
      </c>
      <c r="AF346" s="94" t="s">
        <v>3104</v>
      </c>
      <c r="AG346" s="97" t="s">
        <v>2054</v>
      </c>
    </row>
    <row r="347" spans="1:33">
      <c r="A347" s="14">
        <v>346</v>
      </c>
      <c r="B347" s="14" t="str">
        <f>B346</f>
        <v>GS 002</v>
      </c>
      <c r="C347" s="14" t="e">
        <v>#N/A</v>
      </c>
      <c r="D347" s="15" t="s">
        <v>1839</v>
      </c>
      <c r="E347" s="16" t="s">
        <v>3105</v>
      </c>
      <c r="F347" s="32" t="s">
        <v>3106</v>
      </c>
      <c r="G347" s="17" t="s">
        <v>3107</v>
      </c>
      <c r="H347" s="18" t="s">
        <v>3108</v>
      </c>
      <c r="I347" s="16" t="s">
        <v>3109</v>
      </c>
      <c r="J347" s="16" t="s">
        <v>86</v>
      </c>
      <c r="K347" s="16" t="s">
        <v>438</v>
      </c>
      <c r="L347" s="16">
        <v>52763466</v>
      </c>
      <c r="M347" s="16" t="s">
        <v>136</v>
      </c>
      <c r="N347" s="16">
        <v>27810280102389</v>
      </c>
      <c r="O347" s="16" t="s">
        <v>3110</v>
      </c>
      <c r="P347" s="16" t="s">
        <v>3111</v>
      </c>
      <c r="Q347" s="16" t="s">
        <v>1815</v>
      </c>
      <c r="R347" s="16" t="s">
        <v>1882</v>
      </c>
      <c r="S347" s="19" t="s">
        <v>3106</v>
      </c>
      <c r="T347" s="20" t="s">
        <v>40</v>
      </c>
      <c r="U347" s="16" t="s">
        <v>3112</v>
      </c>
      <c r="V347" s="16">
        <v>1.2250004691472E+18</v>
      </c>
      <c r="W347" s="30" t="s">
        <v>3113</v>
      </c>
      <c r="X347" s="18" t="s">
        <v>542</v>
      </c>
      <c r="Y347" s="18" t="s">
        <v>98</v>
      </c>
      <c r="Z347" s="18" t="s">
        <v>1815</v>
      </c>
      <c r="AA347" s="16" t="s">
        <v>3066</v>
      </c>
      <c r="AB347" s="16" t="s">
        <v>3067</v>
      </c>
      <c r="AC347" s="16" t="s">
        <v>3068</v>
      </c>
      <c r="AD347" s="123" t="str">
        <f t="shared" si="5"/>
        <v>External Transfer-NBE</v>
      </c>
      <c r="AE347" s="123" t="str">
        <f>VLOOKUP(Table1[[#This Row],[Name of bank]],'اكواد البنوك'!$A$2:$B$34,2,0)</f>
        <v>NBEGEGCXXXX</v>
      </c>
      <c r="AF347" s="21" t="s">
        <v>3114</v>
      </c>
      <c r="AG347" s="15" t="s">
        <v>49</v>
      </c>
    </row>
    <row r="348" spans="1:33">
      <c r="A348" s="14">
        <v>347</v>
      </c>
      <c r="B348" s="14" t="s">
        <v>3115</v>
      </c>
      <c r="C348" s="14" t="e">
        <v>#N/A</v>
      </c>
      <c r="D348" s="15" t="s">
        <v>1839</v>
      </c>
      <c r="E348" s="16" t="s">
        <v>3116</v>
      </c>
      <c r="F348" s="32" t="s">
        <v>3117</v>
      </c>
      <c r="G348" s="17" t="s">
        <v>3118</v>
      </c>
      <c r="H348" s="18" t="s">
        <v>3119</v>
      </c>
      <c r="I348" s="16" t="s">
        <v>3120</v>
      </c>
      <c r="J348" s="16" t="s">
        <v>86</v>
      </c>
      <c r="K348" s="16" t="s">
        <v>3121</v>
      </c>
      <c r="L348" s="16">
        <v>54270638</v>
      </c>
      <c r="M348" s="16" t="s">
        <v>234</v>
      </c>
      <c r="N348" s="16">
        <v>27810250100811</v>
      </c>
      <c r="O348" s="16" t="s">
        <v>3122</v>
      </c>
      <c r="P348" s="16" t="s">
        <v>3123</v>
      </c>
      <c r="Q348" s="16" t="s">
        <v>1815</v>
      </c>
      <c r="R348" s="16" t="s">
        <v>1849</v>
      </c>
      <c r="S348" s="19" t="s">
        <v>3124</v>
      </c>
      <c r="T348" s="20" t="s">
        <v>40</v>
      </c>
      <c r="U348" s="16" t="s">
        <v>3125</v>
      </c>
      <c r="V348" s="16" t="s">
        <v>3126</v>
      </c>
      <c r="W348" s="30" t="s">
        <v>3127</v>
      </c>
      <c r="X348" s="18" t="s">
        <v>542</v>
      </c>
      <c r="Y348" s="18" t="s">
        <v>98</v>
      </c>
      <c r="Z348" s="18" t="s">
        <v>1815</v>
      </c>
      <c r="AA348" s="16" t="s">
        <v>3066</v>
      </c>
      <c r="AB348" s="16" t="s">
        <v>3067</v>
      </c>
      <c r="AC348" s="16" t="s">
        <v>3068</v>
      </c>
      <c r="AD348" s="123" t="str">
        <f t="shared" si="5"/>
        <v>External Transfer-NBE</v>
      </c>
      <c r="AE348" s="123" t="str">
        <f>VLOOKUP(Table1[[#This Row],[Name of bank]],'اكواد البنوك'!$A$2:$B$34,2,0)</f>
        <v>NBEGEGCXXXX</v>
      </c>
      <c r="AF348" s="21" t="s">
        <v>2015</v>
      </c>
      <c r="AG348" s="15" t="s">
        <v>49</v>
      </c>
    </row>
    <row r="349" spans="1:33">
      <c r="A349" s="14">
        <v>348</v>
      </c>
      <c r="B349" s="14" t="str">
        <f>B348</f>
        <v>GS 005</v>
      </c>
      <c r="C349" s="14" t="e">
        <v>#N/A</v>
      </c>
      <c r="D349" s="15" t="s">
        <v>1839</v>
      </c>
      <c r="E349" s="16" t="s">
        <v>3128</v>
      </c>
      <c r="F349" s="32" t="s">
        <v>3129</v>
      </c>
      <c r="G349" s="17" t="s">
        <v>3130</v>
      </c>
      <c r="H349" s="18" t="s">
        <v>3131</v>
      </c>
      <c r="I349" s="16" t="s">
        <v>3132</v>
      </c>
      <c r="J349" s="16" t="s">
        <v>86</v>
      </c>
      <c r="K349" s="16" t="s">
        <v>269</v>
      </c>
      <c r="L349" s="16">
        <v>51566889</v>
      </c>
      <c r="M349" s="16" t="s">
        <v>2744</v>
      </c>
      <c r="N349" s="16">
        <v>28103250103343</v>
      </c>
      <c r="O349" s="16" t="s">
        <v>3133</v>
      </c>
      <c r="P349" s="16" t="s">
        <v>3134</v>
      </c>
      <c r="Q349" s="16" t="s">
        <v>1815</v>
      </c>
      <c r="R349" s="16" t="s">
        <v>1849</v>
      </c>
      <c r="S349" s="87" t="s">
        <v>3128</v>
      </c>
      <c r="T349" s="87" t="s">
        <v>307</v>
      </c>
      <c r="U349" s="87" t="s">
        <v>2583</v>
      </c>
      <c r="V349" s="73" t="s">
        <v>3135</v>
      </c>
      <c r="W349" s="74" t="s">
        <v>3136</v>
      </c>
      <c r="X349" s="18" t="s">
        <v>542</v>
      </c>
      <c r="Y349" s="18" t="s">
        <v>98</v>
      </c>
      <c r="Z349" s="18" t="s">
        <v>1815</v>
      </c>
      <c r="AA349" s="16" t="s">
        <v>3066</v>
      </c>
      <c r="AB349" s="16" t="s">
        <v>3067</v>
      </c>
      <c r="AC349" s="16" t="s">
        <v>3068</v>
      </c>
      <c r="AD349" s="123" t="str">
        <f t="shared" si="5"/>
        <v>External Transfer-Other banks</v>
      </c>
      <c r="AE349" s="123" t="str">
        <f>VLOOKUP(Table1[[#This Row],[Name of bank]],'اكواد البنوك'!$A$2:$B$34,2,0)</f>
        <v>CIBEEGCXXXX</v>
      </c>
      <c r="AF349" s="77" t="s">
        <v>2258</v>
      </c>
      <c r="AG349" s="70" t="s">
        <v>2054</v>
      </c>
    </row>
    <row r="350" spans="1:33">
      <c r="A350" s="14">
        <v>349</v>
      </c>
      <c r="B350" s="14" t="s">
        <v>3137</v>
      </c>
      <c r="C350" s="14" t="s">
        <v>4213</v>
      </c>
      <c r="D350" s="15" t="s">
        <v>1831</v>
      </c>
      <c r="E350" s="16" t="s">
        <v>3138</v>
      </c>
      <c r="F350" s="32" t="s">
        <v>3139</v>
      </c>
      <c r="G350" s="17" t="s">
        <v>3140</v>
      </c>
      <c r="H350" s="18" t="s">
        <v>3141</v>
      </c>
      <c r="I350" s="16"/>
      <c r="J350" s="16"/>
      <c r="K350" s="16" t="s">
        <v>1831</v>
      </c>
      <c r="L350" s="16" t="s">
        <v>1836</v>
      </c>
      <c r="M350" s="16" t="s">
        <v>3142</v>
      </c>
      <c r="N350" s="16">
        <v>28711200102991</v>
      </c>
      <c r="O350" s="16"/>
      <c r="P350" s="16"/>
      <c r="Q350" s="16"/>
      <c r="R350" s="16"/>
      <c r="S350" s="19"/>
      <c r="T350" s="20" t="s">
        <v>1837</v>
      </c>
      <c r="U350" s="16"/>
      <c r="V350" s="16"/>
      <c r="W350" s="30" t="s">
        <v>1838</v>
      </c>
      <c r="X350" s="18" t="s">
        <v>542</v>
      </c>
      <c r="Y350" s="18" t="s">
        <v>98</v>
      </c>
      <c r="Z350" s="18" t="s">
        <v>1815</v>
      </c>
      <c r="AA350" s="16" t="s">
        <v>3066</v>
      </c>
      <c r="AB350" s="16" t="s">
        <v>3067</v>
      </c>
      <c r="AC350" s="16" t="s">
        <v>3068</v>
      </c>
      <c r="AD350" s="123" t="str">
        <f t="shared" si="5"/>
        <v>FUE</v>
      </c>
      <c r="AE350" s="123" t="str">
        <f>VLOOKUP(Table1[[#This Row],[Name of bank]],'اكواد البنوك'!$A$2:$B$34,2,0)</f>
        <v>FUE</v>
      </c>
      <c r="AF350" s="21" t="s">
        <v>1838</v>
      </c>
      <c r="AG350" s="15" t="s">
        <v>49</v>
      </c>
    </row>
    <row r="351" spans="1:33">
      <c r="A351" s="14">
        <v>350</v>
      </c>
      <c r="B351" s="14" t="s">
        <v>639</v>
      </c>
      <c r="C351" s="14" t="s">
        <v>4389</v>
      </c>
      <c r="D351" s="15" t="s">
        <v>1839</v>
      </c>
      <c r="E351" s="16" t="s">
        <v>3145</v>
      </c>
      <c r="F351" s="32" t="s">
        <v>3146</v>
      </c>
      <c r="G351" s="17" t="s">
        <v>3147</v>
      </c>
      <c r="H351" s="18" t="s">
        <v>3148</v>
      </c>
      <c r="I351" s="16" t="s">
        <v>3149</v>
      </c>
      <c r="J351" s="16" t="s">
        <v>173</v>
      </c>
      <c r="K351" s="16" t="s">
        <v>384</v>
      </c>
      <c r="L351" s="16" t="s">
        <v>136</v>
      </c>
      <c r="M351" s="16" t="s">
        <v>136</v>
      </c>
      <c r="N351" s="16">
        <v>29709250102788</v>
      </c>
      <c r="O351" s="16" t="s">
        <v>3150</v>
      </c>
      <c r="P351" s="16" t="s">
        <v>3151</v>
      </c>
      <c r="Q351" s="16" t="s">
        <v>1815</v>
      </c>
      <c r="R351" s="16" t="s">
        <v>1849</v>
      </c>
      <c r="S351" s="19" t="s">
        <v>3152</v>
      </c>
      <c r="T351" s="20" t="s">
        <v>40</v>
      </c>
      <c r="U351" s="16" t="s">
        <v>3153</v>
      </c>
      <c r="V351" s="16" t="s">
        <v>3154</v>
      </c>
      <c r="W351" s="30" t="s">
        <v>3155</v>
      </c>
      <c r="X351" s="18" t="s">
        <v>2096</v>
      </c>
      <c r="Y351" s="18" t="s">
        <v>98</v>
      </c>
      <c r="Z351" s="18" t="s">
        <v>1815</v>
      </c>
      <c r="AA351" s="16" t="s">
        <v>3066</v>
      </c>
      <c r="AB351" s="16" t="s">
        <v>3067</v>
      </c>
      <c r="AC351" s="16" t="s">
        <v>3068</v>
      </c>
      <c r="AD351" s="123" t="str">
        <f t="shared" si="5"/>
        <v>External Transfer-NBE</v>
      </c>
      <c r="AE351" s="123" t="str">
        <f>VLOOKUP(Table1[[#This Row],[Name of bank]],'اكواد البنوك'!$A$2:$B$34,2,0)</f>
        <v>NBEGEGCXXXX</v>
      </c>
      <c r="AF351" s="21" t="s">
        <v>3156</v>
      </c>
      <c r="AG351" s="15" t="s">
        <v>49</v>
      </c>
    </row>
    <row r="352" spans="1:33">
      <c r="A352" s="14">
        <v>351</v>
      </c>
      <c r="B352" s="14" t="str">
        <f>B351</f>
        <v>1st Floor</v>
      </c>
      <c r="C352" s="14" t="e">
        <v>#N/A</v>
      </c>
      <c r="D352" s="15" t="s">
        <v>1855</v>
      </c>
      <c r="E352" s="16" t="s">
        <v>3157</v>
      </c>
      <c r="F352" s="32" t="s">
        <v>3158</v>
      </c>
      <c r="G352" s="17" t="s">
        <v>3159</v>
      </c>
      <c r="H352" s="18">
        <v>201018021021</v>
      </c>
      <c r="I352" s="16" t="s">
        <v>1858</v>
      </c>
      <c r="J352" s="16" t="s">
        <v>1845</v>
      </c>
      <c r="K352" s="16" t="s">
        <v>2536</v>
      </c>
      <c r="L352" s="16" t="s">
        <v>136</v>
      </c>
      <c r="M352" s="16" t="s">
        <v>136</v>
      </c>
      <c r="N352" s="16">
        <v>28908060103442</v>
      </c>
      <c r="O352" s="16" t="s">
        <v>3160</v>
      </c>
      <c r="P352" s="16" t="s">
        <v>3161</v>
      </c>
      <c r="Q352" s="16" t="s">
        <v>1815</v>
      </c>
      <c r="R352" s="16" t="s">
        <v>1849</v>
      </c>
      <c r="S352" s="19" t="s">
        <v>1861</v>
      </c>
      <c r="T352" s="20" t="s">
        <v>10005</v>
      </c>
      <c r="U352" s="16" t="s">
        <v>10225</v>
      </c>
      <c r="V352" s="16"/>
      <c r="W352" s="30" t="s">
        <v>10265</v>
      </c>
      <c r="X352" s="18" t="s">
        <v>97</v>
      </c>
      <c r="Y352" s="18" t="s">
        <v>98</v>
      </c>
      <c r="Z352" s="18" t="s">
        <v>1815</v>
      </c>
      <c r="AA352" s="16" t="s">
        <v>3066</v>
      </c>
      <c r="AB352" s="16" t="s">
        <v>3067</v>
      </c>
      <c r="AC352" s="16" t="s">
        <v>3068</v>
      </c>
      <c r="AD352" s="123" t="str">
        <f t="shared" si="5"/>
        <v>External Transfer-Other banks</v>
      </c>
      <c r="AE352" s="123" t="str">
        <f>VLOOKUP(Table1[[#This Row],[Name of bank]],'اكواد البنوك'!$A$2:$B$34,2,0)</f>
        <v>DEIBEGCXXXX</v>
      </c>
      <c r="AF352" s="21" t="s">
        <v>4762</v>
      </c>
      <c r="AG352" s="15" t="s">
        <v>1862</v>
      </c>
    </row>
    <row r="353" spans="1:33">
      <c r="A353" s="14">
        <v>352</v>
      </c>
      <c r="B353" s="14" t="s">
        <v>3162</v>
      </c>
      <c r="C353" s="14">
        <v>104</v>
      </c>
      <c r="D353" s="15" t="s">
        <v>1839</v>
      </c>
      <c r="E353" s="16" t="s">
        <v>3163</v>
      </c>
      <c r="F353" s="32" t="s">
        <v>3164</v>
      </c>
      <c r="G353" s="17" t="s">
        <v>3165</v>
      </c>
      <c r="H353" s="18" t="s">
        <v>3166</v>
      </c>
      <c r="I353" s="16" t="s">
        <v>3167</v>
      </c>
      <c r="J353" s="16" t="s">
        <v>86</v>
      </c>
      <c r="K353" s="16" t="s">
        <v>3168</v>
      </c>
      <c r="L353" s="16" t="s">
        <v>234</v>
      </c>
      <c r="M353" s="16" t="s">
        <v>234</v>
      </c>
      <c r="N353" s="16">
        <v>29812080101965</v>
      </c>
      <c r="O353" s="16" t="s">
        <v>3169</v>
      </c>
      <c r="P353" s="16" t="s">
        <v>3170</v>
      </c>
      <c r="Q353" s="16" t="s">
        <v>1815</v>
      </c>
      <c r="R353" s="16" t="s">
        <v>1849</v>
      </c>
      <c r="S353" s="87" t="s">
        <v>3163</v>
      </c>
      <c r="T353" s="87" t="s">
        <v>307</v>
      </c>
      <c r="U353" s="87" t="s">
        <v>10311</v>
      </c>
      <c r="V353" s="73" t="s">
        <v>3172</v>
      </c>
      <c r="W353" s="74" t="s">
        <v>3173</v>
      </c>
      <c r="X353" s="18" t="s">
        <v>542</v>
      </c>
      <c r="Y353" s="18" t="s">
        <v>98</v>
      </c>
      <c r="Z353" s="18" t="s">
        <v>1815</v>
      </c>
      <c r="AA353" s="16" t="s">
        <v>3066</v>
      </c>
      <c r="AB353" s="16" t="s">
        <v>3067</v>
      </c>
      <c r="AC353" s="16" t="s">
        <v>3068</v>
      </c>
      <c r="AD353" s="123" t="str">
        <f t="shared" si="5"/>
        <v>External Transfer-Other banks</v>
      </c>
      <c r="AE353" s="123" t="str">
        <f>VLOOKUP(Table1[[#This Row],[Name of bank]],'اكواد البنوك'!$A$2:$B$34,2,0)</f>
        <v>CIBEEGCXXXX</v>
      </c>
      <c r="AF353" s="77" t="s">
        <v>3174</v>
      </c>
      <c r="AG353" s="70" t="s">
        <v>2054</v>
      </c>
    </row>
    <row r="354" spans="1:33">
      <c r="A354" s="14">
        <v>353</v>
      </c>
      <c r="B354" s="14" t="str">
        <f>B353</f>
        <v>GS 103</v>
      </c>
      <c r="C354" s="14">
        <v>106</v>
      </c>
      <c r="D354" s="15" t="s">
        <v>1839</v>
      </c>
      <c r="E354" s="16" t="s">
        <v>3175</v>
      </c>
      <c r="F354" s="32" t="s">
        <v>3176</v>
      </c>
      <c r="G354" s="17" t="s">
        <v>3177</v>
      </c>
      <c r="H354" s="18" t="s">
        <v>3178</v>
      </c>
      <c r="I354" s="16" t="s">
        <v>3179</v>
      </c>
      <c r="J354" s="16" t="s">
        <v>86</v>
      </c>
      <c r="K354" s="16" t="s">
        <v>965</v>
      </c>
      <c r="L354" s="16">
        <v>71918611</v>
      </c>
      <c r="M354" s="16" t="s">
        <v>136</v>
      </c>
      <c r="N354" s="16">
        <v>28709060101846</v>
      </c>
      <c r="O354" s="16" t="s">
        <v>3180</v>
      </c>
      <c r="P354" s="16" t="s">
        <v>3181</v>
      </c>
      <c r="Q354" s="16" t="s">
        <v>1815</v>
      </c>
      <c r="R354" s="16" t="s">
        <v>1882</v>
      </c>
      <c r="S354" s="19" t="s">
        <v>3176</v>
      </c>
      <c r="T354" s="20" t="s">
        <v>223</v>
      </c>
      <c r="U354" s="16" t="s">
        <v>3182</v>
      </c>
      <c r="V354" s="16" t="s">
        <v>3183</v>
      </c>
      <c r="W354" s="30" t="s">
        <v>3184</v>
      </c>
      <c r="X354" s="18" t="s">
        <v>542</v>
      </c>
      <c r="Y354" s="18" t="s">
        <v>98</v>
      </c>
      <c r="Z354" s="18" t="s">
        <v>1815</v>
      </c>
      <c r="AA354" s="16" t="s">
        <v>3066</v>
      </c>
      <c r="AB354" s="16" t="s">
        <v>3067</v>
      </c>
      <c r="AC354" s="16" t="s">
        <v>3068</v>
      </c>
      <c r="AD354" s="123" t="str">
        <f t="shared" si="5"/>
        <v>External Transfer-Other banks</v>
      </c>
      <c r="AE354" s="123" t="str">
        <f>VLOOKUP(Table1[[#This Row],[Name of bank]],'اكواد البنوك'!$A$2:$B$34,2,0)</f>
        <v>NBADEGCAXXX</v>
      </c>
      <c r="AF354" s="21" t="s">
        <v>3185</v>
      </c>
      <c r="AG354" s="15" t="s">
        <v>49</v>
      </c>
    </row>
    <row r="355" spans="1:33">
      <c r="A355" s="14">
        <v>354</v>
      </c>
      <c r="B355" s="14" t="s">
        <v>3186</v>
      </c>
      <c r="C355" s="14" t="e">
        <v>#N/A</v>
      </c>
      <c r="D355" s="15" t="s">
        <v>1839</v>
      </c>
      <c r="E355" s="16" t="s">
        <v>3187</v>
      </c>
      <c r="F355" s="32" t="s">
        <v>3188</v>
      </c>
      <c r="G355" s="17" t="s">
        <v>3189</v>
      </c>
      <c r="H355" s="18" t="s">
        <v>3190</v>
      </c>
      <c r="I355" s="16" t="s">
        <v>3191</v>
      </c>
      <c r="J355" s="16" t="s">
        <v>86</v>
      </c>
      <c r="K355" s="16" t="s">
        <v>384</v>
      </c>
      <c r="L355" s="16" t="s">
        <v>136</v>
      </c>
      <c r="M355" s="16" t="s">
        <v>136</v>
      </c>
      <c r="N355" s="16">
        <v>28106070103565</v>
      </c>
      <c r="O355" s="16" t="s">
        <v>3192</v>
      </c>
      <c r="P355" s="16" t="s">
        <v>3193</v>
      </c>
      <c r="Q355" s="16" t="s">
        <v>1815</v>
      </c>
      <c r="R355" s="16" t="s">
        <v>1849</v>
      </c>
      <c r="S355" s="19" t="s">
        <v>3187</v>
      </c>
      <c r="T355" s="20" t="s">
        <v>2848</v>
      </c>
      <c r="U355" s="16" t="s">
        <v>3194</v>
      </c>
      <c r="V355" s="16" t="s">
        <v>3195</v>
      </c>
      <c r="W355" s="30" t="s">
        <v>3196</v>
      </c>
      <c r="X355" s="18" t="s">
        <v>542</v>
      </c>
      <c r="Y355" s="18" t="s">
        <v>98</v>
      </c>
      <c r="Z355" s="18" t="s">
        <v>1815</v>
      </c>
      <c r="AA355" s="16" t="s">
        <v>3066</v>
      </c>
      <c r="AB355" s="16" t="s">
        <v>3067</v>
      </c>
      <c r="AC355" s="16" t="s">
        <v>3068</v>
      </c>
      <c r="AD355" s="123" t="str">
        <f t="shared" si="5"/>
        <v>External Transfer-Other banks</v>
      </c>
      <c r="AE355" s="123" t="str">
        <f>VLOOKUP(Table1[[#This Row],[Name of bank]],'اكواد البنوك'!$A$2:$B$34,2,0)</f>
        <v>EGGBEGCAXXX</v>
      </c>
      <c r="AF355" s="21" t="s">
        <v>3156</v>
      </c>
      <c r="AG355" s="15" t="s">
        <v>49</v>
      </c>
    </row>
    <row r="356" spans="1:33">
      <c r="A356" s="14">
        <v>355</v>
      </c>
      <c r="B356" s="14" t="str">
        <f>B355</f>
        <v>GS 104</v>
      </c>
      <c r="C356" s="14" t="e">
        <v>#N/A</v>
      </c>
      <c r="D356" s="15" t="s">
        <v>1831</v>
      </c>
      <c r="E356" s="16" t="s">
        <v>3197</v>
      </c>
      <c r="F356" s="32" t="s">
        <v>3198</v>
      </c>
      <c r="G356" s="17" t="s">
        <v>3199</v>
      </c>
      <c r="H356" s="18" t="s">
        <v>3200</v>
      </c>
      <c r="I356" s="16" t="s">
        <v>1831</v>
      </c>
      <c r="J356" s="16"/>
      <c r="K356" s="16"/>
      <c r="L356" s="16" t="s">
        <v>1836</v>
      </c>
      <c r="M356" s="16" t="s">
        <v>3201</v>
      </c>
      <c r="N356" s="16">
        <v>28108310101657</v>
      </c>
      <c r="O356" s="16"/>
      <c r="P356" s="16"/>
      <c r="Q356" s="16"/>
      <c r="R356" s="16"/>
      <c r="S356" s="19"/>
      <c r="T356" s="20" t="s">
        <v>1837</v>
      </c>
      <c r="U356" s="16"/>
      <c r="V356" s="16"/>
      <c r="W356" s="30" t="s">
        <v>1838</v>
      </c>
      <c r="X356" s="18" t="s">
        <v>542</v>
      </c>
      <c r="Y356" s="18" t="s">
        <v>98</v>
      </c>
      <c r="Z356" s="18" t="s">
        <v>1815</v>
      </c>
      <c r="AA356" s="16" t="s">
        <v>3066</v>
      </c>
      <c r="AB356" s="16" t="s">
        <v>3067</v>
      </c>
      <c r="AC356" s="16" t="s">
        <v>3068</v>
      </c>
      <c r="AD356" s="123" t="str">
        <f t="shared" si="5"/>
        <v>FUE</v>
      </c>
      <c r="AE356" s="123" t="str">
        <f>VLOOKUP(Table1[[#This Row],[Name of bank]],'اكواد البنوك'!$A$2:$B$34,2,0)</f>
        <v>FUE</v>
      </c>
      <c r="AF356" s="21" t="s">
        <v>1838</v>
      </c>
      <c r="AG356" s="15" t="s">
        <v>49</v>
      </c>
    </row>
    <row r="357" spans="1:33">
      <c r="A357" s="14">
        <v>356</v>
      </c>
      <c r="B357" s="14" t="s">
        <v>3202</v>
      </c>
      <c r="C357" s="14" t="e">
        <v>#N/A</v>
      </c>
      <c r="D357" s="15" t="s">
        <v>1831</v>
      </c>
      <c r="E357" s="16" t="s">
        <v>3203</v>
      </c>
      <c r="F357" s="32" t="s">
        <v>3204</v>
      </c>
      <c r="G357" s="17" t="s">
        <v>3205</v>
      </c>
      <c r="H357" s="18" t="s">
        <v>3206</v>
      </c>
      <c r="I357" s="16" t="s">
        <v>1831</v>
      </c>
      <c r="J357" s="16"/>
      <c r="K357" s="16"/>
      <c r="L357" s="16" t="s">
        <v>1836</v>
      </c>
      <c r="M357" s="16">
        <v>64870696</v>
      </c>
      <c r="N357" s="16" t="s">
        <v>3207</v>
      </c>
      <c r="O357" s="16"/>
      <c r="P357" s="16"/>
      <c r="Q357" s="16"/>
      <c r="R357" s="16"/>
      <c r="S357" s="19"/>
      <c r="T357" s="20" t="s">
        <v>1837</v>
      </c>
      <c r="U357" s="16"/>
      <c r="V357" s="16"/>
      <c r="W357" s="30" t="s">
        <v>1838</v>
      </c>
      <c r="X357" s="18" t="s">
        <v>542</v>
      </c>
      <c r="Y357" s="18" t="s">
        <v>98</v>
      </c>
      <c r="Z357" s="18" t="s">
        <v>1815</v>
      </c>
      <c r="AA357" s="16" t="s">
        <v>3066</v>
      </c>
      <c r="AB357" s="16" t="s">
        <v>3067</v>
      </c>
      <c r="AC357" s="16" t="s">
        <v>3068</v>
      </c>
      <c r="AD357" s="123" t="str">
        <f t="shared" si="5"/>
        <v>FUE</v>
      </c>
      <c r="AE357" s="123" t="str">
        <f>VLOOKUP(Table1[[#This Row],[Name of bank]],'اكواد البنوك'!$A$2:$B$34,2,0)</f>
        <v>FUE</v>
      </c>
      <c r="AF357" s="21" t="s">
        <v>1838</v>
      </c>
      <c r="AG357" s="15" t="s">
        <v>49</v>
      </c>
    </row>
    <row r="358" spans="1:33">
      <c r="A358" s="14">
        <v>357</v>
      </c>
      <c r="B358" s="14" t="str">
        <f>B357</f>
        <v>GS 105</v>
      </c>
      <c r="C358" s="14" t="e">
        <v>#N/A</v>
      </c>
      <c r="D358" s="15" t="s">
        <v>1839</v>
      </c>
      <c r="E358" s="16" t="s">
        <v>3208</v>
      </c>
      <c r="F358" s="32" t="s">
        <v>3209</v>
      </c>
      <c r="G358" s="17" t="s">
        <v>3210</v>
      </c>
      <c r="H358" s="18" t="s">
        <v>3211</v>
      </c>
      <c r="I358" s="16" t="s">
        <v>3212</v>
      </c>
      <c r="J358" s="16" t="s">
        <v>86</v>
      </c>
      <c r="K358" s="16" t="s">
        <v>3213</v>
      </c>
      <c r="L358" s="16">
        <v>64619422</v>
      </c>
      <c r="M358" s="16">
        <v>435681494</v>
      </c>
      <c r="N358" s="16">
        <v>28512060101422</v>
      </c>
      <c r="O358" s="16" t="s">
        <v>3214</v>
      </c>
      <c r="P358" s="16" t="s">
        <v>3215</v>
      </c>
      <c r="Q358" s="16" t="s">
        <v>1815</v>
      </c>
      <c r="R358" s="16" t="s">
        <v>1849</v>
      </c>
      <c r="S358" s="76" t="s">
        <v>3216</v>
      </c>
      <c r="T358" s="87" t="s">
        <v>307</v>
      </c>
      <c r="U358" s="76" t="s">
        <v>10312</v>
      </c>
      <c r="V358" s="73" t="s">
        <v>3217</v>
      </c>
      <c r="W358" s="118" t="s">
        <v>3218</v>
      </c>
      <c r="X358" s="18" t="s">
        <v>542</v>
      </c>
      <c r="Y358" s="18" t="s">
        <v>98</v>
      </c>
      <c r="Z358" s="18" t="s">
        <v>1815</v>
      </c>
      <c r="AA358" s="16" t="s">
        <v>3066</v>
      </c>
      <c r="AB358" s="16" t="s">
        <v>3067</v>
      </c>
      <c r="AC358" s="16" t="s">
        <v>3068</v>
      </c>
      <c r="AD358" s="123" t="str">
        <f t="shared" si="5"/>
        <v>External Transfer-Other banks</v>
      </c>
      <c r="AE358" s="123" t="str">
        <f>VLOOKUP(Table1[[#This Row],[Name of bank]],'اكواد البنوك'!$A$2:$B$34,2,0)</f>
        <v>CIBEEGCXXXX</v>
      </c>
      <c r="AF358" s="114" t="s">
        <v>2458</v>
      </c>
      <c r="AG358" s="70" t="s">
        <v>2054</v>
      </c>
    </row>
    <row r="359" spans="1:33">
      <c r="A359" s="14">
        <v>358</v>
      </c>
      <c r="B359" s="14" t="s">
        <v>73</v>
      </c>
      <c r="C359" s="14" t="s">
        <v>409</v>
      </c>
      <c r="D359" s="15" t="s">
        <v>1827</v>
      </c>
      <c r="E359" s="16" t="s">
        <v>3219</v>
      </c>
      <c r="F359" s="32" t="s">
        <v>3220</v>
      </c>
      <c r="G359" s="17" t="s">
        <v>3221</v>
      </c>
      <c r="H359" s="18" t="s">
        <v>3222</v>
      </c>
      <c r="I359" s="16" t="s">
        <v>1827</v>
      </c>
      <c r="J359" s="16" t="s">
        <v>43</v>
      </c>
      <c r="K359" s="16" t="s">
        <v>1827</v>
      </c>
      <c r="L359" s="16"/>
      <c r="M359" s="16"/>
      <c r="N359" s="16"/>
      <c r="O359" s="16"/>
      <c r="P359" s="16"/>
      <c r="Q359" s="16"/>
      <c r="R359" s="16"/>
      <c r="S359" s="19"/>
      <c r="T359" s="20" t="s">
        <v>40</v>
      </c>
      <c r="U359" s="16"/>
      <c r="V359" s="16"/>
      <c r="W359" s="30">
        <v>65</v>
      </c>
      <c r="X359" s="18" t="s">
        <v>3223</v>
      </c>
      <c r="Y359" s="18" t="s">
        <v>43</v>
      </c>
      <c r="Z359" s="18" t="s">
        <v>1815</v>
      </c>
      <c r="AA359" s="16" t="s">
        <v>3066</v>
      </c>
      <c r="AB359" s="16" t="s">
        <v>3067</v>
      </c>
      <c r="AC359" s="16" t="s">
        <v>3068</v>
      </c>
      <c r="AD359" s="123" t="str">
        <f t="shared" si="5"/>
        <v>Internal Transfer</v>
      </c>
      <c r="AE359" s="123" t="str">
        <f>VLOOKUP(Table1[[#This Row],[Name of bank]],'اكواد البنوك'!$A$2:$B$34,2,0)</f>
        <v>NBEGEGCXXXX</v>
      </c>
      <c r="AF359" s="21" t="s">
        <v>3224</v>
      </c>
      <c r="AG359" s="15" t="s">
        <v>49</v>
      </c>
    </row>
    <row r="360" spans="1:33">
      <c r="A360" s="14">
        <v>359</v>
      </c>
      <c r="B360" s="14" t="str">
        <f>B359</f>
        <v>2nd Floor</v>
      </c>
      <c r="C360" s="14" t="s">
        <v>4402</v>
      </c>
      <c r="D360" s="15" t="s">
        <v>1839</v>
      </c>
      <c r="E360" s="16" t="s">
        <v>3225</v>
      </c>
      <c r="F360" s="32" t="s">
        <v>3226</v>
      </c>
      <c r="G360" s="17" t="s">
        <v>3227</v>
      </c>
      <c r="H360" s="18" t="s">
        <v>3228</v>
      </c>
      <c r="I360" s="16" t="s">
        <v>3229</v>
      </c>
      <c r="J360" s="16" t="s">
        <v>86</v>
      </c>
      <c r="K360" s="16" t="s">
        <v>384</v>
      </c>
      <c r="L360" s="16" t="s">
        <v>234</v>
      </c>
      <c r="M360" s="16" t="s">
        <v>234</v>
      </c>
      <c r="N360" s="16">
        <v>2990607010</v>
      </c>
      <c r="O360" s="16" t="s">
        <v>3230</v>
      </c>
      <c r="P360" s="16" t="s">
        <v>3231</v>
      </c>
      <c r="Q360" s="16" t="s">
        <v>1815</v>
      </c>
      <c r="R360" s="16" t="s">
        <v>1849</v>
      </c>
      <c r="S360" s="19" t="s">
        <v>3225</v>
      </c>
      <c r="T360" s="20" t="s">
        <v>40</v>
      </c>
      <c r="U360" s="16" t="s">
        <v>3232</v>
      </c>
      <c r="V360" s="16" t="s">
        <v>3233</v>
      </c>
      <c r="W360" s="30" t="s">
        <v>3234</v>
      </c>
      <c r="X360" s="18" t="s">
        <v>97</v>
      </c>
      <c r="Y360" s="18" t="s">
        <v>98</v>
      </c>
      <c r="Z360" s="18" t="s">
        <v>1815</v>
      </c>
      <c r="AA360" s="16" t="s">
        <v>3066</v>
      </c>
      <c r="AB360" s="16" t="s">
        <v>3067</v>
      </c>
      <c r="AC360" s="16" t="s">
        <v>3068</v>
      </c>
      <c r="AD360" s="123" t="str">
        <f t="shared" si="5"/>
        <v>External Transfer-NBE</v>
      </c>
      <c r="AE360" s="123" t="str">
        <f>VLOOKUP(Table1[[#This Row],[Name of bank]],'اكواد البنوك'!$A$2:$B$34,2,0)</f>
        <v>NBEGEGCXXXX</v>
      </c>
      <c r="AF360" s="21" t="s">
        <v>3235</v>
      </c>
      <c r="AG360" s="15" t="s">
        <v>49</v>
      </c>
    </row>
    <row r="361" spans="1:33">
      <c r="A361" s="14">
        <v>360</v>
      </c>
      <c r="B361" s="14" t="str">
        <f>B360</f>
        <v>2nd Floor</v>
      </c>
      <c r="C361" s="14" t="e">
        <v>#N/A</v>
      </c>
      <c r="D361" s="15" t="s">
        <v>1855</v>
      </c>
      <c r="E361" s="16" t="s">
        <v>3236</v>
      </c>
      <c r="F361" s="32" t="s">
        <v>10070</v>
      </c>
      <c r="G361" s="17" t="s">
        <v>3237</v>
      </c>
      <c r="H361" s="18">
        <v>201067591715</v>
      </c>
      <c r="I361" s="16" t="s">
        <v>2443</v>
      </c>
      <c r="J361" s="16" t="s">
        <v>1845</v>
      </c>
      <c r="K361" s="16" t="s">
        <v>3084</v>
      </c>
      <c r="L361" s="16" t="s">
        <v>136</v>
      </c>
      <c r="M361" s="16" t="s">
        <v>136</v>
      </c>
      <c r="N361" s="16">
        <v>30103230101807</v>
      </c>
      <c r="O361" s="16" t="s">
        <v>3238</v>
      </c>
      <c r="P361" s="16" t="s">
        <v>3239</v>
      </c>
      <c r="Q361" s="16" t="s">
        <v>1815</v>
      </c>
      <c r="R361" s="16" t="s">
        <v>1849</v>
      </c>
      <c r="S361" s="19" t="s">
        <v>1861</v>
      </c>
      <c r="T361" s="20" t="s">
        <v>176</v>
      </c>
      <c r="U361" s="16" t="s">
        <v>10252</v>
      </c>
      <c r="V361" s="16"/>
      <c r="W361" s="30" t="s">
        <v>10253</v>
      </c>
      <c r="X361" s="18" t="s">
        <v>97</v>
      </c>
      <c r="Y361" s="18" t="s">
        <v>98</v>
      </c>
      <c r="Z361" s="18" t="s">
        <v>1815</v>
      </c>
      <c r="AA361" s="16" t="s">
        <v>3066</v>
      </c>
      <c r="AB361" s="16" t="s">
        <v>3067</v>
      </c>
      <c r="AC361" s="16" t="s">
        <v>3068</v>
      </c>
      <c r="AD361" s="123" t="str">
        <f t="shared" si="5"/>
        <v>External Transfer-Other banks</v>
      </c>
      <c r="AE361" s="123" t="str">
        <f>VLOOKUP(Table1[[#This Row],[Name of bank]],'اكواد البنوك'!$A$2:$B$34,2,0)</f>
        <v>BMISEGCXXXX</v>
      </c>
      <c r="AF361" s="21" t="s">
        <v>10249</v>
      </c>
      <c r="AG361" s="15" t="s">
        <v>1862</v>
      </c>
    </row>
    <row r="362" spans="1:33">
      <c r="A362" s="14">
        <v>361</v>
      </c>
      <c r="B362" s="14" t="s">
        <v>3240</v>
      </c>
      <c r="C362" s="14" t="e">
        <v>#N/A</v>
      </c>
      <c r="D362" s="15" t="s">
        <v>1839</v>
      </c>
      <c r="E362" s="16" t="s">
        <v>3241</v>
      </c>
      <c r="F362" s="32" t="s">
        <v>3242</v>
      </c>
      <c r="G362" s="17" t="s">
        <v>3243</v>
      </c>
      <c r="H362" s="18" t="s">
        <v>3244</v>
      </c>
      <c r="I362" s="16" t="s">
        <v>3245</v>
      </c>
      <c r="J362" s="16" t="s">
        <v>86</v>
      </c>
      <c r="K362" s="16" t="s">
        <v>1318</v>
      </c>
      <c r="L362" s="16">
        <v>72384836</v>
      </c>
      <c r="M362" s="16">
        <v>892171</v>
      </c>
      <c r="N362" s="16">
        <v>29409050104162</v>
      </c>
      <c r="O362" s="16" t="s">
        <v>3246</v>
      </c>
      <c r="P362" s="16" t="s">
        <v>3247</v>
      </c>
      <c r="Q362" s="16" t="s">
        <v>1815</v>
      </c>
      <c r="R362" s="16" t="s">
        <v>1849</v>
      </c>
      <c r="S362" s="19" t="s">
        <v>3241</v>
      </c>
      <c r="T362" s="20" t="s">
        <v>40</v>
      </c>
      <c r="U362" s="16" t="s">
        <v>3248</v>
      </c>
      <c r="V362" s="16" t="s">
        <v>3249</v>
      </c>
      <c r="W362" s="30" t="s">
        <v>3250</v>
      </c>
      <c r="X362" s="18" t="s">
        <v>542</v>
      </c>
      <c r="Y362" s="18" t="s">
        <v>98</v>
      </c>
      <c r="Z362" s="18" t="s">
        <v>1815</v>
      </c>
      <c r="AA362" s="16" t="s">
        <v>3066</v>
      </c>
      <c r="AB362" s="16" t="s">
        <v>3067</v>
      </c>
      <c r="AC362" s="16" t="s">
        <v>3068</v>
      </c>
      <c r="AD362" s="123" t="str">
        <f t="shared" si="5"/>
        <v>External Transfer-NBE</v>
      </c>
      <c r="AE362" s="123" t="str">
        <f>VLOOKUP(Table1[[#This Row],[Name of bank]],'اكواد البنوك'!$A$2:$B$34,2,0)</f>
        <v>NBEGEGCXXXX</v>
      </c>
      <c r="AF362" s="21" t="s">
        <v>154</v>
      </c>
      <c r="AG362" s="15" t="s">
        <v>49</v>
      </c>
    </row>
    <row r="363" spans="1:33">
      <c r="A363" s="14">
        <v>362</v>
      </c>
      <c r="B363" s="14" t="str">
        <f>B362</f>
        <v>GS 201</v>
      </c>
      <c r="C363" s="14" t="e">
        <v>#N/A</v>
      </c>
      <c r="D363" s="15" t="s">
        <v>1839</v>
      </c>
      <c r="E363" s="16" t="s">
        <v>3251</v>
      </c>
      <c r="F363" s="32" t="s">
        <v>3252</v>
      </c>
      <c r="G363" s="17" t="s">
        <v>3253</v>
      </c>
      <c r="H363" s="18" t="s">
        <v>3254</v>
      </c>
      <c r="I363" s="16" t="s">
        <v>3255</v>
      </c>
      <c r="J363" s="16" t="s">
        <v>1845</v>
      </c>
      <c r="K363" s="16" t="s">
        <v>3256</v>
      </c>
      <c r="L363" s="16">
        <v>28863628</v>
      </c>
      <c r="M363" s="16" t="s">
        <v>977</v>
      </c>
      <c r="N363" s="16">
        <v>27611270100296</v>
      </c>
      <c r="O363" s="16" t="s">
        <v>3257</v>
      </c>
      <c r="P363" s="16" t="s">
        <v>3258</v>
      </c>
      <c r="Q363" s="16" t="s">
        <v>1815</v>
      </c>
      <c r="R363" s="16" t="s">
        <v>1849</v>
      </c>
      <c r="S363" s="19" t="s">
        <v>3252</v>
      </c>
      <c r="T363" s="20" t="s">
        <v>40</v>
      </c>
      <c r="U363" s="16" t="s">
        <v>3259</v>
      </c>
      <c r="V363" s="16" t="s">
        <v>3260</v>
      </c>
      <c r="W363" s="30" t="s">
        <v>3261</v>
      </c>
      <c r="X363" s="18" t="s">
        <v>542</v>
      </c>
      <c r="Y363" s="18" t="s">
        <v>98</v>
      </c>
      <c r="Z363" s="18" t="s">
        <v>1815</v>
      </c>
      <c r="AA363" s="16" t="s">
        <v>3066</v>
      </c>
      <c r="AB363" s="16" t="s">
        <v>3067</v>
      </c>
      <c r="AC363" s="16" t="s">
        <v>3068</v>
      </c>
      <c r="AD363" s="123" t="str">
        <f t="shared" si="5"/>
        <v>External Transfer-NBE</v>
      </c>
      <c r="AE363" s="123" t="str">
        <f>VLOOKUP(Table1[[#This Row],[Name of bank]],'اكواد البنوك'!$A$2:$B$34,2,0)</f>
        <v>NBEGEGCXXXX</v>
      </c>
      <c r="AF363" s="21" t="s">
        <v>3262</v>
      </c>
      <c r="AG363" s="15" t="s">
        <v>49</v>
      </c>
    </row>
    <row r="364" spans="1:33">
      <c r="A364" s="14">
        <v>363</v>
      </c>
      <c r="B364" s="14" t="e">
        <f>#REF!</f>
        <v>#REF!</v>
      </c>
      <c r="C364" s="14" t="e">
        <v>#N/A</v>
      </c>
      <c r="D364" s="15" t="s">
        <v>1839</v>
      </c>
      <c r="E364" s="16" t="s">
        <v>3263</v>
      </c>
      <c r="F364" s="32" t="s">
        <v>3264</v>
      </c>
      <c r="G364" s="17" t="s">
        <v>3265</v>
      </c>
      <c r="H364" s="18" t="s">
        <v>3266</v>
      </c>
      <c r="I364" s="16" t="s">
        <v>3267</v>
      </c>
      <c r="J364" s="16" t="s">
        <v>86</v>
      </c>
      <c r="K364" s="16" t="s">
        <v>3268</v>
      </c>
      <c r="L364" s="16">
        <v>85665472</v>
      </c>
      <c r="M364" s="16" t="s">
        <v>3269</v>
      </c>
      <c r="N364" s="16">
        <v>29906060105675</v>
      </c>
      <c r="O364" s="16" t="s">
        <v>3270</v>
      </c>
      <c r="P364" s="16" t="s">
        <v>3271</v>
      </c>
      <c r="Q364" s="16" t="s">
        <v>1815</v>
      </c>
      <c r="R364" s="16" t="s">
        <v>1849</v>
      </c>
      <c r="S364" s="71" t="s">
        <v>3264</v>
      </c>
      <c r="T364" s="69" t="s">
        <v>40</v>
      </c>
      <c r="U364" s="68" t="s">
        <v>3125</v>
      </c>
      <c r="V364" s="68" t="s">
        <v>3272</v>
      </c>
      <c r="W364" s="72" t="s">
        <v>3273</v>
      </c>
      <c r="X364" s="18" t="s">
        <v>542</v>
      </c>
      <c r="Y364" s="18" t="s">
        <v>98</v>
      </c>
      <c r="Z364" s="18" t="s">
        <v>1815</v>
      </c>
      <c r="AA364" s="16" t="s">
        <v>3066</v>
      </c>
      <c r="AB364" s="16" t="s">
        <v>3067</v>
      </c>
      <c r="AC364" s="16" t="s">
        <v>3068</v>
      </c>
      <c r="AD364" s="123" t="str">
        <f t="shared" si="5"/>
        <v>External Transfer-NBE</v>
      </c>
      <c r="AE364" s="123" t="str">
        <f>VLOOKUP(Table1[[#This Row],[Name of bank]],'اكواد البنوك'!$A$2:$B$34,2,0)</f>
        <v>NBEGEGCXXXX</v>
      </c>
      <c r="AF364" s="77" t="s">
        <v>2015</v>
      </c>
      <c r="AG364" s="70" t="s">
        <v>2054</v>
      </c>
    </row>
    <row r="365" spans="1:33">
      <c r="A365" s="14">
        <v>364</v>
      </c>
      <c r="B365" s="14" t="s">
        <v>3274</v>
      </c>
      <c r="C365" s="14" t="e">
        <v>#N/A</v>
      </c>
      <c r="D365" s="15" t="s">
        <v>1839</v>
      </c>
      <c r="E365" s="16" t="s">
        <v>3275</v>
      </c>
      <c r="F365" s="32" t="s">
        <v>3276</v>
      </c>
      <c r="G365" s="17" t="s">
        <v>3277</v>
      </c>
      <c r="H365" s="18" t="s">
        <v>3278</v>
      </c>
      <c r="I365" s="16" t="s">
        <v>2156</v>
      </c>
      <c r="J365" s="16" t="s">
        <v>1845</v>
      </c>
      <c r="K365" s="16" t="s">
        <v>3279</v>
      </c>
      <c r="L365" s="16">
        <v>29655401</v>
      </c>
      <c r="M365" s="16">
        <v>100675891</v>
      </c>
      <c r="N365" s="16">
        <v>27502020100921</v>
      </c>
      <c r="O365" s="16" t="s">
        <v>3280</v>
      </c>
      <c r="P365" s="16" t="s">
        <v>3281</v>
      </c>
      <c r="Q365" s="16" t="s">
        <v>1815</v>
      </c>
      <c r="R365" s="16" t="s">
        <v>1849</v>
      </c>
      <c r="S365" s="19" t="s">
        <v>3282</v>
      </c>
      <c r="T365" s="20" t="s">
        <v>40</v>
      </c>
      <c r="U365" s="16" t="s">
        <v>1851</v>
      </c>
      <c r="V365" s="16" t="s">
        <v>3283</v>
      </c>
      <c r="W365" s="30" t="s">
        <v>3284</v>
      </c>
      <c r="X365" s="18" t="s">
        <v>542</v>
      </c>
      <c r="Y365" s="18" t="s">
        <v>98</v>
      </c>
      <c r="Z365" s="18" t="s">
        <v>1815</v>
      </c>
      <c r="AA365" s="16" t="s">
        <v>3066</v>
      </c>
      <c r="AB365" s="16" t="s">
        <v>3067</v>
      </c>
      <c r="AC365" s="16" t="s">
        <v>3068</v>
      </c>
      <c r="AD365" s="123" t="str">
        <f t="shared" si="5"/>
        <v>External Transfer-NBE</v>
      </c>
      <c r="AE365" s="123" t="str">
        <f>VLOOKUP(Table1[[#This Row],[Name of bank]],'اكواد البنوك'!$A$2:$B$34,2,0)</f>
        <v>NBEGEGCXXXX</v>
      </c>
      <c r="AF365" s="21" t="s">
        <v>2163</v>
      </c>
      <c r="AG365" s="15" t="s">
        <v>49</v>
      </c>
    </row>
    <row r="366" spans="1:33">
      <c r="A366" s="14">
        <v>365</v>
      </c>
      <c r="B366" s="14" t="str">
        <f>B365</f>
        <v>GS 202</v>
      </c>
      <c r="C366" s="14" t="e">
        <v>#N/A</v>
      </c>
      <c r="D366" s="15" t="s">
        <v>1831</v>
      </c>
      <c r="E366" s="16" t="s">
        <v>3285</v>
      </c>
      <c r="F366" s="32" t="s">
        <v>3286</v>
      </c>
      <c r="G366" s="17" t="s">
        <v>3287</v>
      </c>
      <c r="H366" s="18" t="s">
        <v>3288</v>
      </c>
      <c r="I366" s="16" t="s">
        <v>1831</v>
      </c>
      <c r="J366" s="16"/>
      <c r="K366" s="16"/>
      <c r="L366" s="16" t="s">
        <v>1836</v>
      </c>
      <c r="M366" s="16" t="s">
        <v>1996</v>
      </c>
      <c r="N366" s="16">
        <v>29003280103142</v>
      </c>
      <c r="O366" s="16"/>
      <c r="P366" s="16"/>
      <c r="Q366" s="16"/>
      <c r="R366" s="16"/>
      <c r="S366" s="19"/>
      <c r="T366" s="20" t="s">
        <v>1837</v>
      </c>
      <c r="U366" s="16"/>
      <c r="V366" s="16"/>
      <c r="W366" s="30" t="s">
        <v>1838</v>
      </c>
      <c r="X366" s="18" t="s">
        <v>542</v>
      </c>
      <c r="Y366" s="18" t="s">
        <v>98</v>
      </c>
      <c r="Z366" s="18" t="s">
        <v>1815</v>
      </c>
      <c r="AA366" s="16" t="s">
        <v>3066</v>
      </c>
      <c r="AB366" s="16" t="s">
        <v>3067</v>
      </c>
      <c r="AC366" s="16" t="s">
        <v>3068</v>
      </c>
      <c r="AD366" s="123" t="str">
        <f t="shared" si="5"/>
        <v>FUE</v>
      </c>
      <c r="AE366" s="123" t="str">
        <f>VLOOKUP(Table1[[#This Row],[Name of bank]],'اكواد البنوك'!$A$2:$B$34,2,0)</f>
        <v>FUE</v>
      </c>
      <c r="AF366" s="21" t="s">
        <v>1838</v>
      </c>
      <c r="AG366" s="15" t="s">
        <v>49</v>
      </c>
    </row>
    <row r="367" spans="1:33">
      <c r="A367" s="14">
        <v>366</v>
      </c>
      <c r="B367" s="14" t="s">
        <v>3289</v>
      </c>
      <c r="C367" s="14" t="e">
        <v>#N/A</v>
      </c>
      <c r="D367" s="15" t="s">
        <v>1831</v>
      </c>
      <c r="E367" s="16" t="s">
        <v>3290</v>
      </c>
      <c r="F367" s="32" t="s">
        <v>10144</v>
      </c>
      <c r="G367" s="17" t="s">
        <v>3291</v>
      </c>
      <c r="H367" s="18" t="s">
        <v>3292</v>
      </c>
      <c r="I367" s="16" t="s">
        <v>1831</v>
      </c>
      <c r="J367" s="16"/>
      <c r="K367" s="16"/>
      <c r="L367" s="16" t="s">
        <v>1836</v>
      </c>
      <c r="M367" s="16" t="s">
        <v>3293</v>
      </c>
      <c r="N367" s="16">
        <v>29410171400051</v>
      </c>
      <c r="O367" s="16"/>
      <c r="P367" s="16"/>
      <c r="Q367" s="16"/>
      <c r="R367" s="16"/>
      <c r="S367" s="19"/>
      <c r="T367" s="20" t="s">
        <v>1837</v>
      </c>
      <c r="U367" s="16"/>
      <c r="V367" s="16"/>
      <c r="W367" s="30" t="s">
        <v>1838</v>
      </c>
      <c r="X367" s="18" t="s">
        <v>542</v>
      </c>
      <c r="Y367" s="18" t="s">
        <v>98</v>
      </c>
      <c r="Z367" s="18" t="s">
        <v>1815</v>
      </c>
      <c r="AA367" s="16" t="s">
        <v>3066</v>
      </c>
      <c r="AB367" s="16" t="s">
        <v>3067</v>
      </c>
      <c r="AC367" s="16" t="s">
        <v>3068</v>
      </c>
      <c r="AD367" s="123" t="str">
        <f t="shared" si="5"/>
        <v>FUE</v>
      </c>
      <c r="AE367" s="123" t="str">
        <f>VLOOKUP(Table1[[#This Row],[Name of bank]],'اكواد البنوك'!$A$2:$B$34,2,0)</f>
        <v>FUE</v>
      </c>
      <c r="AF367" s="21" t="s">
        <v>1838</v>
      </c>
      <c r="AG367" s="15" t="s">
        <v>49</v>
      </c>
    </row>
    <row r="368" spans="1:33">
      <c r="A368" s="14">
        <v>367</v>
      </c>
      <c r="B368" s="14" t="str">
        <f>B367</f>
        <v>GS 203</v>
      </c>
      <c r="C368" s="14" t="e">
        <v>#N/A</v>
      </c>
      <c r="D368" s="15" t="s">
        <v>1839</v>
      </c>
      <c r="E368" s="16" t="s">
        <v>3294</v>
      </c>
      <c r="F368" s="32" t="s">
        <v>3295</v>
      </c>
      <c r="G368" s="17" t="s">
        <v>3296</v>
      </c>
      <c r="H368" s="18" t="s">
        <v>3297</v>
      </c>
      <c r="I368" s="16" t="s">
        <v>3298</v>
      </c>
      <c r="J368" s="16" t="s">
        <v>86</v>
      </c>
      <c r="K368" s="16" t="s">
        <v>257</v>
      </c>
      <c r="L368" s="16">
        <v>72115739</v>
      </c>
      <c r="M368" s="16" t="s">
        <v>977</v>
      </c>
      <c r="N368" s="16">
        <v>29309250104481</v>
      </c>
      <c r="O368" s="16" t="s">
        <v>3299</v>
      </c>
      <c r="P368" s="16" t="s">
        <v>3300</v>
      </c>
      <c r="Q368" s="16" t="s">
        <v>1815</v>
      </c>
      <c r="R368" s="16" t="s">
        <v>1849</v>
      </c>
      <c r="S368" s="19" t="s">
        <v>3295</v>
      </c>
      <c r="T368" s="20" t="s">
        <v>40</v>
      </c>
      <c r="U368" s="16" t="s">
        <v>3301</v>
      </c>
      <c r="V368" s="16" t="s">
        <v>3302</v>
      </c>
      <c r="W368" s="30" t="s">
        <v>3303</v>
      </c>
      <c r="X368" s="18" t="s">
        <v>542</v>
      </c>
      <c r="Y368" s="18" t="s">
        <v>98</v>
      </c>
      <c r="Z368" s="18" t="s">
        <v>1815</v>
      </c>
      <c r="AA368" s="16" t="s">
        <v>3066</v>
      </c>
      <c r="AB368" s="16" t="s">
        <v>3067</v>
      </c>
      <c r="AC368" s="16" t="s">
        <v>3068</v>
      </c>
      <c r="AD368" s="123" t="str">
        <f t="shared" si="5"/>
        <v>External Transfer-NBE</v>
      </c>
      <c r="AE368" s="123" t="str">
        <f>VLOOKUP(Table1[[#This Row],[Name of bank]],'اكواد البنوك'!$A$2:$B$34,2,0)</f>
        <v>NBEGEGCXXXX</v>
      </c>
      <c r="AF368" s="21" t="s">
        <v>3304</v>
      </c>
      <c r="AG368" s="15" t="s">
        <v>49</v>
      </c>
    </row>
    <row r="369" spans="1:33">
      <c r="A369" s="14">
        <v>368</v>
      </c>
      <c r="B369" s="14" t="s">
        <v>3305</v>
      </c>
      <c r="C369" s="14" t="e">
        <v>#N/A</v>
      </c>
      <c r="D369" s="15" t="s">
        <v>1839</v>
      </c>
      <c r="E369" s="16" t="s">
        <v>3306</v>
      </c>
      <c r="F369" s="32" t="s">
        <v>3307</v>
      </c>
      <c r="G369" s="17" t="s">
        <v>3308</v>
      </c>
      <c r="H369" s="18" t="s">
        <v>3309</v>
      </c>
      <c r="I369" s="16" t="s">
        <v>3310</v>
      </c>
      <c r="J369" s="16" t="s">
        <v>1845</v>
      </c>
      <c r="K369" s="16" t="s">
        <v>3311</v>
      </c>
      <c r="L369" s="16">
        <v>30947208</v>
      </c>
      <c r="M369" s="16" t="s">
        <v>234</v>
      </c>
      <c r="N369" s="16">
        <v>27112042100221</v>
      </c>
      <c r="O369" s="16" t="s">
        <v>3312</v>
      </c>
      <c r="P369" s="16" t="s">
        <v>3313</v>
      </c>
      <c r="Q369" s="16" t="s">
        <v>1815</v>
      </c>
      <c r="R369" s="16" t="s">
        <v>1849</v>
      </c>
      <c r="S369" s="19" t="s">
        <v>3306</v>
      </c>
      <c r="T369" s="20" t="s">
        <v>1238</v>
      </c>
      <c r="U369" s="16" t="s">
        <v>3314</v>
      </c>
      <c r="V369" s="16" t="s">
        <v>3315</v>
      </c>
      <c r="W369" s="30" t="s">
        <v>3316</v>
      </c>
      <c r="X369" s="18" t="s">
        <v>542</v>
      </c>
      <c r="Y369" s="18" t="s">
        <v>98</v>
      </c>
      <c r="Z369" s="18" t="s">
        <v>1815</v>
      </c>
      <c r="AA369" s="16" t="s">
        <v>3066</v>
      </c>
      <c r="AB369" s="16" t="s">
        <v>3067</v>
      </c>
      <c r="AC369" s="16" t="s">
        <v>3068</v>
      </c>
      <c r="AD369" s="123" t="str">
        <f t="shared" si="5"/>
        <v>External Transfer-Other banks</v>
      </c>
      <c r="AE369" s="123" t="str">
        <f>VLOOKUP(Table1[[#This Row],[Name of bank]],'اكواد البنوك'!$A$2:$B$34,2,0)</f>
        <v>EBBKEGCXXXX</v>
      </c>
      <c r="AF369" s="21" t="s">
        <v>3317</v>
      </c>
      <c r="AG369" s="15" t="s">
        <v>49</v>
      </c>
    </row>
    <row r="370" spans="1:33">
      <c r="A370" s="14">
        <v>369</v>
      </c>
      <c r="B370" s="14" t="str">
        <f>B369</f>
        <v>GS 204</v>
      </c>
      <c r="C370" s="14" t="e">
        <v>#N/A</v>
      </c>
      <c r="D370" s="15" t="s">
        <v>1831</v>
      </c>
      <c r="E370" s="16" t="s">
        <v>3318</v>
      </c>
      <c r="F370" s="32" t="s">
        <v>10011</v>
      </c>
      <c r="G370" s="17" t="s">
        <v>3319</v>
      </c>
      <c r="H370" s="18" t="s">
        <v>3320</v>
      </c>
      <c r="I370" s="16" t="s">
        <v>1831</v>
      </c>
      <c r="J370" s="16"/>
      <c r="K370" s="16"/>
      <c r="L370" s="16" t="s">
        <v>1836</v>
      </c>
      <c r="M370" s="16" t="s">
        <v>3321</v>
      </c>
      <c r="N370" s="16">
        <v>29705180103352</v>
      </c>
      <c r="O370" s="16"/>
      <c r="P370" s="16"/>
      <c r="Q370" s="16"/>
      <c r="R370" s="16"/>
      <c r="S370" s="19"/>
      <c r="T370" s="20" t="s">
        <v>1837</v>
      </c>
      <c r="U370" s="16"/>
      <c r="V370" s="16"/>
      <c r="W370" s="30" t="s">
        <v>1838</v>
      </c>
      <c r="X370" s="18" t="s">
        <v>542</v>
      </c>
      <c r="Y370" s="18" t="s">
        <v>98</v>
      </c>
      <c r="Z370" s="18" t="s">
        <v>1815</v>
      </c>
      <c r="AA370" s="16" t="s">
        <v>3066</v>
      </c>
      <c r="AB370" s="16" t="s">
        <v>3067</v>
      </c>
      <c r="AC370" s="16" t="s">
        <v>3068</v>
      </c>
      <c r="AD370" s="123" t="str">
        <f t="shared" si="5"/>
        <v>FUE</v>
      </c>
      <c r="AE370" s="123" t="str">
        <f>VLOOKUP(Table1[[#This Row],[Name of bank]],'اكواد البنوك'!$A$2:$B$34,2,0)</f>
        <v>FUE</v>
      </c>
      <c r="AF370" s="21" t="s">
        <v>1838</v>
      </c>
      <c r="AG370" s="15" t="s">
        <v>49</v>
      </c>
    </row>
    <row r="371" spans="1:33">
      <c r="A371" s="14">
        <v>370</v>
      </c>
      <c r="B371" s="14" t="s">
        <v>3322</v>
      </c>
      <c r="C371" s="14" t="e">
        <v>#N/A</v>
      </c>
      <c r="D371" s="15" t="s">
        <v>1839</v>
      </c>
      <c r="E371" s="16" t="s">
        <v>3323</v>
      </c>
      <c r="F371" s="32" t="s">
        <v>3324</v>
      </c>
      <c r="G371" s="17" t="s">
        <v>3325</v>
      </c>
      <c r="H371" s="18" t="s">
        <v>3326</v>
      </c>
      <c r="I371" s="16" t="s">
        <v>3327</v>
      </c>
      <c r="J371" s="16" t="s">
        <v>86</v>
      </c>
      <c r="K371" s="16" t="s">
        <v>3328</v>
      </c>
      <c r="L371" s="16">
        <v>77354571</v>
      </c>
      <c r="M371" s="16">
        <v>286616947</v>
      </c>
      <c r="N371" s="16">
        <v>29510101700507</v>
      </c>
      <c r="O371" s="16" t="s">
        <v>3329</v>
      </c>
      <c r="P371" s="16" t="s">
        <v>3330</v>
      </c>
      <c r="Q371" s="16" t="s">
        <v>1815</v>
      </c>
      <c r="R371" s="16" t="s">
        <v>1849</v>
      </c>
      <c r="S371" s="87" t="s">
        <v>3331</v>
      </c>
      <c r="T371" s="87" t="s">
        <v>93</v>
      </c>
      <c r="U371" s="87" t="s">
        <v>2529</v>
      </c>
      <c r="V371" s="73" t="s">
        <v>3332</v>
      </c>
      <c r="W371" s="74" t="s">
        <v>3333</v>
      </c>
      <c r="X371" s="18" t="s">
        <v>542</v>
      </c>
      <c r="Y371" s="18" t="s">
        <v>98</v>
      </c>
      <c r="Z371" s="18" t="s">
        <v>1815</v>
      </c>
      <c r="AA371" s="16" t="s">
        <v>3066</v>
      </c>
      <c r="AB371" s="16" t="s">
        <v>3067</v>
      </c>
      <c r="AC371" s="16" t="s">
        <v>3068</v>
      </c>
      <c r="AD371" s="123" t="str">
        <f t="shared" si="5"/>
        <v>External Transfer-Other banks</v>
      </c>
      <c r="AE371" s="123" t="str">
        <f>VLOOKUP(Table1[[#This Row],[Name of bank]],'اكواد البنوك'!$A$2:$B$34,2,0)</f>
        <v>QNBAEGCXXXX</v>
      </c>
      <c r="AF371" s="77" t="s">
        <v>2532</v>
      </c>
      <c r="AG371" s="70" t="s">
        <v>2054</v>
      </c>
    </row>
    <row r="372" spans="1:33">
      <c r="A372" s="14">
        <v>371</v>
      </c>
      <c r="B372" s="14" t="str">
        <f>B371</f>
        <v>GS 206</v>
      </c>
      <c r="C372" s="14" t="e">
        <v>#N/A</v>
      </c>
      <c r="D372" s="15" t="s">
        <v>1839</v>
      </c>
      <c r="E372" s="16" t="s">
        <v>3334</v>
      </c>
      <c r="F372" s="32" t="s">
        <v>10201</v>
      </c>
      <c r="G372" s="17" t="s">
        <v>3336</v>
      </c>
      <c r="H372" s="18" t="s">
        <v>3337</v>
      </c>
      <c r="I372" s="16" t="s">
        <v>3338</v>
      </c>
      <c r="J372" s="16" t="s">
        <v>86</v>
      </c>
      <c r="K372" s="16" t="s">
        <v>3339</v>
      </c>
      <c r="L372" s="16">
        <v>26274666</v>
      </c>
      <c r="M372" s="16" t="s">
        <v>136</v>
      </c>
      <c r="N372" s="16">
        <v>27302260102905</v>
      </c>
      <c r="O372" s="16" t="s">
        <v>3340</v>
      </c>
      <c r="P372" s="16" t="s">
        <v>3341</v>
      </c>
      <c r="Q372" s="16" t="s">
        <v>1815</v>
      </c>
      <c r="R372" s="16" t="s">
        <v>1882</v>
      </c>
      <c r="S372" s="19" t="s">
        <v>3335</v>
      </c>
      <c r="T372" s="20" t="s">
        <v>176</v>
      </c>
      <c r="U372" s="16" t="s">
        <v>3342</v>
      </c>
      <c r="V372" s="16" t="s">
        <v>3343</v>
      </c>
      <c r="W372" s="30" t="s">
        <v>3344</v>
      </c>
      <c r="X372" s="18" t="s">
        <v>542</v>
      </c>
      <c r="Y372" s="18" t="s">
        <v>98</v>
      </c>
      <c r="Z372" s="18" t="s">
        <v>1815</v>
      </c>
      <c r="AA372" s="16" t="s">
        <v>3066</v>
      </c>
      <c r="AB372" s="16" t="s">
        <v>3067</v>
      </c>
      <c r="AC372" s="16" t="s">
        <v>3068</v>
      </c>
      <c r="AD372" s="123" t="str">
        <f t="shared" si="5"/>
        <v>External Transfer-Other banks</v>
      </c>
      <c r="AE372" s="123" t="str">
        <f>VLOOKUP(Table1[[#This Row],[Name of bank]],'اكواد البنوك'!$A$2:$B$34,2,0)</f>
        <v>BMISEGCXXXX</v>
      </c>
      <c r="AF372" s="21" t="s">
        <v>3345</v>
      </c>
      <c r="AG372" s="15" t="s">
        <v>49</v>
      </c>
    </row>
    <row r="373" spans="1:33">
      <c r="A373" s="14">
        <v>372</v>
      </c>
      <c r="B373" s="14" t="str">
        <f>B372</f>
        <v>GS 206</v>
      </c>
      <c r="C373" s="14" t="e">
        <v>#N/A</v>
      </c>
      <c r="D373" s="15" t="s">
        <v>1839</v>
      </c>
      <c r="E373" s="16" t="s">
        <v>3346</v>
      </c>
      <c r="F373" s="32" t="s">
        <v>3347</v>
      </c>
      <c r="G373" s="17" t="s">
        <v>3348</v>
      </c>
      <c r="H373" s="18" t="s">
        <v>3349</v>
      </c>
      <c r="I373" s="16" t="s">
        <v>3350</v>
      </c>
      <c r="J373" s="16" t="s">
        <v>1845</v>
      </c>
      <c r="K373" s="16" t="s">
        <v>3351</v>
      </c>
      <c r="L373" s="16">
        <v>25818061</v>
      </c>
      <c r="M373" s="16" t="s">
        <v>136</v>
      </c>
      <c r="N373" s="16">
        <v>26503260100084</v>
      </c>
      <c r="O373" s="16" t="s">
        <v>3352</v>
      </c>
      <c r="P373" s="16" t="s">
        <v>3353</v>
      </c>
      <c r="Q373" s="16" t="s">
        <v>1815</v>
      </c>
      <c r="R373" s="16" t="s">
        <v>1849</v>
      </c>
      <c r="S373" s="19" t="s">
        <v>3346</v>
      </c>
      <c r="T373" s="20" t="s">
        <v>1238</v>
      </c>
      <c r="U373" s="16" t="s">
        <v>3354</v>
      </c>
      <c r="V373" s="16" t="s">
        <v>3355</v>
      </c>
      <c r="W373" s="30" t="s">
        <v>3356</v>
      </c>
      <c r="X373" s="18" t="s">
        <v>542</v>
      </c>
      <c r="Y373" s="18" t="s">
        <v>98</v>
      </c>
      <c r="Z373" s="18" t="s">
        <v>1815</v>
      </c>
      <c r="AA373" s="16" t="s">
        <v>3066</v>
      </c>
      <c r="AB373" s="16" t="s">
        <v>3067</v>
      </c>
      <c r="AC373" s="16" t="s">
        <v>3068</v>
      </c>
      <c r="AD373" s="123" t="str">
        <f t="shared" si="5"/>
        <v>External Transfer-Other banks</v>
      </c>
      <c r="AE373" s="123" t="str">
        <f>VLOOKUP(Table1[[#This Row],[Name of bank]],'اكواد البنوك'!$A$2:$B$34,2,0)</f>
        <v>EBBKEGCXXXX</v>
      </c>
      <c r="AF373" s="21" t="s">
        <v>346</v>
      </c>
      <c r="AG373" s="15" t="s">
        <v>49</v>
      </c>
    </row>
    <row r="374" spans="1:33">
      <c r="A374" s="14">
        <v>373</v>
      </c>
      <c r="B374" s="14" t="s">
        <v>206</v>
      </c>
      <c r="C374" s="14">
        <v>4</v>
      </c>
      <c r="D374" s="15" t="s">
        <v>1839</v>
      </c>
      <c r="E374" s="16" t="s">
        <v>3357</v>
      </c>
      <c r="F374" s="32" t="s">
        <v>3358</v>
      </c>
      <c r="G374" s="17" t="s">
        <v>3359</v>
      </c>
      <c r="H374" s="18" t="s">
        <v>3360</v>
      </c>
      <c r="I374" s="16" t="s">
        <v>3361</v>
      </c>
      <c r="J374" s="16" t="s">
        <v>2035</v>
      </c>
      <c r="K374" s="16" t="s">
        <v>3362</v>
      </c>
      <c r="L374" s="16">
        <v>20244946</v>
      </c>
      <c r="M374" s="16">
        <v>100635857</v>
      </c>
      <c r="N374" s="16">
        <v>27502022400352</v>
      </c>
      <c r="O374" s="16" t="s">
        <v>3363</v>
      </c>
      <c r="P374" s="16" t="s">
        <v>3364</v>
      </c>
      <c r="Q374" s="16" t="s">
        <v>1815</v>
      </c>
      <c r="R374" s="16" t="s">
        <v>1849</v>
      </c>
      <c r="S374" s="19" t="s">
        <v>3365</v>
      </c>
      <c r="T374" s="20" t="s">
        <v>40</v>
      </c>
      <c r="U374" s="16" t="s">
        <v>3366</v>
      </c>
      <c r="V374" s="16" t="s">
        <v>3367</v>
      </c>
      <c r="W374" s="30" t="s">
        <v>3368</v>
      </c>
      <c r="X374" s="18" t="s">
        <v>2096</v>
      </c>
      <c r="Y374" s="18" t="s">
        <v>98</v>
      </c>
      <c r="Z374" s="18" t="s">
        <v>1815</v>
      </c>
      <c r="AA374" s="16" t="s">
        <v>3066</v>
      </c>
      <c r="AB374" s="16" t="s">
        <v>3067</v>
      </c>
      <c r="AC374" s="16" t="s">
        <v>3068</v>
      </c>
      <c r="AD374" s="123" t="str">
        <f t="shared" si="5"/>
        <v>External Transfer-NBE</v>
      </c>
      <c r="AE374" s="123" t="str">
        <f>VLOOKUP(Table1[[#This Row],[Name of bank]],'اكواد البنوك'!$A$2:$B$34,2,0)</f>
        <v>NBEGEGCXXXX</v>
      </c>
      <c r="AF374" s="21" t="s">
        <v>3369</v>
      </c>
      <c r="AG374" s="15" t="s">
        <v>49</v>
      </c>
    </row>
    <row r="375" spans="1:33">
      <c r="A375" s="14">
        <v>374</v>
      </c>
      <c r="B375" s="14" t="str">
        <f>B374</f>
        <v>3rd Floor</v>
      </c>
      <c r="C375" s="14" t="s">
        <v>4355</v>
      </c>
      <c r="D375" s="15" t="s">
        <v>1839</v>
      </c>
      <c r="E375" s="16" t="s">
        <v>3370</v>
      </c>
      <c r="F375" s="32" t="s">
        <v>3371</v>
      </c>
      <c r="G375" s="17" t="s">
        <v>3372</v>
      </c>
      <c r="H375" s="18" t="s">
        <v>3373</v>
      </c>
      <c r="I375" s="16" t="s">
        <v>3374</v>
      </c>
      <c r="J375" s="16" t="s">
        <v>173</v>
      </c>
      <c r="K375" s="16" t="s">
        <v>3375</v>
      </c>
      <c r="L375" s="16">
        <v>62084518</v>
      </c>
      <c r="M375" s="16" t="s">
        <v>136</v>
      </c>
      <c r="N375" s="16" t="s">
        <v>3376</v>
      </c>
      <c r="O375" s="16" t="s">
        <v>3377</v>
      </c>
      <c r="P375" s="16" t="s">
        <v>3378</v>
      </c>
      <c r="Q375" s="16" t="s">
        <v>1815</v>
      </c>
      <c r="R375" s="16" t="s">
        <v>1849</v>
      </c>
      <c r="S375" s="19" t="s">
        <v>3370</v>
      </c>
      <c r="T375" s="20" t="s">
        <v>176</v>
      </c>
      <c r="U375" s="16" t="s">
        <v>2039</v>
      </c>
      <c r="V375" s="16" t="s">
        <v>3379</v>
      </c>
      <c r="W375" s="30" t="s">
        <v>3380</v>
      </c>
      <c r="X375" s="18" t="s">
        <v>97</v>
      </c>
      <c r="Y375" s="18" t="s">
        <v>98</v>
      </c>
      <c r="Z375" s="18" t="s">
        <v>1815</v>
      </c>
      <c r="AA375" s="16" t="s">
        <v>3066</v>
      </c>
      <c r="AB375" s="16" t="s">
        <v>3067</v>
      </c>
      <c r="AC375" s="16" t="s">
        <v>3068</v>
      </c>
      <c r="AD375" s="123" t="str">
        <f t="shared" si="5"/>
        <v>External Transfer-Other banks</v>
      </c>
      <c r="AE375" s="123" t="str">
        <f>VLOOKUP(Table1[[#This Row],[Name of bank]],'اكواد البنوك'!$A$2:$B$34,2,0)</f>
        <v>BMISEGCXXXX</v>
      </c>
      <c r="AF375" s="21" t="s">
        <v>1946</v>
      </c>
      <c r="AG375" s="15" t="s">
        <v>49</v>
      </c>
    </row>
    <row r="376" spans="1:33">
      <c r="A376" s="14">
        <v>375</v>
      </c>
      <c r="B376" s="14" t="s">
        <v>3381</v>
      </c>
      <c r="C376" s="14" t="e">
        <v>#N/A</v>
      </c>
      <c r="D376" s="15" t="s">
        <v>1839</v>
      </c>
      <c r="E376" s="16" t="s">
        <v>3382</v>
      </c>
      <c r="F376" s="32" t="s">
        <v>10059</v>
      </c>
      <c r="G376" s="17" t="s">
        <v>3384</v>
      </c>
      <c r="H376" s="18" t="s">
        <v>3385</v>
      </c>
      <c r="I376" s="16" t="s">
        <v>2420</v>
      </c>
      <c r="J376" s="16" t="s">
        <v>86</v>
      </c>
      <c r="K376" s="16" t="s">
        <v>2593</v>
      </c>
      <c r="L376" s="16">
        <v>51529915</v>
      </c>
      <c r="M376" s="16" t="s">
        <v>2744</v>
      </c>
      <c r="N376" s="16">
        <v>29209180102529</v>
      </c>
      <c r="O376" s="16" t="s">
        <v>3386</v>
      </c>
      <c r="P376" s="16" t="s">
        <v>3387</v>
      </c>
      <c r="Q376" s="16" t="s">
        <v>1815</v>
      </c>
      <c r="R376" s="16" t="s">
        <v>1849</v>
      </c>
      <c r="S376" s="76" t="s">
        <v>3383</v>
      </c>
      <c r="T376" s="87" t="s">
        <v>307</v>
      </c>
      <c r="U376" s="76" t="s">
        <v>2583</v>
      </c>
      <c r="V376" s="73" t="s">
        <v>10313</v>
      </c>
      <c r="W376" s="74" t="s">
        <v>10314</v>
      </c>
      <c r="X376" s="18" t="s">
        <v>542</v>
      </c>
      <c r="Y376" s="18" t="s">
        <v>98</v>
      </c>
      <c r="Z376" s="18" t="s">
        <v>1815</v>
      </c>
      <c r="AA376" s="16" t="s">
        <v>3066</v>
      </c>
      <c r="AB376" s="16" t="s">
        <v>3067</v>
      </c>
      <c r="AC376" s="16" t="s">
        <v>3068</v>
      </c>
      <c r="AD376" s="123" t="str">
        <f t="shared" si="5"/>
        <v>External Transfer-Other banks</v>
      </c>
      <c r="AE376" s="123" t="str">
        <f>VLOOKUP(Table1[[#This Row],[Name of bank]],'اكواد البنوك'!$A$2:$B$34,2,0)</f>
        <v>CIBEEGCXXXX</v>
      </c>
      <c r="AF376" s="21" t="s">
        <v>632</v>
      </c>
      <c r="AG376" s="15" t="s">
        <v>2054</v>
      </c>
    </row>
    <row r="377" spans="1:33">
      <c r="A377" s="14">
        <v>376</v>
      </c>
      <c r="B377" s="14" t="str">
        <f>B376</f>
        <v>GS 301</v>
      </c>
      <c r="C377" s="14" t="e">
        <v>#N/A</v>
      </c>
      <c r="D377" s="15" t="s">
        <v>1839</v>
      </c>
      <c r="E377" s="16" t="s">
        <v>3388</v>
      </c>
      <c r="F377" s="32" t="s">
        <v>3389</v>
      </c>
      <c r="G377" s="17" t="s">
        <v>3390</v>
      </c>
      <c r="H377" s="18" t="s">
        <v>3391</v>
      </c>
      <c r="I377" s="16" t="s">
        <v>3392</v>
      </c>
      <c r="J377" s="16" t="s">
        <v>86</v>
      </c>
      <c r="K377" s="16" t="s">
        <v>3393</v>
      </c>
      <c r="L377" s="16" t="s">
        <v>3394</v>
      </c>
      <c r="M377" s="16" t="s">
        <v>234</v>
      </c>
      <c r="N377" s="16" t="s">
        <v>3395</v>
      </c>
      <c r="O377" s="16" t="s">
        <v>3396</v>
      </c>
      <c r="P377" s="16" t="s">
        <v>3397</v>
      </c>
      <c r="Q377" s="16" t="s">
        <v>1815</v>
      </c>
      <c r="R377" s="16" t="s">
        <v>1882</v>
      </c>
      <c r="S377" s="19" t="s">
        <v>3388</v>
      </c>
      <c r="T377" s="20" t="s">
        <v>123</v>
      </c>
      <c r="U377" s="16" t="s">
        <v>3398</v>
      </c>
      <c r="V377" s="16" t="s">
        <v>3399</v>
      </c>
      <c r="W377" s="30" t="s">
        <v>3400</v>
      </c>
      <c r="X377" s="18" t="s">
        <v>542</v>
      </c>
      <c r="Y377" s="18" t="s">
        <v>98</v>
      </c>
      <c r="Z377" s="18" t="s">
        <v>1815</v>
      </c>
      <c r="AA377" s="16" t="s">
        <v>3066</v>
      </c>
      <c r="AB377" s="16" t="s">
        <v>3067</v>
      </c>
      <c r="AC377" s="16" t="s">
        <v>3068</v>
      </c>
      <c r="AD377" s="123" t="str">
        <f t="shared" si="5"/>
        <v>External Transfer-Other banks</v>
      </c>
      <c r="AE377" s="123" t="str">
        <f>VLOOKUP(Table1[[#This Row],[Name of bank]],'اكواد البنوك'!$A$2:$B$34,2,0)</f>
        <v>EXDEEGCXXXX</v>
      </c>
      <c r="AF377" s="21" t="s">
        <v>2622</v>
      </c>
      <c r="AG377" s="15" t="s">
        <v>49</v>
      </c>
    </row>
    <row r="378" spans="1:33">
      <c r="A378" s="14">
        <v>377</v>
      </c>
      <c r="B378" s="14" t="str">
        <f>B377</f>
        <v>GS 301</v>
      </c>
      <c r="C378" s="14" t="e">
        <v>#N/A</v>
      </c>
      <c r="D378" s="15" t="s">
        <v>1831</v>
      </c>
      <c r="E378" s="16" t="s">
        <v>3401</v>
      </c>
      <c r="F378" s="32" t="s">
        <v>10022</v>
      </c>
      <c r="G378" s="17" t="s">
        <v>3402</v>
      </c>
      <c r="H378" s="18" t="s">
        <v>3403</v>
      </c>
      <c r="I378" s="16" t="s">
        <v>1831</v>
      </c>
      <c r="J378" s="16"/>
      <c r="K378" s="16"/>
      <c r="L378" s="16" t="s">
        <v>1836</v>
      </c>
      <c r="M378" s="16" t="s">
        <v>3404</v>
      </c>
      <c r="N378" s="16" t="s">
        <v>3405</v>
      </c>
      <c r="O378" s="16"/>
      <c r="P378" s="16"/>
      <c r="Q378" s="16"/>
      <c r="R378" s="16"/>
      <c r="S378" s="19"/>
      <c r="T378" s="20" t="s">
        <v>1837</v>
      </c>
      <c r="U378" s="16"/>
      <c r="V378" s="16"/>
      <c r="W378" s="30" t="s">
        <v>1838</v>
      </c>
      <c r="X378" s="18" t="s">
        <v>542</v>
      </c>
      <c r="Y378" s="18" t="s">
        <v>98</v>
      </c>
      <c r="Z378" s="18" t="s">
        <v>1815</v>
      </c>
      <c r="AA378" s="16" t="s">
        <v>3066</v>
      </c>
      <c r="AB378" s="16" t="s">
        <v>3067</v>
      </c>
      <c r="AC378" s="16" t="s">
        <v>3068</v>
      </c>
      <c r="AD378" s="123" t="str">
        <f t="shared" si="5"/>
        <v>FUE</v>
      </c>
      <c r="AE378" s="123" t="str">
        <f>VLOOKUP(Table1[[#This Row],[Name of bank]],'اكواد البنوك'!$A$2:$B$34,2,0)</f>
        <v>FUE</v>
      </c>
      <c r="AF378" s="21" t="s">
        <v>1838</v>
      </c>
      <c r="AG378" s="15" t="s">
        <v>49</v>
      </c>
    </row>
    <row r="379" spans="1:33">
      <c r="A379" s="14">
        <v>378</v>
      </c>
      <c r="B379" s="14" t="s">
        <v>3406</v>
      </c>
      <c r="C379" s="14" t="e">
        <v>#N/A</v>
      </c>
      <c r="D379" s="15" t="s">
        <v>1831</v>
      </c>
      <c r="E379" s="16" t="s">
        <v>3407</v>
      </c>
      <c r="F379" s="32" t="s">
        <v>10179</v>
      </c>
      <c r="G379" s="17" t="s">
        <v>3408</v>
      </c>
      <c r="H379" s="18" t="s">
        <v>3409</v>
      </c>
      <c r="I379" s="16" t="s">
        <v>1831</v>
      </c>
      <c r="J379" s="16"/>
      <c r="K379" s="16"/>
      <c r="L379" s="16" t="s">
        <v>1836</v>
      </c>
      <c r="M379" s="16" t="s">
        <v>1996</v>
      </c>
      <c r="N379" s="16" t="s">
        <v>3410</v>
      </c>
      <c r="O379" s="16"/>
      <c r="P379" s="16"/>
      <c r="Q379" s="16"/>
      <c r="R379" s="16"/>
      <c r="S379" s="19"/>
      <c r="T379" s="20" t="s">
        <v>1837</v>
      </c>
      <c r="U379" s="16"/>
      <c r="V379" s="16"/>
      <c r="W379" s="30" t="s">
        <v>1838</v>
      </c>
      <c r="X379" s="18" t="s">
        <v>542</v>
      </c>
      <c r="Y379" s="18" t="s">
        <v>98</v>
      </c>
      <c r="Z379" s="18" t="s">
        <v>1815</v>
      </c>
      <c r="AA379" s="16" t="s">
        <v>3066</v>
      </c>
      <c r="AB379" s="16" t="s">
        <v>3067</v>
      </c>
      <c r="AC379" s="16" t="s">
        <v>3068</v>
      </c>
      <c r="AD379" s="123" t="str">
        <f t="shared" si="5"/>
        <v>FUE</v>
      </c>
      <c r="AE379" s="123" t="str">
        <f>VLOOKUP(Table1[[#This Row],[Name of bank]],'اكواد البنوك'!$A$2:$B$34,2,0)</f>
        <v>FUE</v>
      </c>
      <c r="AF379" s="21" t="s">
        <v>1838</v>
      </c>
      <c r="AG379" s="15" t="s">
        <v>49</v>
      </c>
    </row>
    <row r="380" spans="1:33">
      <c r="A380" s="14">
        <v>379</v>
      </c>
      <c r="B380" s="14" t="str">
        <f>B379</f>
        <v>GS 302</v>
      </c>
      <c r="C380" s="14" t="s">
        <v>4475</v>
      </c>
      <c r="D380" s="15" t="s">
        <v>1839</v>
      </c>
      <c r="E380" s="16" t="s">
        <v>3411</v>
      </c>
      <c r="F380" s="32" t="s">
        <v>3412</v>
      </c>
      <c r="G380" s="17" t="s">
        <v>3413</v>
      </c>
      <c r="H380" s="18" t="s">
        <v>3414</v>
      </c>
      <c r="I380" s="16" t="s">
        <v>3415</v>
      </c>
      <c r="J380" s="16" t="s">
        <v>1845</v>
      </c>
      <c r="K380" s="16" t="s">
        <v>3416</v>
      </c>
      <c r="L380" s="16">
        <v>22922015</v>
      </c>
      <c r="M380" s="16" t="s">
        <v>3417</v>
      </c>
      <c r="N380" s="16">
        <v>26904031601392</v>
      </c>
      <c r="O380" s="16" t="s">
        <v>3418</v>
      </c>
      <c r="P380" s="16" t="s">
        <v>3419</v>
      </c>
      <c r="Q380" s="16" t="s">
        <v>1815</v>
      </c>
      <c r="R380" s="16" t="s">
        <v>1849</v>
      </c>
      <c r="S380" s="19" t="s">
        <v>3412</v>
      </c>
      <c r="T380" s="20" t="s">
        <v>40</v>
      </c>
      <c r="U380" s="16" t="s">
        <v>3420</v>
      </c>
      <c r="V380" s="16" t="s">
        <v>3421</v>
      </c>
      <c r="W380" s="30" t="s">
        <v>3422</v>
      </c>
      <c r="X380" s="18" t="s">
        <v>542</v>
      </c>
      <c r="Y380" s="18" t="s">
        <v>98</v>
      </c>
      <c r="Z380" s="18" t="s">
        <v>1815</v>
      </c>
      <c r="AA380" s="16" t="s">
        <v>3066</v>
      </c>
      <c r="AB380" s="16" t="s">
        <v>3067</v>
      </c>
      <c r="AC380" s="16" t="s">
        <v>3068</v>
      </c>
      <c r="AD380" s="123" t="str">
        <f t="shared" si="5"/>
        <v>External Transfer-NBE</v>
      </c>
      <c r="AE380" s="123" t="str">
        <f>VLOOKUP(Table1[[#This Row],[Name of bank]],'اكواد البنوك'!$A$2:$B$34,2,0)</f>
        <v>NBEGEGCXXXX</v>
      </c>
      <c r="AF380" s="21" t="s">
        <v>3423</v>
      </c>
      <c r="AG380" s="15" t="s">
        <v>49</v>
      </c>
    </row>
    <row r="381" spans="1:33">
      <c r="A381" s="14">
        <v>380</v>
      </c>
      <c r="B381" s="14" t="s">
        <v>3424</v>
      </c>
      <c r="C381" s="14" t="e">
        <v>#N/A</v>
      </c>
      <c r="D381" s="15" t="s">
        <v>1839</v>
      </c>
      <c r="E381" s="16" t="s">
        <v>3425</v>
      </c>
      <c r="F381" s="32" t="s">
        <v>3426</v>
      </c>
      <c r="G381" s="17" t="s">
        <v>3427</v>
      </c>
      <c r="H381" s="18" t="s">
        <v>3428</v>
      </c>
      <c r="I381" s="16" t="s">
        <v>2156</v>
      </c>
      <c r="J381" s="16" t="s">
        <v>1845</v>
      </c>
      <c r="K381" s="16" t="s">
        <v>3429</v>
      </c>
      <c r="L381" s="16">
        <v>58235987</v>
      </c>
      <c r="M381" s="16">
        <v>100675891</v>
      </c>
      <c r="N381" s="16">
        <v>28210220100201</v>
      </c>
      <c r="O381" s="16" t="s">
        <v>3430</v>
      </c>
      <c r="P381" s="16" t="s">
        <v>3431</v>
      </c>
      <c r="Q381" s="16" t="s">
        <v>1815</v>
      </c>
      <c r="R381" s="16" t="s">
        <v>1849</v>
      </c>
      <c r="S381" s="19" t="s">
        <v>3432</v>
      </c>
      <c r="T381" s="20" t="s">
        <v>40</v>
      </c>
      <c r="U381" s="16" t="s">
        <v>1851</v>
      </c>
      <c r="V381" s="16" t="s">
        <v>3433</v>
      </c>
      <c r="W381" s="30" t="s">
        <v>3434</v>
      </c>
      <c r="X381" s="18" t="s">
        <v>542</v>
      </c>
      <c r="Y381" s="18" t="s">
        <v>98</v>
      </c>
      <c r="Z381" s="18" t="s">
        <v>1815</v>
      </c>
      <c r="AA381" s="16" t="s">
        <v>3066</v>
      </c>
      <c r="AB381" s="16" t="s">
        <v>3067</v>
      </c>
      <c r="AC381" s="16" t="s">
        <v>3068</v>
      </c>
      <c r="AD381" s="123" t="str">
        <f t="shared" si="5"/>
        <v>External Transfer-NBE</v>
      </c>
      <c r="AE381" s="123" t="str">
        <f>VLOOKUP(Table1[[#This Row],[Name of bank]],'اكواد البنوك'!$A$2:$B$34,2,0)</f>
        <v>NBEGEGCXXXX</v>
      </c>
      <c r="AF381" s="21" t="s">
        <v>2163</v>
      </c>
      <c r="AG381" s="15" t="s">
        <v>49</v>
      </c>
    </row>
    <row r="382" spans="1:33">
      <c r="A382" s="14">
        <v>381</v>
      </c>
      <c r="B382" s="14" t="str">
        <f>B381</f>
        <v>GS 305</v>
      </c>
      <c r="C382" s="14" t="e">
        <v>#N/A</v>
      </c>
      <c r="D382" s="15" t="s">
        <v>1831</v>
      </c>
      <c r="E382" s="16" t="s">
        <v>3435</v>
      </c>
      <c r="F382" s="32" t="s">
        <v>3436</v>
      </c>
      <c r="G382" s="17" t="s">
        <v>3437</v>
      </c>
      <c r="H382" s="18" t="s">
        <v>3438</v>
      </c>
      <c r="I382" s="16" t="s">
        <v>1831</v>
      </c>
      <c r="J382" s="16"/>
      <c r="K382" s="16"/>
      <c r="L382" s="16" t="s">
        <v>1836</v>
      </c>
      <c r="M382" s="16" t="s">
        <v>3439</v>
      </c>
      <c r="N382" s="16">
        <v>29310310101328</v>
      </c>
      <c r="O382" s="16"/>
      <c r="P382" s="16"/>
      <c r="Q382" s="16"/>
      <c r="R382" s="16"/>
      <c r="S382" s="19"/>
      <c r="T382" s="20" t="s">
        <v>1837</v>
      </c>
      <c r="U382" s="16"/>
      <c r="V382" s="16"/>
      <c r="W382" s="30" t="s">
        <v>1838</v>
      </c>
      <c r="X382" s="18" t="s">
        <v>542</v>
      </c>
      <c r="Y382" s="18" t="s">
        <v>98</v>
      </c>
      <c r="Z382" s="18" t="s">
        <v>1815</v>
      </c>
      <c r="AA382" s="16" t="s">
        <v>3066</v>
      </c>
      <c r="AB382" s="16" t="s">
        <v>3067</v>
      </c>
      <c r="AC382" s="16" t="s">
        <v>3068</v>
      </c>
      <c r="AD382" s="123" t="str">
        <f t="shared" si="5"/>
        <v>FUE</v>
      </c>
      <c r="AE382" s="123" t="str">
        <f>VLOOKUP(Table1[[#This Row],[Name of bank]],'اكواد البنوك'!$A$2:$B$34,2,0)</f>
        <v>FUE</v>
      </c>
      <c r="AF382" s="21" t="s">
        <v>1838</v>
      </c>
      <c r="AG382" s="15" t="s">
        <v>49</v>
      </c>
    </row>
    <row r="383" spans="1:33">
      <c r="A383" s="14">
        <v>382</v>
      </c>
      <c r="B383" s="14" t="s">
        <v>3440</v>
      </c>
      <c r="C383" s="14" t="e">
        <v>#N/A</v>
      </c>
      <c r="D383" s="15" t="s">
        <v>1831</v>
      </c>
      <c r="E383" s="16" t="s">
        <v>3441</v>
      </c>
      <c r="F383" s="32" t="s">
        <v>10174</v>
      </c>
      <c r="G383" s="17" t="s">
        <v>3442</v>
      </c>
      <c r="H383" s="18" t="s">
        <v>3443</v>
      </c>
      <c r="I383" s="16" t="s">
        <v>1831</v>
      </c>
      <c r="J383" s="16"/>
      <c r="K383" s="16"/>
      <c r="L383" s="16" t="s">
        <v>1836</v>
      </c>
      <c r="M383" s="16" t="s">
        <v>1996</v>
      </c>
      <c r="N383" s="16">
        <v>28510211401137</v>
      </c>
      <c r="O383" s="16"/>
      <c r="P383" s="16"/>
      <c r="Q383" s="16"/>
      <c r="R383" s="16"/>
      <c r="S383" s="19"/>
      <c r="T383" s="20" t="s">
        <v>1837</v>
      </c>
      <c r="U383" s="16"/>
      <c r="V383" s="16"/>
      <c r="W383" s="30" t="s">
        <v>1838</v>
      </c>
      <c r="X383" s="18" t="s">
        <v>542</v>
      </c>
      <c r="Y383" s="18" t="s">
        <v>98</v>
      </c>
      <c r="Z383" s="18" t="s">
        <v>1815</v>
      </c>
      <c r="AA383" s="16" t="s">
        <v>3066</v>
      </c>
      <c r="AB383" s="16" t="s">
        <v>3067</v>
      </c>
      <c r="AC383" s="16" t="s">
        <v>3068</v>
      </c>
      <c r="AD383" s="123" t="str">
        <f t="shared" si="5"/>
        <v>FUE</v>
      </c>
      <c r="AE383" s="123" t="str">
        <f>VLOOKUP(Table1[[#This Row],[Name of bank]],'اكواد البنوك'!$A$2:$B$34,2,0)</f>
        <v>FUE</v>
      </c>
      <c r="AF383" s="21" t="s">
        <v>1838</v>
      </c>
      <c r="AG383" s="15" t="s">
        <v>49</v>
      </c>
    </row>
    <row r="384" spans="1:33">
      <c r="A384" s="14">
        <v>383</v>
      </c>
      <c r="B384" s="14" t="str">
        <f>B383</f>
        <v>GS 306</v>
      </c>
      <c r="C384" s="14">
        <v>401</v>
      </c>
      <c r="D384" s="15" t="s">
        <v>1839</v>
      </c>
      <c r="E384" s="16" t="s">
        <v>3444</v>
      </c>
      <c r="F384" s="32" t="s">
        <v>3445</v>
      </c>
      <c r="G384" s="17" t="s">
        <v>3446</v>
      </c>
      <c r="H384" s="18">
        <v>201099128848</v>
      </c>
      <c r="I384" s="16" t="s">
        <v>3447</v>
      </c>
      <c r="J384" s="16" t="s">
        <v>86</v>
      </c>
      <c r="K384" s="16" t="s">
        <v>3448</v>
      </c>
      <c r="L384" s="16">
        <v>85886739</v>
      </c>
      <c r="M384" s="16" t="s">
        <v>977</v>
      </c>
      <c r="N384" s="16">
        <v>30207070100353</v>
      </c>
      <c r="O384" s="16" t="s">
        <v>3449</v>
      </c>
      <c r="P384" s="16" t="s">
        <v>3450</v>
      </c>
      <c r="Q384" s="16" t="s">
        <v>1815</v>
      </c>
      <c r="R384" s="16" t="s">
        <v>1849</v>
      </c>
      <c r="S384" s="91" t="s">
        <v>3451</v>
      </c>
      <c r="T384" s="87" t="s">
        <v>176</v>
      </c>
      <c r="U384" s="91" t="s">
        <v>9968</v>
      </c>
      <c r="V384" s="105" t="s">
        <v>10284</v>
      </c>
      <c r="W384" s="108" t="s">
        <v>10285</v>
      </c>
      <c r="X384" s="60" t="s">
        <v>542</v>
      </c>
      <c r="Y384" s="18" t="s">
        <v>98</v>
      </c>
      <c r="Z384" s="62" t="s">
        <v>1815</v>
      </c>
      <c r="AA384" s="62" t="s">
        <v>3066</v>
      </c>
      <c r="AB384" s="62" t="s">
        <v>3067</v>
      </c>
      <c r="AC384" s="62" t="s">
        <v>3068</v>
      </c>
      <c r="AD384" s="123" t="str">
        <f t="shared" si="5"/>
        <v>External Transfer-Other banks</v>
      </c>
      <c r="AE384" s="123" t="str">
        <f>VLOOKUP(Table1[[#This Row],[Name of bank]],'اكواد البنوك'!$A$2:$B$34,2,0)</f>
        <v>BMISEGCXXXX</v>
      </c>
      <c r="AF384" s="94" t="s">
        <v>4672</v>
      </c>
      <c r="AG384" s="97" t="s">
        <v>1073</v>
      </c>
    </row>
    <row r="385" spans="1:33">
      <c r="A385" s="14">
        <v>384</v>
      </c>
      <c r="B385" s="14">
        <v>1</v>
      </c>
      <c r="C385" s="14">
        <v>1</v>
      </c>
      <c r="D385" s="15" t="s">
        <v>1718</v>
      </c>
      <c r="E385" s="16" t="s">
        <v>3452</v>
      </c>
      <c r="F385" s="32" t="s">
        <v>3453</v>
      </c>
      <c r="G385" s="17" t="s">
        <v>3454</v>
      </c>
      <c r="H385" s="18">
        <v>201226066909</v>
      </c>
      <c r="I385" s="16" t="s">
        <v>1718</v>
      </c>
      <c r="J385" s="16" t="s">
        <v>43</v>
      </c>
      <c r="K385" s="16"/>
      <c r="L385" s="16" t="s">
        <v>1718</v>
      </c>
      <c r="M385" s="16"/>
      <c r="N385" s="16"/>
      <c r="O385" s="16"/>
      <c r="P385" s="16"/>
      <c r="Q385" s="16"/>
      <c r="R385" s="16"/>
      <c r="S385" s="19"/>
      <c r="T385" s="20" t="s">
        <v>40</v>
      </c>
      <c r="U385" s="16"/>
      <c r="V385" s="16"/>
      <c r="W385" s="30" t="s">
        <v>1718</v>
      </c>
      <c r="X385" s="18" t="s">
        <v>31</v>
      </c>
      <c r="Y385" s="18" t="s">
        <v>43</v>
      </c>
      <c r="Z385" s="18" t="s">
        <v>1815</v>
      </c>
      <c r="AA385" s="16" t="s">
        <v>3066</v>
      </c>
      <c r="AB385" s="16" t="s">
        <v>3455</v>
      </c>
      <c r="AC385" s="16" t="s">
        <v>3456</v>
      </c>
      <c r="AD385" s="123" t="str">
        <f t="shared" si="5"/>
        <v>Internal Transfer</v>
      </c>
      <c r="AE385" s="123" t="str">
        <f>VLOOKUP(Table1[[#This Row],[Name of bank]],'اكواد البنوك'!$A$2:$B$34,2,0)</f>
        <v>NBEGEGCXXXX</v>
      </c>
      <c r="AF385" s="30" t="s">
        <v>1718</v>
      </c>
      <c r="AG385" s="15" t="s">
        <v>49</v>
      </c>
    </row>
    <row r="386" spans="1:33">
      <c r="A386" s="14">
        <v>385</v>
      </c>
      <c r="B386" s="14">
        <f>B385</f>
        <v>1</v>
      </c>
      <c r="C386" s="14" t="e">
        <v>#N/A</v>
      </c>
      <c r="D386" s="15" t="s">
        <v>1855</v>
      </c>
      <c r="E386" s="16" t="s">
        <v>3457</v>
      </c>
      <c r="F386" s="32" t="s">
        <v>3458</v>
      </c>
      <c r="G386" s="17" t="s">
        <v>3459</v>
      </c>
      <c r="H386" s="18">
        <v>201107578153</v>
      </c>
      <c r="I386" s="16" t="s">
        <v>1858</v>
      </c>
      <c r="J386" s="16" t="s">
        <v>1845</v>
      </c>
      <c r="K386" s="16" t="s">
        <v>136</v>
      </c>
      <c r="L386" s="16" t="s">
        <v>136</v>
      </c>
      <c r="M386" s="16" t="s">
        <v>136</v>
      </c>
      <c r="N386" s="16">
        <v>29607020101025</v>
      </c>
      <c r="O386" s="16" t="s">
        <v>3460</v>
      </c>
      <c r="P386" s="16" t="s">
        <v>3461</v>
      </c>
      <c r="Q386" s="16" t="s">
        <v>1815</v>
      </c>
      <c r="R386" s="16" t="s">
        <v>1882</v>
      </c>
      <c r="S386" s="19" t="s">
        <v>136</v>
      </c>
      <c r="T386" s="20" t="s">
        <v>10259</v>
      </c>
      <c r="U386" s="16" t="s">
        <v>10260</v>
      </c>
      <c r="V386" s="16" t="s">
        <v>136</v>
      </c>
      <c r="W386" s="30" t="s">
        <v>10261</v>
      </c>
      <c r="X386" s="18" t="s">
        <v>66</v>
      </c>
      <c r="Y386" s="18" t="s">
        <v>98</v>
      </c>
      <c r="Z386" s="18" t="s">
        <v>1815</v>
      </c>
      <c r="AA386" s="16" t="s">
        <v>3066</v>
      </c>
      <c r="AB386" s="16" t="s">
        <v>3455</v>
      </c>
      <c r="AC386" s="16" t="s">
        <v>3456</v>
      </c>
      <c r="AD386" s="123" t="str">
        <f t="shared" ref="AD386:AD449" si="6">IF(ISNUMBER(SEARCH("EXTERNAL CASH",T386)),
   "EXTERNAL CASH",
   IF(ISNUMBER(SEARCH("شيك من القاهرة",T386)),
      "FUE",
      IF(ISNUMBER(SEARCH("INTERNAL CASH",T386)),
         "INTRNAL CASH",
         IF(Y386="IP",
            "Internal Transfer",
            IF(ISNUMBER(SEARCH("National Bank of Egypt",T386)),
               "External Transfer-NBE",
               "External Transfer-Other banks"
            )
         )
      )
   )
)</f>
        <v>External Transfer-Other banks</v>
      </c>
      <c r="AE386" s="123" t="str">
        <f>VLOOKUP(Table1[[#This Row],[Name of bank]],'اكواد البنوك'!$A$2:$B$34,2,0)</f>
        <v>ECBAEGCAXXX</v>
      </c>
      <c r="AF386" s="21" t="s">
        <v>10262</v>
      </c>
      <c r="AG386" s="15" t="s">
        <v>1862</v>
      </c>
    </row>
    <row r="387" spans="1:33">
      <c r="A387" s="14">
        <v>386</v>
      </c>
      <c r="B387" s="14">
        <f>B386</f>
        <v>1</v>
      </c>
      <c r="C387" s="14" t="e">
        <v>#N/A</v>
      </c>
      <c r="D387" s="15" t="s">
        <v>1855</v>
      </c>
      <c r="E387" s="16" t="s">
        <v>3462</v>
      </c>
      <c r="F387" s="32" t="s">
        <v>3463</v>
      </c>
      <c r="G387" s="17" t="s">
        <v>3464</v>
      </c>
      <c r="H387" s="18">
        <v>201107578319</v>
      </c>
      <c r="I387" s="16" t="s">
        <v>1858</v>
      </c>
      <c r="J387" s="16" t="s">
        <v>1845</v>
      </c>
      <c r="K387" s="16" t="s">
        <v>3465</v>
      </c>
      <c r="L387" s="16" t="s">
        <v>136</v>
      </c>
      <c r="M387" s="16" t="s">
        <v>136</v>
      </c>
      <c r="N387" s="16">
        <v>29609012110972</v>
      </c>
      <c r="O387" s="16" t="s">
        <v>3466</v>
      </c>
      <c r="P387" s="16" t="s">
        <v>3467</v>
      </c>
      <c r="Q387" s="16" t="s">
        <v>1815</v>
      </c>
      <c r="R387" s="16" t="s">
        <v>1882</v>
      </c>
      <c r="S387" s="19" t="s">
        <v>136</v>
      </c>
      <c r="T387" s="20" t="s">
        <v>10259</v>
      </c>
      <c r="U387" s="16" t="s">
        <v>10263</v>
      </c>
      <c r="V387" s="16" t="s">
        <v>136</v>
      </c>
      <c r="W387" s="30" t="s">
        <v>10264</v>
      </c>
      <c r="X387" s="18" t="s">
        <v>66</v>
      </c>
      <c r="Y387" s="18" t="s">
        <v>98</v>
      </c>
      <c r="Z387" s="18" t="s">
        <v>1815</v>
      </c>
      <c r="AA387" s="16" t="s">
        <v>3066</v>
      </c>
      <c r="AB387" s="16" t="s">
        <v>3455</v>
      </c>
      <c r="AC387" s="16" t="s">
        <v>3456</v>
      </c>
      <c r="AD387" s="123" t="str">
        <f t="shared" si="6"/>
        <v>External Transfer-Other banks</v>
      </c>
      <c r="AE387" s="123" t="str">
        <f>VLOOKUP(Table1[[#This Row],[Name of bank]],'اكواد البنوك'!$A$2:$B$34,2,0)</f>
        <v>ECBAEGCAXXX</v>
      </c>
      <c r="AF387" s="21" t="s">
        <v>10210</v>
      </c>
      <c r="AG387" s="15" t="s">
        <v>1862</v>
      </c>
    </row>
    <row r="388" spans="1:33">
      <c r="A388" s="14">
        <v>387</v>
      </c>
      <c r="B388" s="14">
        <f>B387</f>
        <v>1</v>
      </c>
      <c r="C388" s="14" t="e">
        <v>#N/A</v>
      </c>
      <c r="D388" s="15" t="s">
        <v>1855</v>
      </c>
      <c r="E388" s="16" t="s">
        <v>3468</v>
      </c>
      <c r="F388" s="32" t="s">
        <v>3469</v>
      </c>
      <c r="G388" s="17" t="s">
        <v>3470</v>
      </c>
      <c r="H388" s="18">
        <v>201118158422</v>
      </c>
      <c r="I388" s="16" t="s">
        <v>3471</v>
      </c>
      <c r="J388" s="16" t="s">
        <v>86</v>
      </c>
      <c r="K388" s="16" t="s">
        <v>3472</v>
      </c>
      <c r="L388" s="16" t="s">
        <v>136</v>
      </c>
      <c r="M388" s="16" t="s">
        <v>136</v>
      </c>
      <c r="N388" s="16">
        <v>29611301401491</v>
      </c>
      <c r="O388" s="16" t="s">
        <v>3473</v>
      </c>
      <c r="P388" s="16" t="s">
        <v>3474</v>
      </c>
      <c r="Q388" s="16" t="s">
        <v>1815</v>
      </c>
      <c r="R388" s="16" t="s">
        <v>1849</v>
      </c>
      <c r="S388" s="19" t="s">
        <v>1861</v>
      </c>
      <c r="T388" s="30" t="s">
        <v>10362</v>
      </c>
      <c r="U388" s="30" t="s">
        <v>10362</v>
      </c>
      <c r="V388" s="16"/>
      <c r="W388" s="30" t="s">
        <v>10362</v>
      </c>
      <c r="X388" s="18" t="s">
        <v>66</v>
      </c>
      <c r="Y388" s="18" t="s">
        <v>98</v>
      </c>
      <c r="Z388" s="18" t="s">
        <v>1815</v>
      </c>
      <c r="AA388" s="16" t="s">
        <v>3066</v>
      </c>
      <c r="AB388" s="16" t="s">
        <v>3455</v>
      </c>
      <c r="AC388" s="16" t="s">
        <v>3456</v>
      </c>
      <c r="AD388" s="126" t="str">
        <f t="shared" si="6"/>
        <v>EXTERNAL CASH</v>
      </c>
      <c r="AE388" s="123" t="str">
        <f>VLOOKUP(Table1[[#This Row],[Name of bank]],'اكواد البنوك'!$A$2:$B$34,2,0)</f>
        <v>External CASH</v>
      </c>
      <c r="AF388" s="30" t="s">
        <v>10362</v>
      </c>
      <c r="AG388" s="15" t="s">
        <v>1862</v>
      </c>
    </row>
    <row r="389" spans="1:33">
      <c r="A389" s="14">
        <v>388</v>
      </c>
      <c r="B389" s="14">
        <f>B388</f>
        <v>1</v>
      </c>
      <c r="C389" s="14">
        <v>1</v>
      </c>
      <c r="D389" s="15" t="s">
        <v>1718</v>
      </c>
      <c r="E389" s="16" t="s">
        <v>3475</v>
      </c>
      <c r="F389" s="32" t="s">
        <v>3476</v>
      </c>
      <c r="G389" s="17" t="s">
        <v>3477</v>
      </c>
      <c r="H389" s="18">
        <v>201008467391</v>
      </c>
      <c r="I389" s="16" t="s">
        <v>1718</v>
      </c>
      <c r="J389" s="16"/>
      <c r="K389" s="16"/>
      <c r="L389" s="16"/>
      <c r="M389" s="16"/>
      <c r="N389" s="16"/>
      <c r="O389" s="16"/>
      <c r="P389" s="16"/>
      <c r="Q389" s="16"/>
      <c r="R389" s="16"/>
      <c r="S389" s="19"/>
      <c r="T389" s="20" t="s">
        <v>40</v>
      </c>
      <c r="U389" s="16"/>
      <c r="V389" s="16"/>
      <c r="W389" s="30" t="s">
        <v>1718</v>
      </c>
      <c r="X389" s="18" t="s">
        <v>66</v>
      </c>
      <c r="Y389" s="18" t="s">
        <v>43</v>
      </c>
      <c r="Z389" s="18" t="s">
        <v>1815</v>
      </c>
      <c r="AA389" s="16" t="s">
        <v>3066</v>
      </c>
      <c r="AB389" s="16" t="s">
        <v>3455</v>
      </c>
      <c r="AC389" s="16" t="s">
        <v>3456</v>
      </c>
      <c r="AD389" s="123" t="str">
        <f t="shared" si="6"/>
        <v>Internal Transfer</v>
      </c>
      <c r="AE389" s="123" t="str">
        <f>VLOOKUP(Table1[[#This Row],[Name of bank]],'اكواد البنوك'!$A$2:$B$34,2,0)</f>
        <v>NBEGEGCXXXX</v>
      </c>
      <c r="AF389" s="30" t="s">
        <v>1718</v>
      </c>
      <c r="AG389" s="15" t="s">
        <v>167</v>
      </c>
    </row>
    <row r="390" spans="1:33">
      <c r="A390" s="14">
        <v>389</v>
      </c>
      <c r="B390" s="14" t="s">
        <v>2446</v>
      </c>
      <c r="C390" s="14" t="s">
        <v>206</v>
      </c>
      <c r="D390" s="15" t="s">
        <v>1831</v>
      </c>
      <c r="E390" s="16" t="s">
        <v>3478</v>
      </c>
      <c r="F390" s="32" t="s">
        <v>10021</v>
      </c>
      <c r="G390" s="17" t="s">
        <v>3479</v>
      </c>
      <c r="H390" s="18" t="s">
        <v>3480</v>
      </c>
      <c r="I390" s="16"/>
      <c r="J390" s="16"/>
      <c r="K390" s="16" t="s">
        <v>1831</v>
      </c>
      <c r="L390" s="16" t="s">
        <v>1836</v>
      </c>
      <c r="M390" s="16">
        <v>62478457</v>
      </c>
      <c r="N390" s="16" t="s">
        <v>3481</v>
      </c>
      <c r="O390" s="16"/>
      <c r="P390" s="16"/>
      <c r="Q390" s="16"/>
      <c r="R390" s="16"/>
      <c r="S390" s="19"/>
      <c r="T390" s="20" t="s">
        <v>1837</v>
      </c>
      <c r="U390" s="16"/>
      <c r="V390" s="16"/>
      <c r="W390" s="30" t="s">
        <v>1838</v>
      </c>
      <c r="X390" s="18" t="s">
        <v>2096</v>
      </c>
      <c r="Y390" s="18" t="s">
        <v>98</v>
      </c>
      <c r="Z390" s="18" t="s">
        <v>1815</v>
      </c>
      <c r="AA390" s="16" t="s">
        <v>3066</v>
      </c>
      <c r="AB390" s="16" t="s">
        <v>3482</v>
      </c>
      <c r="AC390" s="16" t="s">
        <v>3483</v>
      </c>
      <c r="AD390" s="123" t="str">
        <f t="shared" si="6"/>
        <v>FUE</v>
      </c>
      <c r="AE390" s="123" t="str">
        <f>VLOOKUP(Table1[[#This Row],[Name of bank]],'اكواد البنوك'!$A$2:$B$34,2,0)</f>
        <v>FUE</v>
      </c>
      <c r="AF390" s="21" t="s">
        <v>1838</v>
      </c>
      <c r="AG390" s="15" t="s">
        <v>49</v>
      </c>
    </row>
    <row r="391" spans="1:33">
      <c r="A391" s="14">
        <v>390</v>
      </c>
      <c r="B391" s="14">
        <v>2</v>
      </c>
      <c r="C391" s="14" t="e">
        <v>#N/A</v>
      </c>
      <c r="D391" s="15" t="s">
        <v>1839</v>
      </c>
      <c r="E391" s="16" t="s">
        <v>3484</v>
      </c>
      <c r="F391" s="32" t="s">
        <v>3485</v>
      </c>
      <c r="G391" s="17" t="s">
        <v>3486</v>
      </c>
      <c r="H391" s="18" t="s">
        <v>3487</v>
      </c>
      <c r="I391" s="16" t="s">
        <v>3488</v>
      </c>
      <c r="J391" s="16" t="s">
        <v>173</v>
      </c>
      <c r="K391" s="16" t="s">
        <v>3489</v>
      </c>
      <c r="L391" s="16">
        <v>78991310</v>
      </c>
      <c r="M391" s="16" t="s">
        <v>136</v>
      </c>
      <c r="N391" s="16">
        <v>29903130100588</v>
      </c>
      <c r="O391" s="16" t="s">
        <v>3490</v>
      </c>
      <c r="P391" s="16" t="s">
        <v>3491</v>
      </c>
      <c r="Q391" s="16" t="s">
        <v>1815</v>
      </c>
      <c r="R391" s="16" t="s">
        <v>1849</v>
      </c>
      <c r="S391" s="19" t="s">
        <v>3492</v>
      </c>
      <c r="T391" s="20" t="s">
        <v>2848</v>
      </c>
      <c r="U391" s="16" t="s">
        <v>3354</v>
      </c>
      <c r="V391" s="16" t="s">
        <v>3493</v>
      </c>
      <c r="W391" s="30" t="s">
        <v>3494</v>
      </c>
      <c r="X391" s="18" t="s">
        <v>542</v>
      </c>
      <c r="Y391" s="18" t="s">
        <v>98</v>
      </c>
      <c r="Z391" s="18" t="s">
        <v>1815</v>
      </c>
      <c r="AA391" s="16" t="s">
        <v>3066</v>
      </c>
      <c r="AB391" s="16" t="s">
        <v>3482</v>
      </c>
      <c r="AC391" s="16" t="s">
        <v>3483</v>
      </c>
      <c r="AD391" s="123" t="str">
        <f t="shared" si="6"/>
        <v>External Transfer-Other banks</v>
      </c>
      <c r="AE391" s="123" t="str">
        <f>VLOOKUP(Table1[[#This Row],[Name of bank]],'اكواد البنوك'!$A$2:$B$34,2,0)</f>
        <v>EGGBEGCAXXX</v>
      </c>
      <c r="AF391" s="21" t="s">
        <v>2853</v>
      </c>
      <c r="AG391" s="15" t="s">
        <v>49</v>
      </c>
    </row>
    <row r="392" spans="1:33">
      <c r="A392" s="14">
        <v>391</v>
      </c>
      <c r="B392" s="14">
        <f>B391</f>
        <v>2</v>
      </c>
      <c r="C392" s="14" t="e">
        <v>#N/A</v>
      </c>
      <c r="D392" s="15" t="s">
        <v>1839</v>
      </c>
      <c r="E392" s="16" t="s">
        <v>3495</v>
      </c>
      <c r="F392" s="32" t="s">
        <v>3496</v>
      </c>
      <c r="G392" s="17" t="s">
        <v>3497</v>
      </c>
      <c r="H392" s="18" t="s">
        <v>3498</v>
      </c>
      <c r="I392" s="16" t="s">
        <v>3499</v>
      </c>
      <c r="J392" s="16" t="s">
        <v>1845</v>
      </c>
      <c r="K392" s="16" t="s">
        <v>3500</v>
      </c>
      <c r="L392" s="16">
        <v>17234198</v>
      </c>
      <c r="M392" s="16">
        <v>100795891</v>
      </c>
      <c r="N392" s="16">
        <v>27609260100927</v>
      </c>
      <c r="O392" s="16" t="s">
        <v>3501</v>
      </c>
      <c r="P392" s="16" t="s">
        <v>3502</v>
      </c>
      <c r="Q392" s="16" t="s">
        <v>1815</v>
      </c>
      <c r="R392" s="16" t="s">
        <v>1849</v>
      </c>
      <c r="S392" s="19" t="s">
        <v>3503</v>
      </c>
      <c r="T392" s="20" t="s">
        <v>40</v>
      </c>
      <c r="U392" s="16" t="s">
        <v>3504</v>
      </c>
      <c r="V392" s="16" t="s">
        <v>3505</v>
      </c>
      <c r="W392" s="30" t="s">
        <v>3506</v>
      </c>
      <c r="X392" s="18" t="s">
        <v>542</v>
      </c>
      <c r="Y392" s="18" t="s">
        <v>98</v>
      </c>
      <c r="Z392" s="18" t="s">
        <v>1815</v>
      </c>
      <c r="AA392" s="16" t="s">
        <v>3066</v>
      </c>
      <c r="AB392" s="16" t="s">
        <v>3482</v>
      </c>
      <c r="AC392" s="16" t="s">
        <v>3483</v>
      </c>
      <c r="AD392" s="123" t="str">
        <f t="shared" si="6"/>
        <v>External Transfer-NBE</v>
      </c>
      <c r="AE392" s="123" t="str">
        <f>VLOOKUP(Table1[[#This Row],[Name of bank]],'اكواد البنوك'!$A$2:$B$34,2,0)</f>
        <v>NBEGEGCXXXX</v>
      </c>
      <c r="AF392" s="21" t="s">
        <v>3507</v>
      </c>
      <c r="AG392" s="15" t="s">
        <v>49</v>
      </c>
    </row>
    <row r="393" spans="1:33">
      <c r="A393" s="14">
        <v>392</v>
      </c>
      <c r="B393" s="14" t="s">
        <v>639</v>
      </c>
      <c r="C393" s="14" t="s">
        <v>312</v>
      </c>
      <c r="D393" s="15" t="s">
        <v>1703</v>
      </c>
      <c r="E393" s="16" t="s">
        <v>3508</v>
      </c>
      <c r="F393" s="32" t="s">
        <v>3509</v>
      </c>
      <c r="G393" s="17" t="s">
        <v>3510</v>
      </c>
      <c r="H393" s="18">
        <v>201018845003</v>
      </c>
      <c r="I393" s="16" t="s">
        <v>1703</v>
      </c>
      <c r="J393" s="16"/>
      <c r="K393" s="16"/>
      <c r="L393" s="16"/>
      <c r="M393" s="16"/>
      <c r="N393" s="16"/>
      <c r="O393" s="16"/>
      <c r="P393" s="16"/>
      <c r="Q393" s="16"/>
      <c r="R393" s="16"/>
      <c r="S393" s="19"/>
      <c r="T393" s="20" t="s">
        <v>40</v>
      </c>
      <c r="U393" s="16"/>
      <c r="V393" s="16"/>
      <c r="W393" s="30">
        <v>12</v>
      </c>
      <c r="X393" s="18" t="s">
        <v>78</v>
      </c>
      <c r="Y393" s="18" t="s">
        <v>43</v>
      </c>
      <c r="Z393" s="18" t="s">
        <v>1815</v>
      </c>
      <c r="AA393" s="16" t="s">
        <v>3066</v>
      </c>
      <c r="AB393" s="16" t="s">
        <v>3482</v>
      </c>
      <c r="AC393" s="16" t="s">
        <v>3483</v>
      </c>
      <c r="AD393" s="123" t="str">
        <f t="shared" si="6"/>
        <v>Internal Transfer</v>
      </c>
      <c r="AE393" s="123" t="str">
        <f>VLOOKUP(Table1[[#This Row],[Name of bank]],'اكواد البنوك'!$A$2:$B$34,2,0)</f>
        <v>NBEGEGCXXXX</v>
      </c>
      <c r="AF393" s="21">
        <v>12</v>
      </c>
      <c r="AG393" s="15" t="s">
        <v>49</v>
      </c>
    </row>
    <row r="394" spans="1:33">
      <c r="A394" s="14">
        <v>393</v>
      </c>
      <c r="B394" s="14" t="str">
        <f>B393</f>
        <v>1st Floor</v>
      </c>
      <c r="C394" s="14" t="s">
        <v>312</v>
      </c>
      <c r="D394" s="15" t="s">
        <v>1703</v>
      </c>
      <c r="E394" s="16" t="s">
        <v>3511</v>
      </c>
      <c r="F394" s="32" t="s">
        <v>3512</v>
      </c>
      <c r="G394" s="17" t="s">
        <v>3513</v>
      </c>
      <c r="H394" s="18">
        <v>201014614751</v>
      </c>
      <c r="I394" s="16" t="s">
        <v>1703</v>
      </c>
      <c r="J394" s="16"/>
      <c r="K394" s="16" t="s">
        <v>3065</v>
      </c>
      <c r="L394" s="16"/>
      <c r="M394" s="16"/>
      <c r="N394" s="16"/>
      <c r="O394" s="16"/>
      <c r="P394" s="16"/>
      <c r="Q394" s="16"/>
      <c r="R394" s="16"/>
      <c r="S394" s="19"/>
      <c r="T394" s="20" t="s">
        <v>40</v>
      </c>
      <c r="U394" s="16"/>
      <c r="V394" s="16"/>
      <c r="W394" s="30" t="s">
        <v>3514</v>
      </c>
      <c r="X394" s="18" t="s">
        <v>97</v>
      </c>
      <c r="Y394" s="18" t="s">
        <v>43</v>
      </c>
      <c r="Z394" s="18" t="s">
        <v>1815</v>
      </c>
      <c r="AA394" s="16" t="s">
        <v>3066</v>
      </c>
      <c r="AB394" s="16" t="s">
        <v>3482</v>
      </c>
      <c r="AC394" s="16" t="s">
        <v>3483</v>
      </c>
      <c r="AD394" s="123" t="str">
        <f t="shared" si="6"/>
        <v>Internal Transfer</v>
      </c>
      <c r="AE394" s="123" t="str">
        <f>VLOOKUP(Table1[[#This Row],[Name of bank]],'اكواد البنوك'!$A$2:$B$34,2,0)</f>
        <v>NBEGEGCXXXX</v>
      </c>
      <c r="AF394" s="21" t="s">
        <v>3514</v>
      </c>
      <c r="AG394" s="15" t="s">
        <v>49</v>
      </c>
    </row>
    <row r="395" spans="1:33">
      <c r="A395" s="14">
        <v>394</v>
      </c>
      <c r="B395" s="14" t="str">
        <f>B394</f>
        <v>1st Floor</v>
      </c>
      <c r="C395" s="14" t="e">
        <v>#N/A</v>
      </c>
      <c r="D395" s="15" t="s">
        <v>1855</v>
      </c>
      <c r="E395" s="16" t="s">
        <v>3515</v>
      </c>
      <c r="F395" s="32" t="s">
        <v>10067</v>
      </c>
      <c r="G395" s="17" t="s">
        <v>3516</v>
      </c>
      <c r="H395" s="18">
        <v>201092983960</v>
      </c>
      <c r="I395" s="16" t="s">
        <v>2443</v>
      </c>
      <c r="J395" s="16" t="s">
        <v>1845</v>
      </c>
      <c r="K395" s="16" t="s">
        <v>136</v>
      </c>
      <c r="L395" s="16" t="s">
        <v>136</v>
      </c>
      <c r="M395" s="16" t="s">
        <v>136</v>
      </c>
      <c r="N395" s="16">
        <v>29101150100861</v>
      </c>
      <c r="O395" s="16" t="s">
        <v>3517</v>
      </c>
      <c r="P395" s="16" t="s">
        <v>3518</v>
      </c>
      <c r="Q395" s="16" t="s">
        <v>1815</v>
      </c>
      <c r="R395" s="16" t="s">
        <v>1849</v>
      </c>
      <c r="S395" s="19" t="s">
        <v>1861</v>
      </c>
      <c r="T395" s="20" t="s">
        <v>40</v>
      </c>
      <c r="U395" s="16" t="s">
        <v>10241</v>
      </c>
      <c r="V395" s="16"/>
      <c r="W395" s="30" t="s">
        <v>10242</v>
      </c>
      <c r="X395" s="18" t="s">
        <v>97</v>
      </c>
      <c r="Y395" s="18" t="s">
        <v>98</v>
      </c>
      <c r="Z395" s="18" t="s">
        <v>1815</v>
      </c>
      <c r="AA395" s="16" t="s">
        <v>3066</v>
      </c>
      <c r="AB395" s="16" t="s">
        <v>3482</v>
      </c>
      <c r="AC395" s="16" t="s">
        <v>3483</v>
      </c>
      <c r="AD395" s="123" t="str">
        <f t="shared" si="6"/>
        <v>External Transfer-NBE</v>
      </c>
      <c r="AE395" s="123" t="str">
        <f>VLOOKUP(Table1[[#This Row],[Name of bank]],'اكواد البنوك'!$A$2:$B$34,2,0)</f>
        <v>NBEGEGCXXXX</v>
      </c>
      <c r="AF395" s="21" t="s">
        <v>10243</v>
      </c>
      <c r="AG395" s="15" t="s">
        <v>1862</v>
      </c>
    </row>
    <row r="396" spans="1:33">
      <c r="A396" s="14">
        <v>395</v>
      </c>
      <c r="B396" s="14">
        <v>101</v>
      </c>
      <c r="C396" s="14" t="e">
        <v>#N/A</v>
      </c>
      <c r="D396" s="15" t="s">
        <v>1855</v>
      </c>
      <c r="E396" s="16" t="s">
        <v>3519</v>
      </c>
      <c r="F396" s="32" t="s">
        <v>3520</v>
      </c>
      <c r="G396" s="17" t="s">
        <v>3521</v>
      </c>
      <c r="H396" s="18">
        <v>201116661995</v>
      </c>
      <c r="I396" s="16" t="s">
        <v>3471</v>
      </c>
      <c r="J396" s="16" t="s">
        <v>1845</v>
      </c>
      <c r="K396" s="16" t="s">
        <v>3522</v>
      </c>
      <c r="L396" s="16" t="s">
        <v>136</v>
      </c>
      <c r="M396" s="16" t="s">
        <v>136</v>
      </c>
      <c r="N396" s="16">
        <v>29505052102034</v>
      </c>
      <c r="O396" s="16" t="s">
        <v>3523</v>
      </c>
      <c r="P396" s="16" t="s">
        <v>3524</v>
      </c>
      <c r="Q396" s="16" t="s">
        <v>1815</v>
      </c>
      <c r="R396" s="16" t="s">
        <v>1849</v>
      </c>
      <c r="S396" s="19" t="s">
        <v>1861</v>
      </c>
      <c r="T396" s="20" t="s">
        <v>40</v>
      </c>
      <c r="U396" s="16" t="s">
        <v>4059</v>
      </c>
      <c r="V396" s="16"/>
      <c r="W396" s="30" t="s">
        <v>10268</v>
      </c>
      <c r="X396" s="18" t="s">
        <v>542</v>
      </c>
      <c r="Y396" s="18" t="s">
        <v>98</v>
      </c>
      <c r="Z396" s="18" t="s">
        <v>1815</v>
      </c>
      <c r="AA396" s="16" t="s">
        <v>3066</v>
      </c>
      <c r="AB396" s="16" t="s">
        <v>3482</v>
      </c>
      <c r="AC396" s="16" t="s">
        <v>3483</v>
      </c>
      <c r="AD396" s="123" t="str">
        <f t="shared" si="6"/>
        <v>External Transfer-NBE</v>
      </c>
      <c r="AE396" s="123" t="str">
        <f>VLOOKUP(Table1[[#This Row],[Name of bank]],'اكواد البنوك'!$A$2:$B$34,2,0)</f>
        <v>NBEGEGCXXXX</v>
      </c>
      <c r="AF396" s="21" t="s">
        <v>4350</v>
      </c>
      <c r="AG396" s="15" t="s">
        <v>1862</v>
      </c>
    </row>
    <row r="397" spans="1:33">
      <c r="A397" s="14">
        <v>396</v>
      </c>
      <c r="B397" s="14">
        <f>B396</f>
        <v>101</v>
      </c>
      <c r="C397" s="14">
        <v>3</v>
      </c>
      <c r="D397" s="15" t="s">
        <v>1831</v>
      </c>
      <c r="E397" s="16" t="s">
        <v>3525</v>
      </c>
      <c r="F397" s="32" t="s">
        <v>3526</v>
      </c>
      <c r="G397" s="17" t="s">
        <v>3527</v>
      </c>
      <c r="H397" s="18" t="s">
        <v>3528</v>
      </c>
      <c r="I397" s="16"/>
      <c r="J397" s="16"/>
      <c r="K397" s="16" t="s">
        <v>1831</v>
      </c>
      <c r="L397" s="16" t="s">
        <v>1836</v>
      </c>
      <c r="M397" s="16">
        <v>73718206</v>
      </c>
      <c r="N397" s="16">
        <v>29401010138586</v>
      </c>
      <c r="O397" s="16"/>
      <c r="P397" s="16"/>
      <c r="Q397" s="16"/>
      <c r="R397" s="16"/>
      <c r="S397" s="19"/>
      <c r="T397" s="20" t="s">
        <v>1837</v>
      </c>
      <c r="U397" s="16"/>
      <c r="V397" s="16"/>
      <c r="W397" s="30" t="s">
        <v>1838</v>
      </c>
      <c r="X397" s="18" t="s">
        <v>542</v>
      </c>
      <c r="Y397" s="18" t="s">
        <v>98</v>
      </c>
      <c r="Z397" s="18" t="s">
        <v>1815</v>
      </c>
      <c r="AA397" s="16" t="s">
        <v>3066</v>
      </c>
      <c r="AB397" s="16" t="s">
        <v>3482</v>
      </c>
      <c r="AC397" s="16" t="s">
        <v>3483</v>
      </c>
      <c r="AD397" s="123" t="str">
        <f t="shared" si="6"/>
        <v>FUE</v>
      </c>
      <c r="AE397" s="123" t="str">
        <f>VLOOKUP(Table1[[#This Row],[Name of bank]],'اكواد البنوك'!$A$2:$B$34,2,0)</f>
        <v>FUE</v>
      </c>
      <c r="AF397" s="21" t="s">
        <v>1838</v>
      </c>
      <c r="AG397" s="15" t="s">
        <v>49</v>
      </c>
    </row>
    <row r="398" spans="1:33">
      <c r="A398" s="14">
        <v>397</v>
      </c>
      <c r="B398" s="14">
        <f>B397</f>
        <v>101</v>
      </c>
      <c r="C398" s="14" t="e">
        <v>#N/A</v>
      </c>
      <c r="D398" s="15" t="s">
        <v>1839</v>
      </c>
      <c r="E398" s="16" t="s">
        <v>3529</v>
      </c>
      <c r="F398" s="32" t="s">
        <v>3530</v>
      </c>
      <c r="G398" s="17" t="s">
        <v>3531</v>
      </c>
      <c r="H398" s="18" t="s">
        <v>3532</v>
      </c>
      <c r="I398" s="16" t="s">
        <v>1951</v>
      </c>
      <c r="J398" s="16" t="s">
        <v>86</v>
      </c>
      <c r="K398" s="16" t="s">
        <v>3533</v>
      </c>
      <c r="L398" s="16">
        <v>86832180</v>
      </c>
      <c r="M398" s="16" t="s">
        <v>2744</v>
      </c>
      <c r="N398" s="16">
        <v>29511110102562</v>
      </c>
      <c r="O398" s="16" t="s">
        <v>3534</v>
      </c>
      <c r="P398" s="16" t="s">
        <v>3535</v>
      </c>
      <c r="Q398" s="16" t="s">
        <v>1815</v>
      </c>
      <c r="R398" s="16" t="s">
        <v>1849</v>
      </c>
      <c r="S398" s="19" t="s">
        <v>3536</v>
      </c>
      <c r="T398" s="20" t="s">
        <v>176</v>
      </c>
      <c r="U398" s="16" t="s">
        <v>3537</v>
      </c>
      <c r="V398" s="16"/>
      <c r="W398" s="30" t="s">
        <v>3538</v>
      </c>
      <c r="X398" s="18" t="s">
        <v>542</v>
      </c>
      <c r="Y398" s="18" t="s">
        <v>98</v>
      </c>
      <c r="Z398" s="18" t="s">
        <v>1815</v>
      </c>
      <c r="AA398" s="16" t="s">
        <v>3066</v>
      </c>
      <c r="AB398" s="16" t="s">
        <v>3482</v>
      </c>
      <c r="AC398" s="16" t="s">
        <v>3483</v>
      </c>
      <c r="AD398" s="123" t="str">
        <f t="shared" si="6"/>
        <v>External Transfer-Other banks</v>
      </c>
      <c r="AE398" s="123" t="str">
        <f>VLOOKUP(Table1[[#This Row],[Name of bank]],'اكواد البنوك'!$A$2:$B$34,2,0)</f>
        <v>BMISEGCXXXX</v>
      </c>
      <c r="AF398" s="21" t="s">
        <v>3539</v>
      </c>
      <c r="AG398" s="15" t="s">
        <v>49</v>
      </c>
    </row>
    <row r="399" spans="1:33">
      <c r="A399" s="14">
        <v>398</v>
      </c>
      <c r="B399" s="14">
        <v>102</v>
      </c>
      <c r="C399" s="14" t="s">
        <v>4491</v>
      </c>
      <c r="D399" s="15" t="s">
        <v>1839</v>
      </c>
      <c r="E399" s="16" t="s">
        <v>3540</v>
      </c>
      <c r="F399" s="32" t="s">
        <v>3541</v>
      </c>
      <c r="G399" s="17" t="s">
        <v>3542</v>
      </c>
      <c r="H399" s="18" t="s">
        <v>3543</v>
      </c>
      <c r="I399" s="16" t="s">
        <v>3544</v>
      </c>
      <c r="J399" s="16" t="s">
        <v>86</v>
      </c>
      <c r="K399" s="16" t="s">
        <v>3545</v>
      </c>
      <c r="L399" s="16" t="s">
        <v>3546</v>
      </c>
      <c r="M399" s="16">
        <v>892171</v>
      </c>
      <c r="N399" s="16">
        <v>30309100101357</v>
      </c>
      <c r="O399" s="16" t="s">
        <v>3547</v>
      </c>
      <c r="P399" s="16" t="s">
        <v>3548</v>
      </c>
      <c r="Q399" s="16" t="s">
        <v>1815</v>
      </c>
      <c r="R399" s="16" t="s">
        <v>1849</v>
      </c>
      <c r="S399" s="19" t="s">
        <v>3541</v>
      </c>
      <c r="T399" s="20" t="s">
        <v>40</v>
      </c>
      <c r="U399" s="16" t="s">
        <v>3549</v>
      </c>
      <c r="V399" s="16" t="s">
        <v>3550</v>
      </c>
      <c r="W399" s="30" t="s">
        <v>3551</v>
      </c>
      <c r="X399" s="18" t="s">
        <v>542</v>
      </c>
      <c r="Y399" s="18" t="s">
        <v>98</v>
      </c>
      <c r="Z399" s="18" t="s">
        <v>1815</v>
      </c>
      <c r="AA399" s="16" t="s">
        <v>3066</v>
      </c>
      <c r="AB399" s="16" t="s">
        <v>3482</v>
      </c>
      <c r="AC399" s="16" t="s">
        <v>3483</v>
      </c>
      <c r="AD399" s="123" t="str">
        <f t="shared" si="6"/>
        <v>External Transfer-NBE</v>
      </c>
      <c r="AE399" s="123" t="str">
        <f>VLOOKUP(Table1[[#This Row],[Name of bank]],'اكواد البنوك'!$A$2:$B$34,2,0)</f>
        <v>NBEGEGCXXXX</v>
      </c>
      <c r="AF399" s="21" t="s">
        <v>2921</v>
      </c>
      <c r="AG399" s="15" t="s">
        <v>49</v>
      </c>
    </row>
    <row r="400" spans="1:33">
      <c r="A400" s="14">
        <v>399</v>
      </c>
      <c r="B400" s="14">
        <f>B399</f>
        <v>102</v>
      </c>
      <c r="C400" s="14" t="e">
        <v>#N/A</v>
      </c>
      <c r="D400" s="15" t="s">
        <v>1831</v>
      </c>
      <c r="E400" s="16" t="s">
        <v>3552</v>
      </c>
      <c r="F400" s="32" t="s">
        <v>3553</v>
      </c>
      <c r="G400" s="17" t="s">
        <v>3554</v>
      </c>
      <c r="H400" s="18" t="s">
        <v>3555</v>
      </c>
      <c r="I400" s="16" t="s">
        <v>1831</v>
      </c>
      <c r="J400" s="16"/>
      <c r="K400" s="16"/>
      <c r="L400" s="16" t="s">
        <v>1836</v>
      </c>
      <c r="M400" s="16" t="s">
        <v>3556</v>
      </c>
      <c r="N400" s="16">
        <v>29207181401951</v>
      </c>
      <c r="O400" s="16"/>
      <c r="P400" s="16"/>
      <c r="Q400" s="16"/>
      <c r="R400" s="16"/>
      <c r="S400" s="19"/>
      <c r="T400" s="20" t="s">
        <v>1837</v>
      </c>
      <c r="U400" s="16"/>
      <c r="V400" s="16"/>
      <c r="W400" s="30" t="s">
        <v>1838</v>
      </c>
      <c r="X400" s="18" t="s">
        <v>542</v>
      </c>
      <c r="Y400" s="18" t="s">
        <v>98</v>
      </c>
      <c r="Z400" s="18" t="s">
        <v>1815</v>
      </c>
      <c r="AA400" s="16" t="s">
        <v>3066</v>
      </c>
      <c r="AB400" s="16" t="s">
        <v>3482</v>
      </c>
      <c r="AC400" s="16" t="s">
        <v>3483</v>
      </c>
      <c r="AD400" s="123" t="str">
        <f t="shared" si="6"/>
        <v>FUE</v>
      </c>
      <c r="AE400" s="123" t="str">
        <f>VLOOKUP(Table1[[#This Row],[Name of bank]],'اكواد البنوك'!$A$2:$B$34,2,0)</f>
        <v>FUE</v>
      </c>
      <c r="AF400" s="21" t="s">
        <v>1838</v>
      </c>
      <c r="AG400" s="15" t="s">
        <v>49</v>
      </c>
    </row>
    <row r="401" spans="1:33">
      <c r="A401" s="14">
        <v>400</v>
      </c>
      <c r="B401" s="14">
        <v>105</v>
      </c>
      <c r="C401" s="14" t="e">
        <v>#N/A</v>
      </c>
      <c r="D401" s="15" t="s">
        <v>1831</v>
      </c>
      <c r="E401" s="16" t="s">
        <v>3557</v>
      </c>
      <c r="F401" s="32" t="s">
        <v>3558</v>
      </c>
      <c r="G401" s="17" t="s">
        <v>3559</v>
      </c>
      <c r="H401" s="18" t="s">
        <v>3560</v>
      </c>
      <c r="I401" s="16"/>
      <c r="J401" s="16"/>
      <c r="K401" s="16" t="s">
        <v>1831</v>
      </c>
      <c r="L401" s="16" t="s">
        <v>1836</v>
      </c>
      <c r="M401" s="16" t="s">
        <v>1996</v>
      </c>
      <c r="N401" s="16" t="s">
        <v>3561</v>
      </c>
      <c r="O401" s="16"/>
      <c r="P401" s="16"/>
      <c r="Q401" s="16"/>
      <c r="R401" s="16"/>
      <c r="S401" s="19"/>
      <c r="T401" s="20" t="s">
        <v>1837</v>
      </c>
      <c r="U401" s="16"/>
      <c r="V401" s="16"/>
      <c r="W401" s="30" t="s">
        <v>1838</v>
      </c>
      <c r="X401" s="18" t="s">
        <v>542</v>
      </c>
      <c r="Y401" s="18" t="s">
        <v>98</v>
      </c>
      <c r="Z401" s="18" t="s">
        <v>1815</v>
      </c>
      <c r="AA401" s="16" t="s">
        <v>3066</v>
      </c>
      <c r="AB401" s="16" t="s">
        <v>3482</v>
      </c>
      <c r="AC401" s="16" t="s">
        <v>3483</v>
      </c>
      <c r="AD401" s="123" t="str">
        <f t="shared" si="6"/>
        <v>FUE</v>
      </c>
      <c r="AE401" s="123" t="str">
        <f>VLOOKUP(Table1[[#This Row],[Name of bank]],'اكواد البنوك'!$A$2:$B$34,2,0)</f>
        <v>FUE</v>
      </c>
      <c r="AF401" s="21" t="s">
        <v>1838</v>
      </c>
      <c r="AG401" s="15" t="s">
        <v>49</v>
      </c>
    </row>
    <row r="402" spans="1:33">
      <c r="A402" s="14">
        <v>401</v>
      </c>
      <c r="B402" s="14">
        <f>B401</f>
        <v>105</v>
      </c>
      <c r="C402" s="14" t="e">
        <v>#N/A</v>
      </c>
      <c r="D402" s="15" t="s">
        <v>1839</v>
      </c>
      <c r="E402" s="16" t="s">
        <v>3562</v>
      </c>
      <c r="F402" s="32" t="s">
        <v>10185</v>
      </c>
      <c r="G402" s="17" t="s">
        <v>3563</v>
      </c>
      <c r="H402" s="18">
        <v>201030101941</v>
      </c>
      <c r="I402" s="16" t="s">
        <v>3564</v>
      </c>
      <c r="J402" s="16" t="s">
        <v>173</v>
      </c>
      <c r="K402" s="16" t="s">
        <v>3565</v>
      </c>
      <c r="L402" s="16" t="s">
        <v>136</v>
      </c>
      <c r="M402" s="16" t="s">
        <v>136</v>
      </c>
      <c r="N402" s="16">
        <v>28108190100201</v>
      </c>
      <c r="O402" s="16" t="s">
        <v>3566</v>
      </c>
      <c r="P402" s="16" t="s">
        <v>3567</v>
      </c>
      <c r="Q402" s="16" t="s">
        <v>1815</v>
      </c>
      <c r="R402" s="16" t="s">
        <v>1882</v>
      </c>
      <c r="S402" s="76" t="s">
        <v>3568</v>
      </c>
      <c r="T402" s="76" t="s">
        <v>176</v>
      </c>
      <c r="U402" s="76" t="s">
        <v>9842</v>
      </c>
      <c r="V402" s="76" t="s">
        <v>10335</v>
      </c>
      <c r="W402" s="76" t="s">
        <v>3569</v>
      </c>
      <c r="X402" s="18" t="s">
        <v>542</v>
      </c>
      <c r="Y402" s="18" t="s">
        <v>98</v>
      </c>
      <c r="Z402" s="18" t="s">
        <v>1815</v>
      </c>
      <c r="AA402" s="16" t="s">
        <v>3066</v>
      </c>
      <c r="AB402" s="16" t="s">
        <v>3482</v>
      </c>
      <c r="AC402" s="16" t="s">
        <v>3483</v>
      </c>
      <c r="AD402" s="123" t="str">
        <f t="shared" si="6"/>
        <v>External Transfer-Other banks</v>
      </c>
      <c r="AE402" s="123" t="str">
        <f>VLOOKUP(Table1[[#This Row],[Name of bank]],'اكواد البنوك'!$A$2:$B$34,2,0)</f>
        <v>BMISEGCXXXX</v>
      </c>
      <c r="AF402" s="21" t="s">
        <v>2378</v>
      </c>
      <c r="AG402" s="15" t="s">
        <v>167</v>
      </c>
    </row>
    <row r="403" spans="1:33">
      <c r="A403" s="14">
        <v>402</v>
      </c>
      <c r="B403" s="14" t="s">
        <v>73</v>
      </c>
      <c r="C403" s="14" t="s">
        <v>4198</v>
      </c>
      <c r="D403" s="15" t="s">
        <v>1839</v>
      </c>
      <c r="E403" s="16" t="s">
        <v>3570</v>
      </c>
      <c r="F403" s="32" t="s">
        <v>3571</v>
      </c>
      <c r="G403" s="17" t="s">
        <v>3572</v>
      </c>
      <c r="H403" s="18" t="s">
        <v>3573</v>
      </c>
      <c r="I403" s="16" t="s">
        <v>3574</v>
      </c>
      <c r="J403" s="16" t="s">
        <v>86</v>
      </c>
      <c r="K403" s="16" t="s">
        <v>3575</v>
      </c>
      <c r="L403" s="16">
        <v>71760312</v>
      </c>
      <c r="M403" s="16">
        <v>892171</v>
      </c>
      <c r="N403" s="16" t="s">
        <v>3576</v>
      </c>
      <c r="O403" s="16" t="s">
        <v>3577</v>
      </c>
      <c r="P403" s="16" t="s">
        <v>3578</v>
      </c>
      <c r="Q403" s="16" t="s">
        <v>1815</v>
      </c>
      <c r="R403" s="16" t="s">
        <v>1849</v>
      </c>
      <c r="S403" s="19" t="s">
        <v>3579</v>
      </c>
      <c r="T403" s="20" t="s">
        <v>908</v>
      </c>
      <c r="U403" s="16" t="s">
        <v>3580</v>
      </c>
      <c r="V403" s="16" t="s">
        <v>3581</v>
      </c>
      <c r="W403" s="30" t="s">
        <v>3582</v>
      </c>
      <c r="X403" s="18" t="s">
        <v>2096</v>
      </c>
      <c r="Y403" s="18" t="s">
        <v>98</v>
      </c>
      <c r="Z403" s="18" t="s">
        <v>1815</v>
      </c>
      <c r="AA403" s="16" t="s">
        <v>3066</v>
      </c>
      <c r="AB403" s="16" t="s">
        <v>3482</v>
      </c>
      <c r="AC403" s="16" t="s">
        <v>3483</v>
      </c>
      <c r="AD403" s="123" t="str">
        <f t="shared" si="6"/>
        <v>External Transfer-Other banks</v>
      </c>
      <c r="AE403" s="123" t="str">
        <f>VLOOKUP(Table1[[#This Row],[Name of bank]],'اكواد البنوك'!$A$2:$B$34,2,0)</f>
        <v>ARAIEGCXXXX</v>
      </c>
      <c r="AF403" s="21" t="s">
        <v>1022</v>
      </c>
      <c r="AG403" s="15" t="s">
        <v>49</v>
      </c>
    </row>
    <row r="404" spans="1:33">
      <c r="A404" s="14">
        <v>403</v>
      </c>
      <c r="B404" s="14" t="str">
        <f>B403</f>
        <v>2nd Floor</v>
      </c>
      <c r="C404" s="14" t="e">
        <v>#N/A</v>
      </c>
      <c r="D404" s="15" t="s">
        <v>1855</v>
      </c>
      <c r="E404" s="16" t="s">
        <v>3584</v>
      </c>
      <c r="F404" s="32" t="s">
        <v>3585</v>
      </c>
      <c r="G404" s="17" t="s">
        <v>3586</v>
      </c>
      <c r="H404" s="18">
        <v>201273621306</v>
      </c>
      <c r="I404" s="16" t="s">
        <v>3587</v>
      </c>
      <c r="J404" s="16" t="s">
        <v>86</v>
      </c>
      <c r="K404" s="16" t="s">
        <v>3472</v>
      </c>
      <c r="L404" s="16" t="s">
        <v>136</v>
      </c>
      <c r="M404" s="16" t="s">
        <v>136</v>
      </c>
      <c r="N404" s="16">
        <v>30310161400436</v>
      </c>
      <c r="O404" s="16" t="s">
        <v>3588</v>
      </c>
      <c r="P404" s="16" t="s">
        <v>3589</v>
      </c>
      <c r="Q404" s="16" t="s">
        <v>1815</v>
      </c>
      <c r="R404" s="16" t="s">
        <v>1849</v>
      </c>
      <c r="S404" s="19" t="s">
        <v>1861</v>
      </c>
      <c r="T404" s="30" t="s">
        <v>10362</v>
      </c>
      <c r="U404" s="30" t="s">
        <v>10362</v>
      </c>
      <c r="V404" s="16"/>
      <c r="W404" s="30" t="s">
        <v>10362</v>
      </c>
      <c r="X404" s="18" t="s">
        <v>97</v>
      </c>
      <c r="Y404" s="18" t="s">
        <v>98</v>
      </c>
      <c r="Z404" s="18" t="s">
        <v>1815</v>
      </c>
      <c r="AA404" s="16" t="s">
        <v>3066</v>
      </c>
      <c r="AB404" s="16" t="s">
        <v>3482</v>
      </c>
      <c r="AC404" s="16" t="s">
        <v>3483</v>
      </c>
      <c r="AD404" s="126" t="str">
        <f t="shared" si="6"/>
        <v>EXTERNAL CASH</v>
      </c>
      <c r="AE404" s="123" t="str">
        <f>VLOOKUP(Table1[[#This Row],[Name of bank]],'اكواد البنوك'!$A$2:$B$34,2,0)</f>
        <v>External CASH</v>
      </c>
      <c r="AF404" s="30" t="s">
        <v>10362</v>
      </c>
      <c r="AG404" s="15" t="s">
        <v>1862</v>
      </c>
    </row>
    <row r="405" spans="1:33">
      <c r="A405" s="14">
        <v>404</v>
      </c>
      <c r="B405" s="14">
        <v>201</v>
      </c>
      <c r="C405" s="14" t="e">
        <v>#N/A</v>
      </c>
      <c r="D405" s="15" t="s">
        <v>1839</v>
      </c>
      <c r="E405" s="16" t="s">
        <v>3590</v>
      </c>
      <c r="F405" s="32" t="s">
        <v>3591</v>
      </c>
      <c r="G405" s="17" t="s">
        <v>3592</v>
      </c>
      <c r="H405" s="18" t="s">
        <v>3593</v>
      </c>
      <c r="I405" s="16" t="s">
        <v>3594</v>
      </c>
      <c r="J405" s="16" t="s">
        <v>173</v>
      </c>
      <c r="K405" s="16" t="s">
        <v>3595</v>
      </c>
      <c r="L405" s="16" t="s">
        <v>136</v>
      </c>
      <c r="M405" s="16" t="s">
        <v>136</v>
      </c>
      <c r="N405" s="16">
        <v>29308092101529</v>
      </c>
      <c r="O405" s="16" t="s">
        <v>3596</v>
      </c>
      <c r="P405" s="16" t="s">
        <v>3597</v>
      </c>
      <c r="Q405" s="16" t="s">
        <v>1815</v>
      </c>
      <c r="R405" s="16" t="s">
        <v>3598</v>
      </c>
      <c r="S405" s="19" t="s">
        <v>3599</v>
      </c>
      <c r="T405" s="20" t="s">
        <v>3600</v>
      </c>
      <c r="U405" s="16" t="s">
        <v>3601</v>
      </c>
      <c r="V405" s="16">
        <v>1019798732801</v>
      </c>
      <c r="W405" s="30" t="s">
        <v>3602</v>
      </c>
      <c r="X405" s="18" t="s">
        <v>542</v>
      </c>
      <c r="Y405" s="18" t="s">
        <v>98</v>
      </c>
      <c r="Z405" s="18" t="s">
        <v>1815</v>
      </c>
      <c r="AA405" s="16" t="s">
        <v>3066</v>
      </c>
      <c r="AB405" s="16" t="s">
        <v>3482</v>
      </c>
      <c r="AC405" s="16" t="s">
        <v>3483</v>
      </c>
      <c r="AD405" s="123" t="str">
        <f t="shared" si="6"/>
        <v>External Transfer-Other banks</v>
      </c>
      <c r="AE405" s="123" t="str">
        <f>VLOOKUP(Table1[[#This Row],[Name of bank]],'اكواد البنوك'!$A$2:$B$34,2,0)</f>
        <v>EBILEGCXXXX</v>
      </c>
      <c r="AF405" s="21" t="s">
        <v>227</v>
      </c>
      <c r="AG405" s="15" t="s">
        <v>49</v>
      </c>
    </row>
    <row r="406" spans="1:33">
      <c r="A406" s="14">
        <v>405</v>
      </c>
      <c r="B406" s="14">
        <f>B405</f>
        <v>201</v>
      </c>
      <c r="C406" s="14">
        <v>302</v>
      </c>
      <c r="D406" s="15" t="s">
        <v>1839</v>
      </c>
      <c r="E406" s="16" t="s">
        <v>3604</v>
      </c>
      <c r="F406" s="32" t="s">
        <v>3605</v>
      </c>
      <c r="G406" s="17" t="s">
        <v>3606</v>
      </c>
      <c r="H406" s="18" t="s">
        <v>3607</v>
      </c>
      <c r="I406" s="16" t="s">
        <v>3608</v>
      </c>
      <c r="J406" s="16" t="s">
        <v>86</v>
      </c>
      <c r="K406" s="16" t="s">
        <v>148</v>
      </c>
      <c r="L406" s="16">
        <v>62203007</v>
      </c>
      <c r="M406" s="16" t="s">
        <v>136</v>
      </c>
      <c r="N406" s="16">
        <v>28311140101568</v>
      </c>
      <c r="O406" s="16" t="s">
        <v>3609</v>
      </c>
      <c r="P406" s="16" t="s">
        <v>3610</v>
      </c>
      <c r="Q406" s="16" t="s">
        <v>1815</v>
      </c>
      <c r="R406" s="16" t="s">
        <v>1849</v>
      </c>
      <c r="S406" s="76" t="s">
        <v>3611</v>
      </c>
      <c r="T406" s="76" t="s">
        <v>1464</v>
      </c>
      <c r="U406" s="76" t="s">
        <v>1851</v>
      </c>
      <c r="V406" s="73" t="s">
        <v>3612</v>
      </c>
      <c r="W406" s="74" t="s">
        <v>3613</v>
      </c>
      <c r="X406" s="18" t="s">
        <v>542</v>
      </c>
      <c r="Y406" s="18" t="s">
        <v>98</v>
      </c>
      <c r="Z406" s="18" t="s">
        <v>1815</v>
      </c>
      <c r="AA406" s="16" t="s">
        <v>3066</v>
      </c>
      <c r="AB406" s="16" t="s">
        <v>3482</v>
      </c>
      <c r="AC406" s="16" t="s">
        <v>3483</v>
      </c>
      <c r="AD406" s="123" t="str">
        <f t="shared" si="6"/>
        <v>External Transfer-Other banks</v>
      </c>
      <c r="AE406" s="123" t="str">
        <f>VLOOKUP(Table1[[#This Row],[Name of bank]],'اكواد البنوك'!$A$2:$B$34,2,0)</f>
        <v>HDBKEGCAXXX</v>
      </c>
      <c r="AF406" s="21" t="s">
        <v>1144</v>
      </c>
      <c r="AG406" s="15" t="s">
        <v>2054</v>
      </c>
    </row>
    <row r="407" spans="1:33">
      <c r="A407" s="14">
        <v>406</v>
      </c>
      <c r="B407" s="14">
        <f>B406</f>
        <v>201</v>
      </c>
      <c r="C407" s="14" t="e">
        <v>#N/A</v>
      </c>
      <c r="D407" s="15" t="s">
        <v>1831</v>
      </c>
      <c r="E407" s="16" t="s">
        <v>3615</v>
      </c>
      <c r="F407" s="32" t="s">
        <v>3616</v>
      </c>
      <c r="G407" s="17" t="s">
        <v>3617</v>
      </c>
      <c r="H407" s="18" t="s">
        <v>3618</v>
      </c>
      <c r="I407" s="16" t="s">
        <v>1831</v>
      </c>
      <c r="J407" s="16"/>
      <c r="K407" s="16" t="s">
        <v>1831</v>
      </c>
      <c r="L407" s="16" t="s">
        <v>1836</v>
      </c>
      <c r="M407" s="16" t="s">
        <v>3619</v>
      </c>
      <c r="N407" s="16">
        <v>28504282102912</v>
      </c>
      <c r="O407" s="16"/>
      <c r="P407" s="16"/>
      <c r="Q407" s="16"/>
      <c r="R407" s="16"/>
      <c r="S407" s="19"/>
      <c r="T407" s="20" t="s">
        <v>1837</v>
      </c>
      <c r="U407" s="16"/>
      <c r="V407" s="16"/>
      <c r="W407" s="30" t="s">
        <v>1838</v>
      </c>
      <c r="X407" s="18" t="s">
        <v>542</v>
      </c>
      <c r="Y407" s="18" t="s">
        <v>98</v>
      </c>
      <c r="Z407" s="18" t="s">
        <v>1815</v>
      </c>
      <c r="AA407" s="16" t="s">
        <v>3066</v>
      </c>
      <c r="AB407" s="16" t="s">
        <v>3482</v>
      </c>
      <c r="AC407" s="16" t="s">
        <v>3483</v>
      </c>
      <c r="AD407" s="123" t="str">
        <f t="shared" si="6"/>
        <v>FUE</v>
      </c>
      <c r="AE407" s="123" t="str">
        <f>VLOOKUP(Table1[[#This Row],[Name of bank]],'اكواد البنوك'!$A$2:$B$34,2,0)</f>
        <v>FUE</v>
      </c>
      <c r="AF407" s="21" t="s">
        <v>1838</v>
      </c>
      <c r="AG407" s="15" t="s">
        <v>49</v>
      </c>
    </row>
    <row r="408" spans="1:33">
      <c r="A408" s="14">
        <v>407</v>
      </c>
      <c r="B408" s="14">
        <v>202</v>
      </c>
      <c r="C408" s="14" t="e">
        <v>#N/A</v>
      </c>
      <c r="D408" s="15" t="s">
        <v>1831</v>
      </c>
      <c r="E408" s="16" t="s">
        <v>3620</v>
      </c>
      <c r="F408" s="32" t="s">
        <v>10014</v>
      </c>
      <c r="G408" s="17" t="s">
        <v>3621</v>
      </c>
      <c r="H408" s="18" t="s">
        <v>3622</v>
      </c>
      <c r="I408" s="16" t="s">
        <v>1831</v>
      </c>
      <c r="J408" s="16"/>
      <c r="K408" s="16"/>
      <c r="L408" s="16" t="s">
        <v>1836</v>
      </c>
      <c r="M408" s="16" t="s">
        <v>3623</v>
      </c>
      <c r="N408" s="16">
        <v>28512108800093</v>
      </c>
      <c r="O408" s="16"/>
      <c r="P408" s="16"/>
      <c r="Q408" s="16"/>
      <c r="R408" s="16"/>
      <c r="S408" s="19"/>
      <c r="T408" s="20" t="s">
        <v>1837</v>
      </c>
      <c r="U408" s="16"/>
      <c r="V408" s="16"/>
      <c r="W408" s="30" t="s">
        <v>1838</v>
      </c>
      <c r="X408" s="18" t="s">
        <v>542</v>
      </c>
      <c r="Y408" s="18" t="s">
        <v>98</v>
      </c>
      <c r="Z408" s="18" t="s">
        <v>1815</v>
      </c>
      <c r="AA408" s="16" t="s">
        <v>3066</v>
      </c>
      <c r="AB408" s="16" t="s">
        <v>3482</v>
      </c>
      <c r="AC408" s="16" t="s">
        <v>3483</v>
      </c>
      <c r="AD408" s="123" t="str">
        <f t="shared" si="6"/>
        <v>FUE</v>
      </c>
      <c r="AE408" s="123" t="str">
        <f>VLOOKUP(Table1[[#This Row],[Name of bank]],'اكواد البنوك'!$A$2:$B$34,2,0)</f>
        <v>FUE</v>
      </c>
      <c r="AF408" s="21" t="s">
        <v>1838</v>
      </c>
      <c r="AG408" s="15" t="s">
        <v>49</v>
      </c>
    </row>
    <row r="409" spans="1:33">
      <c r="A409" s="14">
        <v>408</v>
      </c>
      <c r="B409" s="14">
        <f>B408</f>
        <v>202</v>
      </c>
      <c r="C409" s="14" t="e">
        <v>#N/A</v>
      </c>
      <c r="D409" s="15" t="s">
        <v>1839</v>
      </c>
      <c r="E409" s="16" t="s">
        <v>3624</v>
      </c>
      <c r="F409" s="32" t="s">
        <v>3625</v>
      </c>
      <c r="G409" s="17" t="s">
        <v>3626</v>
      </c>
      <c r="H409" s="18" t="s">
        <v>3627</v>
      </c>
      <c r="I409" s="16" t="s">
        <v>3628</v>
      </c>
      <c r="J409" s="16" t="s">
        <v>1845</v>
      </c>
      <c r="K409" s="16" t="s">
        <v>3629</v>
      </c>
      <c r="L409" s="16">
        <v>58235993</v>
      </c>
      <c r="M409" s="16" t="s">
        <v>136</v>
      </c>
      <c r="N409" s="16" t="s">
        <v>3630</v>
      </c>
      <c r="O409" s="16" t="s">
        <v>3631</v>
      </c>
      <c r="P409" s="16" t="s">
        <v>3632</v>
      </c>
      <c r="Q409" s="16" t="s">
        <v>1815</v>
      </c>
      <c r="R409" s="16" t="s">
        <v>1849</v>
      </c>
      <c r="S409" s="19" t="s">
        <v>3625</v>
      </c>
      <c r="T409" s="20" t="s">
        <v>1464</v>
      </c>
      <c r="U409" s="16" t="s">
        <v>3633</v>
      </c>
      <c r="V409" s="16" t="s">
        <v>3634</v>
      </c>
      <c r="W409" s="30" t="s">
        <v>3635</v>
      </c>
      <c r="X409" s="18" t="s">
        <v>542</v>
      </c>
      <c r="Y409" s="18" t="s">
        <v>98</v>
      </c>
      <c r="Z409" s="18" t="s">
        <v>1815</v>
      </c>
      <c r="AA409" s="16" t="s">
        <v>3066</v>
      </c>
      <c r="AB409" s="16" t="s">
        <v>3482</v>
      </c>
      <c r="AC409" s="16" t="s">
        <v>3483</v>
      </c>
      <c r="AD409" s="123" t="str">
        <f t="shared" si="6"/>
        <v>External Transfer-Other banks</v>
      </c>
      <c r="AE409" s="123" t="str">
        <f>VLOOKUP(Table1[[#This Row],[Name of bank]],'اكواد البنوك'!$A$2:$B$34,2,0)</f>
        <v>HDBKEGCAXXX</v>
      </c>
      <c r="AF409" s="21" t="s">
        <v>560</v>
      </c>
      <c r="AG409" s="15" t="s">
        <v>49</v>
      </c>
    </row>
    <row r="410" spans="1:33">
      <c r="A410" s="14">
        <v>409</v>
      </c>
      <c r="B410" s="14">
        <v>203</v>
      </c>
      <c r="C410" s="14">
        <v>501</v>
      </c>
      <c r="D410" s="15" t="s">
        <v>1839</v>
      </c>
      <c r="E410" s="16" t="s">
        <v>3636</v>
      </c>
      <c r="F410" s="32" t="s">
        <v>3637</v>
      </c>
      <c r="G410" s="17" t="s">
        <v>3638</v>
      </c>
      <c r="H410" s="18">
        <v>201101130199</v>
      </c>
      <c r="I410" s="16" t="s">
        <v>3639</v>
      </c>
      <c r="J410" s="16" t="s">
        <v>86</v>
      </c>
      <c r="K410" s="16" t="s">
        <v>3640</v>
      </c>
      <c r="L410" s="16" t="s">
        <v>136</v>
      </c>
      <c r="M410" s="16" t="s">
        <v>136</v>
      </c>
      <c r="N410" s="16">
        <v>29402060101761</v>
      </c>
      <c r="O410" s="16" t="s">
        <v>3641</v>
      </c>
      <c r="P410" s="16" t="s">
        <v>3642</v>
      </c>
      <c r="Q410" s="16" t="s">
        <v>1815</v>
      </c>
      <c r="R410" s="16" t="s">
        <v>1849</v>
      </c>
      <c r="S410" s="76" t="s">
        <v>3643</v>
      </c>
      <c r="T410" s="76" t="s">
        <v>40</v>
      </c>
      <c r="U410" s="76" t="s">
        <v>3644</v>
      </c>
      <c r="V410" s="76" t="s">
        <v>3645</v>
      </c>
      <c r="W410" s="76" t="s">
        <v>3646</v>
      </c>
      <c r="X410" s="18" t="s">
        <v>542</v>
      </c>
      <c r="Y410" s="18" t="s">
        <v>98</v>
      </c>
      <c r="Z410" s="18" t="s">
        <v>1815</v>
      </c>
      <c r="AA410" s="16" t="s">
        <v>3066</v>
      </c>
      <c r="AB410" s="16" t="s">
        <v>3482</v>
      </c>
      <c r="AC410" s="16" t="s">
        <v>3483</v>
      </c>
      <c r="AD410" s="123" t="str">
        <f t="shared" si="6"/>
        <v>External Transfer-NBE</v>
      </c>
      <c r="AE410" s="123" t="str">
        <f>VLOOKUP(Table1[[#This Row],[Name of bank]],'اكواد البنوك'!$A$2:$B$34,2,0)</f>
        <v>NBEGEGCXXXX</v>
      </c>
      <c r="AF410" s="21" t="s">
        <v>1144</v>
      </c>
      <c r="AG410" s="15" t="s">
        <v>1073</v>
      </c>
    </row>
    <row r="411" spans="1:33">
      <c r="A411" s="14">
        <v>410</v>
      </c>
      <c r="B411" s="14">
        <f>B410</f>
        <v>203</v>
      </c>
      <c r="C411" s="14" t="e">
        <v>#N/A</v>
      </c>
      <c r="D411" s="15" t="s">
        <v>1831</v>
      </c>
      <c r="E411" s="16" t="s">
        <v>3647</v>
      </c>
      <c r="F411" s="32" t="s">
        <v>10178</v>
      </c>
      <c r="G411" s="17" t="s">
        <v>3648</v>
      </c>
      <c r="H411" s="18" t="s">
        <v>3649</v>
      </c>
      <c r="I411" s="16" t="s">
        <v>1831</v>
      </c>
      <c r="J411" s="16"/>
      <c r="K411" s="16"/>
      <c r="L411" s="16" t="s">
        <v>1836</v>
      </c>
      <c r="M411" s="16" t="s">
        <v>1996</v>
      </c>
      <c r="N411" s="16" t="s">
        <v>3650</v>
      </c>
      <c r="O411" s="16"/>
      <c r="P411" s="16"/>
      <c r="Q411" s="16"/>
      <c r="R411" s="16"/>
      <c r="S411" s="19"/>
      <c r="T411" s="20" t="s">
        <v>1837</v>
      </c>
      <c r="U411" s="16"/>
      <c r="V411" s="16"/>
      <c r="W411" s="30" t="s">
        <v>1838</v>
      </c>
      <c r="X411" s="18" t="s">
        <v>542</v>
      </c>
      <c r="Y411" s="18" t="s">
        <v>98</v>
      </c>
      <c r="Z411" s="18" t="s">
        <v>1815</v>
      </c>
      <c r="AA411" s="16" t="s">
        <v>3066</v>
      </c>
      <c r="AB411" s="16" t="s">
        <v>3482</v>
      </c>
      <c r="AC411" s="16" t="s">
        <v>3483</v>
      </c>
      <c r="AD411" s="123" t="str">
        <f t="shared" si="6"/>
        <v>FUE</v>
      </c>
      <c r="AE411" s="123" t="str">
        <f>VLOOKUP(Table1[[#This Row],[Name of bank]],'اكواد البنوك'!$A$2:$B$34,2,0)</f>
        <v>FUE</v>
      </c>
      <c r="AF411" s="21" t="s">
        <v>1838</v>
      </c>
      <c r="AG411" s="15" t="s">
        <v>49</v>
      </c>
    </row>
    <row r="412" spans="1:33">
      <c r="A412" s="14">
        <v>411</v>
      </c>
      <c r="B412" s="14">
        <v>205</v>
      </c>
      <c r="C412" s="14" t="e">
        <v>#N/A</v>
      </c>
      <c r="D412" s="15" t="s">
        <v>1831</v>
      </c>
      <c r="E412" s="16" t="s">
        <v>3651</v>
      </c>
      <c r="F412" s="32" t="s">
        <v>3652</v>
      </c>
      <c r="G412" s="17" t="s">
        <v>3653</v>
      </c>
      <c r="H412" s="18" t="s">
        <v>3654</v>
      </c>
      <c r="I412" s="16" t="s">
        <v>1831</v>
      </c>
      <c r="J412" s="16"/>
      <c r="K412" s="16" t="s">
        <v>1831</v>
      </c>
      <c r="L412" s="16" t="s">
        <v>1836</v>
      </c>
      <c r="M412" s="16"/>
      <c r="N412" s="16">
        <v>30102200101075</v>
      </c>
      <c r="O412" s="16"/>
      <c r="P412" s="16"/>
      <c r="Q412" s="16"/>
      <c r="R412" s="16"/>
      <c r="S412" s="19"/>
      <c r="T412" s="20" t="s">
        <v>1837</v>
      </c>
      <c r="U412" s="16"/>
      <c r="V412" s="16"/>
      <c r="W412" s="30" t="s">
        <v>1838</v>
      </c>
      <c r="X412" s="18" t="s">
        <v>542</v>
      </c>
      <c r="Y412" s="18" t="s">
        <v>98</v>
      </c>
      <c r="Z412" s="18" t="s">
        <v>1815</v>
      </c>
      <c r="AA412" s="16" t="s">
        <v>3066</v>
      </c>
      <c r="AB412" s="16" t="s">
        <v>3482</v>
      </c>
      <c r="AC412" s="16" t="s">
        <v>3483</v>
      </c>
      <c r="AD412" s="123" t="str">
        <f t="shared" si="6"/>
        <v>FUE</v>
      </c>
      <c r="AE412" s="123" t="str">
        <f>VLOOKUP(Table1[[#This Row],[Name of bank]],'اكواد البنوك'!$A$2:$B$34,2,0)</f>
        <v>FUE</v>
      </c>
      <c r="AF412" s="21" t="s">
        <v>1838</v>
      </c>
      <c r="AG412" s="15" t="s">
        <v>49</v>
      </c>
    </row>
    <row r="413" spans="1:33">
      <c r="A413" s="14">
        <v>412</v>
      </c>
      <c r="B413" s="14">
        <f>B412</f>
        <v>205</v>
      </c>
      <c r="C413" s="14" t="e">
        <v>#N/A</v>
      </c>
      <c r="D413" s="15" t="s">
        <v>1839</v>
      </c>
      <c r="E413" s="16" t="s">
        <v>10336</v>
      </c>
      <c r="F413" s="32" t="s">
        <v>3655</v>
      </c>
      <c r="G413" s="17" t="s">
        <v>3656</v>
      </c>
      <c r="H413" s="18" t="s">
        <v>3657</v>
      </c>
      <c r="I413" s="16" t="s">
        <v>2420</v>
      </c>
      <c r="J413" s="16" t="s">
        <v>86</v>
      </c>
      <c r="K413" s="16" t="s">
        <v>553</v>
      </c>
      <c r="L413" s="16">
        <v>1141256</v>
      </c>
      <c r="M413" s="16">
        <v>484568809</v>
      </c>
      <c r="N413" s="16">
        <v>28503280102374</v>
      </c>
      <c r="O413" s="16" t="s">
        <v>3658</v>
      </c>
      <c r="P413" s="16" t="s">
        <v>3659</v>
      </c>
      <c r="Q413" s="16" t="s">
        <v>1815</v>
      </c>
      <c r="R413" s="16" t="s">
        <v>1849</v>
      </c>
      <c r="S413" s="78" t="s">
        <v>3660</v>
      </c>
      <c r="T413" s="79" t="s">
        <v>40</v>
      </c>
      <c r="U413" s="80" t="s">
        <v>5202</v>
      </c>
      <c r="V413" s="80" t="s">
        <v>3661</v>
      </c>
      <c r="W413" s="81" t="s">
        <v>10378</v>
      </c>
      <c r="X413" s="18" t="s">
        <v>542</v>
      </c>
      <c r="Y413" s="18" t="s">
        <v>98</v>
      </c>
      <c r="Z413" s="18" t="s">
        <v>1815</v>
      </c>
      <c r="AA413" s="16" t="s">
        <v>3066</v>
      </c>
      <c r="AB413" s="16" t="s">
        <v>3482</v>
      </c>
      <c r="AC413" s="16" t="s">
        <v>3483</v>
      </c>
      <c r="AD413" s="123" t="str">
        <f t="shared" si="6"/>
        <v>External Transfer-NBE</v>
      </c>
      <c r="AE413" s="123" t="str">
        <f>VLOOKUP(Table1[[#This Row],[Name of bank]],'اكواد البنوك'!$A$2:$B$34,2,0)</f>
        <v>NBEGEGCXXXX</v>
      </c>
      <c r="AF413" s="82" t="s">
        <v>2610</v>
      </c>
      <c r="AG413" s="15" t="s">
        <v>2054</v>
      </c>
    </row>
    <row r="414" spans="1:33">
      <c r="A414" s="14">
        <v>413</v>
      </c>
      <c r="B414" s="14" t="s">
        <v>206</v>
      </c>
      <c r="C414" s="14" t="e">
        <v>#N/A</v>
      </c>
      <c r="D414" s="15" t="s">
        <v>1831</v>
      </c>
      <c r="E414" s="16" t="s">
        <v>3662</v>
      </c>
      <c r="F414" s="32" t="s">
        <v>3663</v>
      </c>
      <c r="G414" s="17" t="s">
        <v>3664</v>
      </c>
      <c r="H414" s="18" t="s">
        <v>3665</v>
      </c>
      <c r="I414" s="16" t="s">
        <v>1831</v>
      </c>
      <c r="J414" s="16"/>
      <c r="K414" s="16"/>
      <c r="L414" s="16" t="s">
        <v>1836</v>
      </c>
      <c r="M414" s="16">
        <v>34102129</v>
      </c>
      <c r="N414" s="16" t="s">
        <v>3666</v>
      </c>
      <c r="O414" s="16"/>
      <c r="P414" s="16"/>
      <c r="Q414" s="16"/>
      <c r="R414" s="16"/>
      <c r="S414" s="19"/>
      <c r="T414" s="20" t="s">
        <v>1837</v>
      </c>
      <c r="U414" s="16"/>
      <c r="V414" s="16"/>
      <c r="W414" s="30" t="s">
        <v>1838</v>
      </c>
      <c r="X414" s="18" t="s">
        <v>2096</v>
      </c>
      <c r="Y414" s="18" t="s">
        <v>98</v>
      </c>
      <c r="Z414" s="18" t="s">
        <v>1815</v>
      </c>
      <c r="AA414" s="16" t="s">
        <v>3066</v>
      </c>
      <c r="AB414" s="16" t="s">
        <v>3482</v>
      </c>
      <c r="AC414" s="16" t="s">
        <v>3483</v>
      </c>
      <c r="AD414" s="123" t="str">
        <f t="shared" si="6"/>
        <v>FUE</v>
      </c>
      <c r="AE414" s="123" t="str">
        <f>VLOOKUP(Table1[[#This Row],[Name of bank]],'اكواد البنوك'!$A$2:$B$34,2,0)</f>
        <v>FUE</v>
      </c>
      <c r="AF414" s="21" t="s">
        <v>1838</v>
      </c>
      <c r="AG414" s="15" t="s">
        <v>49</v>
      </c>
    </row>
    <row r="415" spans="1:33">
      <c r="A415" s="14">
        <v>414</v>
      </c>
      <c r="B415" s="14" t="str">
        <f>B414</f>
        <v>3rd Floor</v>
      </c>
      <c r="C415" s="14" t="e">
        <v>#N/A</v>
      </c>
      <c r="D415" s="15" t="s">
        <v>1855</v>
      </c>
      <c r="E415" s="16" t="s">
        <v>3667</v>
      </c>
      <c r="F415" s="32" t="s">
        <v>3668</v>
      </c>
      <c r="G415" s="17" t="s">
        <v>3669</v>
      </c>
      <c r="H415" s="18">
        <v>201142141701</v>
      </c>
      <c r="I415" s="16" t="s">
        <v>3670</v>
      </c>
      <c r="J415" s="16" t="s">
        <v>1845</v>
      </c>
      <c r="K415" s="16" t="s">
        <v>1996</v>
      </c>
      <c r="L415" s="16" t="s">
        <v>1996</v>
      </c>
      <c r="M415" s="16" t="s">
        <v>1996</v>
      </c>
      <c r="N415" s="16">
        <v>29707141400474</v>
      </c>
      <c r="O415" s="16" t="s">
        <v>3671</v>
      </c>
      <c r="P415" s="16" t="s">
        <v>3672</v>
      </c>
      <c r="Q415" s="16" t="s">
        <v>1815</v>
      </c>
      <c r="R415" s="16" t="s">
        <v>1849</v>
      </c>
      <c r="S415" s="19" t="s">
        <v>1861</v>
      </c>
      <c r="T415" s="20" t="s">
        <v>307</v>
      </c>
      <c r="U415" s="16" t="s">
        <v>10222</v>
      </c>
      <c r="V415" s="16"/>
      <c r="W415" s="30" t="s">
        <v>10211</v>
      </c>
      <c r="X415" s="18" t="s">
        <v>97</v>
      </c>
      <c r="Y415" s="18" t="s">
        <v>98</v>
      </c>
      <c r="Z415" s="18" t="s">
        <v>1815</v>
      </c>
      <c r="AA415" s="16" t="s">
        <v>3066</v>
      </c>
      <c r="AB415" s="16" t="s">
        <v>3482</v>
      </c>
      <c r="AC415" s="16" t="s">
        <v>3483</v>
      </c>
      <c r="AD415" s="123" t="str">
        <f t="shared" si="6"/>
        <v>External Transfer-Other banks</v>
      </c>
      <c r="AE415" s="123" t="str">
        <f>VLOOKUP(Table1[[#This Row],[Name of bank]],'اكواد البنوك'!$A$2:$B$34,2,0)</f>
        <v>CIBEEGCXXXX</v>
      </c>
      <c r="AF415" s="21" t="s">
        <v>10372</v>
      </c>
      <c r="AG415" s="15" t="s">
        <v>1862</v>
      </c>
    </row>
    <row r="416" spans="1:33">
      <c r="A416" s="14">
        <v>415</v>
      </c>
      <c r="B416" s="14">
        <v>301</v>
      </c>
      <c r="C416" s="14">
        <v>3</v>
      </c>
      <c r="D416" s="15" t="s">
        <v>1839</v>
      </c>
      <c r="E416" s="16" t="s">
        <v>3673</v>
      </c>
      <c r="F416" s="32" t="s">
        <v>3674</v>
      </c>
      <c r="G416" s="17" t="s">
        <v>3675</v>
      </c>
      <c r="H416" s="18" t="s">
        <v>3676</v>
      </c>
      <c r="I416" s="16" t="s">
        <v>3677</v>
      </c>
      <c r="J416" s="16" t="s">
        <v>173</v>
      </c>
      <c r="K416" s="16" t="s">
        <v>3678</v>
      </c>
      <c r="L416" s="16">
        <v>6996516</v>
      </c>
      <c r="M416" s="16" t="s">
        <v>136</v>
      </c>
      <c r="N416" s="16">
        <v>28010260100263</v>
      </c>
      <c r="O416" s="16" t="s">
        <v>3679</v>
      </c>
      <c r="P416" s="16" t="s">
        <v>3680</v>
      </c>
      <c r="Q416" s="16" t="s">
        <v>1815</v>
      </c>
      <c r="R416" s="16" t="s">
        <v>1849</v>
      </c>
      <c r="S416" s="76" t="s">
        <v>3681</v>
      </c>
      <c r="T416" s="76" t="s">
        <v>40</v>
      </c>
      <c r="U416" s="76" t="s">
        <v>3682</v>
      </c>
      <c r="V416" s="73" t="s">
        <v>3683</v>
      </c>
      <c r="W416" s="74" t="s">
        <v>3684</v>
      </c>
      <c r="X416" s="18" t="s">
        <v>542</v>
      </c>
      <c r="Y416" s="18" t="s">
        <v>98</v>
      </c>
      <c r="Z416" s="18" t="s">
        <v>1815</v>
      </c>
      <c r="AA416" s="16" t="s">
        <v>3066</v>
      </c>
      <c r="AB416" s="16" t="s">
        <v>3482</v>
      </c>
      <c r="AC416" s="16" t="s">
        <v>3483</v>
      </c>
      <c r="AD416" s="123" t="str">
        <f t="shared" si="6"/>
        <v>External Transfer-NBE</v>
      </c>
      <c r="AE416" s="123" t="str">
        <f>VLOOKUP(Table1[[#This Row],[Name of bank]],'اكواد البنوك'!$A$2:$B$34,2,0)</f>
        <v>NBEGEGCXXXX</v>
      </c>
      <c r="AF416" s="21" t="s">
        <v>874</v>
      </c>
      <c r="AG416" s="15" t="s">
        <v>2054</v>
      </c>
    </row>
    <row r="417" spans="1:33">
      <c r="A417" s="14">
        <v>416</v>
      </c>
      <c r="B417" s="14">
        <f>B416</f>
        <v>301</v>
      </c>
      <c r="C417" s="14" t="e">
        <v>#N/A</v>
      </c>
      <c r="D417" s="15" t="s">
        <v>1831</v>
      </c>
      <c r="E417" s="16" t="s">
        <v>3685</v>
      </c>
      <c r="F417" s="32" t="s">
        <v>10183</v>
      </c>
      <c r="G417" s="17" t="s">
        <v>3686</v>
      </c>
      <c r="H417" s="18" t="s">
        <v>3687</v>
      </c>
      <c r="I417" s="16"/>
      <c r="J417" s="16"/>
      <c r="K417" s="16" t="s">
        <v>1831</v>
      </c>
      <c r="L417" s="16" t="s">
        <v>1836</v>
      </c>
      <c r="M417" s="16">
        <v>46727068</v>
      </c>
      <c r="N417" s="16">
        <v>29110221100173</v>
      </c>
      <c r="O417" s="16"/>
      <c r="P417" s="16"/>
      <c r="Q417" s="16"/>
      <c r="R417" s="16"/>
      <c r="S417" s="19"/>
      <c r="T417" s="20" t="s">
        <v>1837</v>
      </c>
      <c r="U417" s="16"/>
      <c r="V417" s="16"/>
      <c r="W417" s="30" t="s">
        <v>1838</v>
      </c>
      <c r="X417" s="18" t="s">
        <v>542</v>
      </c>
      <c r="Y417" s="18" t="s">
        <v>98</v>
      </c>
      <c r="Z417" s="18" t="s">
        <v>1815</v>
      </c>
      <c r="AA417" s="16" t="s">
        <v>3066</v>
      </c>
      <c r="AB417" s="16" t="s">
        <v>3482</v>
      </c>
      <c r="AC417" s="16" t="s">
        <v>3483</v>
      </c>
      <c r="AD417" s="123" t="str">
        <f t="shared" si="6"/>
        <v>FUE</v>
      </c>
      <c r="AE417" s="123" t="str">
        <f>VLOOKUP(Table1[[#This Row],[Name of bank]],'اكواد البنوك'!$A$2:$B$34,2,0)</f>
        <v>FUE</v>
      </c>
      <c r="AF417" s="21" t="s">
        <v>1838</v>
      </c>
      <c r="AG417" s="15" t="s">
        <v>49</v>
      </c>
    </row>
    <row r="418" spans="1:33">
      <c r="A418" s="14">
        <v>417</v>
      </c>
      <c r="B418" s="14">
        <v>302</v>
      </c>
      <c r="C418" s="14" t="e">
        <v>#N/A</v>
      </c>
      <c r="D418" s="15" t="s">
        <v>1839</v>
      </c>
      <c r="E418" s="16" t="s">
        <v>3688</v>
      </c>
      <c r="F418" s="32" t="s">
        <v>3689</v>
      </c>
      <c r="G418" s="17" t="s">
        <v>3690</v>
      </c>
      <c r="H418" s="18" t="s">
        <v>3691</v>
      </c>
      <c r="I418" s="16" t="s">
        <v>3692</v>
      </c>
      <c r="J418" s="16" t="s">
        <v>86</v>
      </c>
      <c r="K418" s="16" t="s">
        <v>3693</v>
      </c>
      <c r="L418" s="16">
        <v>58738880</v>
      </c>
      <c r="M418" s="16">
        <v>892171</v>
      </c>
      <c r="N418" s="16">
        <v>28008142102427</v>
      </c>
      <c r="O418" s="16" t="s">
        <v>3694</v>
      </c>
      <c r="P418" s="16" t="s">
        <v>3695</v>
      </c>
      <c r="Q418" s="16" t="s">
        <v>1815</v>
      </c>
      <c r="R418" s="16" t="s">
        <v>1849</v>
      </c>
      <c r="S418" s="101" t="s">
        <v>3696</v>
      </c>
      <c r="T418" s="101" t="s">
        <v>908</v>
      </c>
      <c r="U418" s="101" t="s">
        <v>9945</v>
      </c>
      <c r="V418" s="106" t="s">
        <v>3697</v>
      </c>
      <c r="W418" s="109" t="s">
        <v>3698</v>
      </c>
      <c r="X418" s="18" t="s">
        <v>542</v>
      </c>
      <c r="Y418" s="18" t="s">
        <v>98</v>
      </c>
      <c r="Z418" s="18" t="s">
        <v>1815</v>
      </c>
      <c r="AA418" s="16" t="s">
        <v>3066</v>
      </c>
      <c r="AB418" s="16" t="s">
        <v>3482</v>
      </c>
      <c r="AC418" s="16" t="s">
        <v>3483</v>
      </c>
      <c r="AD418" s="123" t="str">
        <f t="shared" si="6"/>
        <v>External Transfer-Other banks</v>
      </c>
      <c r="AE418" s="123" t="str">
        <f>VLOOKUP(Table1[[#This Row],[Name of bank]],'اكواد البنوك'!$A$2:$B$34,2,0)</f>
        <v>ARAIEGCXXXX</v>
      </c>
      <c r="AF418" s="21" t="s">
        <v>1022</v>
      </c>
      <c r="AG418" s="15" t="s">
        <v>2054</v>
      </c>
    </row>
    <row r="419" spans="1:33">
      <c r="A419" s="14">
        <v>418</v>
      </c>
      <c r="B419" s="14">
        <f>B418</f>
        <v>302</v>
      </c>
      <c r="C419" s="14" t="e">
        <v>#N/A</v>
      </c>
      <c r="D419" s="15" t="s">
        <v>1831</v>
      </c>
      <c r="E419" s="16" t="s">
        <v>3699</v>
      </c>
      <c r="F419" s="32" t="s">
        <v>3700</v>
      </c>
      <c r="G419" s="17" t="s">
        <v>3701</v>
      </c>
      <c r="H419" s="18" t="s">
        <v>3702</v>
      </c>
      <c r="I419" s="16" t="s">
        <v>1831</v>
      </c>
      <c r="J419" s="16"/>
      <c r="K419" s="16"/>
      <c r="L419" s="16" t="s">
        <v>1836</v>
      </c>
      <c r="M419" s="16" t="s">
        <v>3703</v>
      </c>
      <c r="N419" s="16">
        <v>28712131700356</v>
      </c>
      <c r="O419" s="16"/>
      <c r="P419" s="16"/>
      <c r="Q419" s="16"/>
      <c r="R419" s="16"/>
      <c r="S419" s="19"/>
      <c r="T419" s="20" t="s">
        <v>1837</v>
      </c>
      <c r="U419" s="16"/>
      <c r="V419" s="16"/>
      <c r="W419" s="30" t="s">
        <v>1838</v>
      </c>
      <c r="X419" s="18" t="s">
        <v>542</v>
      </c>
      <c r="Y419" s="18" t="s">
        <v>98</v>
      </c>
      <c r="Z419" s="18" t="s">
        <v>1815</v>
      </c>
      <c r="AA419" s="16" t="s">
        <v>3066</v>
      </c>
      <c r="AB419" s="16" t="s">
        <v>3482</v>
      </c>
      <c r="AC419" s="16" t="s">
        <v>3483</v>
      </c>
      <c r="AD419" s="123" t="str">
        <f t="shared" si="6"/>
        <v>FUE</v>
      </c>
      <c r="AE419" s="123" t="str">
        <f>VLOOKUP(Table1[[#This Row],[Name of bank]],'اكواد البنوك'!$A$2:$B$34,2,0)</f>
        <v>FUE</v>
      </c>
      <c r="AF419" s="21" t="s">
        <v>1838</v>
      </c>
      <c r="AG419" s="15" t="s">
        <v>49</v>
      </c>
    </row>
    <row r="420" spans="1:33">
      <c r="A420" s="14">
        <v>419</v>
      </c>
      <c r="B420" s="14">
        <v>305</v>
      </c>
      <c r="C420" s="14" t="s">
        <v>4258</v>
      </c>
      <c r="D420" s="15" t="s">
        <v>1831</v>
      </c>
      <c r="E420" s="16" t="s">
        <v>3704</v>
      </c>
      <c r="F420" s="32" t="s">
        <v>10117</v>
      </c>
      <c r="G420" s="17" t="s">
        <v>3705</v>
      </c>
      <c r="H420" s="18" t="s">
        <v>3706</v>
      </c>
      <c r="I420" s="16" t="s">
        <v>1831</v>
      </c>
      <c r="J420" s="16"/>
      <c r="K420" s="16"/>
      <c r="L420" s="16" t="s">
        <v>1836</v>
      </c>
      <c r="M420" s="16" t="s">
        <v>3707</v>
      </c>
      <c r="N420" s="16">
        <v>29111070100393</v>
      </c>
      <c r="O420" s="16"/>
      <c r="P420" s="16"/>
      <c r="Q420" s="16"/>
      <c r="R420" s="16"/>
      <c r="S420" s="19"/>
      <c r="T420" s="20" t="s">
        <v>1837</v>
      </c>
      <c r="U420" s="16"/>
      <c r="V420" s="16"/>
      <c r="W420" s="30" t="s">
        <v>1838</v>
      </c>
      <c r="X420" s="18" t="s">
        <v>542</v>
      </c>
      <c r="Y420" s="18" t="s">
        <v>98</v>
      </c>
      <c r="Z420" s="18" t="s">
        <v>1815</v>
      </c>
      <c r="AA420" s="16" t="s">
        <v>3066</v>
      </c>
      <c r="AB420" s="16" t="s">
        <v>3482</v>
      </c>
      <c r="AC420" s="16" t="s">
        <v>3483</v>
      </c>
      <c r="AD420" s="123" t="str">
        <f t="shared" si="6"/>
        <v>FUE</v>
      </c>
      <c r="AE420" s="123" t="str">
        <f>VLOOKUP(Table1[[#This Row],[Name of bank]],'اكواد البنوك'!$A$2:$B$34,2,0)</f>
        <v>FUE</v>
      </c>
      <c r="AF420" s="21" t="s">
        <v>1838</v>
      </c>
      <c r="AG420" s="15" t="s">
        <v>49</v>
      </c>
    </row>
    <row r="421" spans="1:33">
      <c r="A421" s="14">
        <v>420</v>
      </c>
      <c r="B421" s="14">
        <f>B420</f>
        <v>305</v>
      </c>
      <c r="C421" s="14" t="e">
        <v>#N/A</v>
      </c>
      <c r="D421" s="15" t="s">
        <v>1839</v>
      </c>
      <c r="E421" s="16" t="s">
        <v>3708</v>
      </c>
      <c r="F421" s="32" t="s">
        <v>3709</v>
      </c>
      <c r="G421" s="17" t="s">
        <v>3710</v>
      </c>
      <c r="H421" s="18" t="s">
        <v>3711</v>
      </c>
      <c r="I421" s="16" t="s">
        <v>3712</v>
      </c>
      <c r="J421" s="16" t="s">
        <v>1845</v>
      </c>
      <c r="K421" s="16" t="s">
        <v>148</v>
      </c>
      <c r="L421" s="16">
        <v>52058277</v>
      </c>
      <c r="M421" s="16">
        <v>100675891</v>
      </c>
      <c r="N421" s="16">
        <v>26906031300085</v>
      </c>
      <c r="O421" s="16" t="s">
        <v>3713</v>
      </c>
      <c r="P421" s="16" t="s">
        <v>3714</v>
      </c>
      <c r="Q421" s="16" t="s">
        <v>1815</v>
      </c>
      <c r="R421" s="16" t="s">
        <v>1882</v>
      </c>
      <c r="S421" s="19" t="s">
        <v>3709</v>
      </c>
      <c r="T421" s="20" t="s">
        <v>40</v>
      </c>
      <c r="U421" s="16" t="s">
        <v>3715</v>
      </c>
      <c r="V421" s="16" t="s">
        <v>3716</v>
      </c>
      <c r="W421" s="30" t="s">
        <v>3717</v>
      </c>
      <c r="X421" s="18" t="s">
        <v>542</v>
      </c>
      <c r="Y421" s="18" t="s">
        <v>98</v>
      </c>
      <c r="Z421" s="18" t="s">
        <v>1815</v>
      </c>
      <c r="AA421" s="16" t="s">
        <v>3066</v>
      </c>
      <c r="AB421" s="16" t="s">
        <v>3482</v>
      </c>
      <c r="AC421" s="16" t="s">
        <v>3483</v>
      </c>
      <c r="AD421" s="123" t="str">
        <f t="shared" si="6"/>
        <v>External Transfer-NBE</v>
      </c>
      <c r="AE421" s="123" t="str">
        <f>VLOOKUP(Table1[[#This Row],[Name of bank]],'اكواد البنوك'!$A$2:$B$34,2,0)</f>
        <v>NBEGEGCXXXX</v>
      </c>
      <c r="AF421" s="21" t="s">
        <v>2163</v>
      </c>
      <c r="AG421" s="15" t="s">
        <v>49</v>
      </c>
    </row>
    <row r="422" spans="1:33">
      <c r="A422" s="14">
        <v>421</v>
      </c>
      <c r="B422" s="14" t="s">
        <v>2446</v>
      </c>
      <c r="C422" s="14" t="s">
        <v>206</v>
      </c>
      <c r="D422" s="15" t="s">
        <v>1703</v>
      </c>
      <c r="E422" s="16" t="s">
        <v>3718</v>
      </c>
      <c r="F422" s="32" t="s">
        <v>3719</v>
      </c>
      <c r="G422" s="17" t="s">
        <v>3720</v>
      </c>
      <c r="H422" s="18" t="s">
        <v>3721</v>
      </c>
      <c r="I422" s="16" t="s">
        <v>1703</v>
      </c>
      <c r="J422" s="16" t="s">
        <v>43</v>
      </c>
      <c r="K422" s="16" t="s">
        <v>3065</v>
      </c>
      <c r="L422" s="16"/>
      <c r="M422" s="16"/>
      <c r="N422" s="16"/>
      <c r="O422" s="16"/>
      <c r="P422" s="16"/>
      <c r="Q422" s="16"/>
      <c r="R422" s="16"/>
      <c r="S422" s="19"/>
      <c r="T422" s="20" t="s">
        <v>40</v>
      </c>
      <c r="U422" s="16"/>
      <c r="V422" s="16"/>
      <c r="W422" s="30">
        <v>126</v>
      </c>
      <c r="X422" s="18" t="s">
        <v>3223</v>
      </c>
      <c r="Y422" s="18" t="s">
        <v>43</v>
      </c>
      <c r="Z422" s="18" t="s">
        <v>1815</v>
      </c>
      <c r="AA422" s="16" t="s">
        <v>3066</v>
      </c>
      <c r="AB422" s="16" t="s">
        <v>3455</v>
      </c>
      <c r="AC422" s="16" t="s">
        <v>3456</v>
      </c>
      <c r="AD422" s="123" t="str">
        <f t="shared" si="6"/>
        <v>Internal Transfer</v>
      </c>
      <c r="AE422" s="123" t="str">
        <f>VLOOKUP(Table1[[#This Row],[Name of bank]],'اكواد البنوك'!$A$2:$B$34,2,0)</f>
        <v>NBEGEGCXXXX</v>
      </c>
      <c r="AF422" s="30">
        <v>126</v>
      </c>
      <c r="AG422" s="15" t="s">
        <v>49</v>
      </c>
    </row>
    <row r="423" spans="1:33">
      <c r="A423" s="14">
        <v>422</v>
      </c>
      <c r="B423" s="14" t="str">
        <f>B422</f>
        <v>Ground</v>
      </c>
      <c r="C423" s="14">
        <v>501</v>
      </c>
      <c r="D423" s="15" t="s">
        <v>1839</v>
      </c>
      <c r="E423" s="16" t="s">
        <v>3722</v>
      </c>
      <c r="F423" s="32" t="s">
        <v>10082</v>
      </c>
      <c r="G423" s="17" t="s">
        <v>3723</v>
      </c>
      <c r="H423" s="18" t="s">
        <v>3724</v>
      </c>
      <c r="I423" s="16" t="s">
        <v>3350</v>
      </c>
      <c r="J423" s="16" t="s">
        <v>86</v>
      </c>
      <c r="K423" s="16" t="s">
        <v>3725</v>
      </c>
      <c r="L423" s="16">
        <v>21086738</v>
      </c>
      <c r="M423" s="16" t="s">
        <v>234</v>
      </c>
      <c r="N423" s="16">
        <v>26604280100502</v>
      </c>
      <c r="O423" s="16" t="s">
        <v>3726</v>
      </c>
      <c r="P423" s="16" t="s">
        <v>3727</v>
      </c>
      <c r="Q423" s="16" t="s">
        <v>1815</v>
      </c>
      <c r="R423" s="16" t="s">
        <v>1849</v>
      </c>
      <c r="S423" s="19" t="s">
        <v>3722</v>
      </c>
      <c r="T423" s="20" t="s">
        <v>3728</v>
      </c>
      <c r="U423" s="16" t="s">
        <v>2778</v>
      </c>
      <c r="V423" s="16">
        <v>407574</v>
      </c>
      <c r="W423" s="30" t="s">
        <v>3729</v>
      </c>
      <c r="X423" s="18" t="s">
        <v>97</v>
      </c>
      <c r="Y423" s="18" t="s">
        <v>98</v>
      </c>
      <c r="Z423" s="18" t="s">
        <v>1815</v>
      </c>
      <c r="AA423" s="16" t="s">
        <v>3066</v>
      </c>
      <c r="AB423" s="16" t="s">
        <v>3455</v>
      </c>
      <c r="AC423" s="16" t="s">
        <v>3456</v>
      </c>
      <c r="AD423" s="123" t="str">
        <f t="shared" si="6"/>
        <v>External Transfer-Other banks</v>
      </c>
      <c r="AE423" s="123" t="str">
        <f>VLOOKUP(Table1[[#This Row],[Name of bank]],'اكواد البنوك'!$A$2:$B$34,2,0)</f>
        <v>ABRKEGCAXXX</v>
      </c>
      <c r="AF423" s="21" t="s">
        <v>3731</v>
      </c>
      <c r="AG423" s="15" t="s">
        <v>49</v>
      </c>
    </row>
    <row r="424" spans="1:33">
      <c r="A424" s="14">
        <v>423</v>
      </c>
      <c r="B424" s="14">
        <v>2</v>
      </c>
      <c r="C424" s="14" t="e">
        <v>#N/A</v>
      </c>
      <c r="D424" s="15" t="s">
        <v>1839</v>
      </c>
      <c r="E424" s="16" t="s">
        <v>3732</v>
      </c>
      <c r="F424" s="32" t="s">
        <v>3733</v>
      </c>
      <c r="G424" s="17" t="s">
        <v>3734</v>
      </c>
      <c r="H424" s="18" t="s">
        <v>3735</v>
      </c>
      <c r="I424" s="16" t="s">
        <v>2035</v>
      </c>
      <c r="J424" s="16" t="s">
        <v>2035</v>
      </c>
      <c r="K424" s="16" t="s">
        <v>160</v>
      </c>
      <c r="L424" s="16">
        <v>80316997</v>
      </c>
      <c r="M424" s="16" t="s">
        <v>3736</v>
      </c>
      <c r="N424" s="16">
        <v>29709131400304</v>
      </c>
      <c r="O424" s="16" t="s">
        <v>3737</v>
      </c>
      <c r="P424" s="16" t="s">
        <v>3738</v>
      </c>
      <c r="Q424" s="16" t="s">
        <v>1815</v>
      </c>
      <c r="R424" s="16" t="s">
        <v>1849</v>
      </c>
      <c r="S424" s="19" t="s">
        <v>3739</v>
      </c>
      <c r="T424" s="20" t="s">
        <v>176</v>
      </c>
      <c r="U424" s="16" t="s">
        <v>3740</v>
      </c>
      <c r="V424" s="16" t="s">
        <v>3741</v>
      </c>
      <c r="W424" s="30" t="s">
        <v>3742</v>
      </c>
      <c r="X424" s="18" t="s">
        <v>542</v>
      </c>
      <c r="Y424" s="18" t="s">
        <v>98</v>
      </c>
      <c r="Z424" s="18" t="s">
        <v>1815</v>
      </c>
      <c r="AA424" s="16" t="s">
        <v>3066</v>
      </c>
      <c r="AB424" s="16" t="s">
        <v>3455</v>
      </c>
      <c r="AC424" s="16" t="s">
        <v>3456</v>
      </c>
      <c r="AD424" s="123" t="str">
        <f t="shared" si="6"/>
        <v>External Transfer-Other banks</v>
      </c>
      <c r="AE424" s="123" t="str">
        <f>VLOOKUP(Table1[[#This Row],[Name of bank]],'اكواد البنوك'!$A$2:$B$34,2,0)</f>
        <v>BMISEGCXXXX</v>
      </c>
      <c r="AF424" s="21" t="s">
        <v>3743</v>
      </c>
      <c r="AG424" s="15" t="s">
        <v>49</v>
      </c>
    </row>
    <row r="425" spans="1:33">
      <c r="A425" s="14">
        <v>424</v>
      </c>
      <c r="B425" s="14">
        <f>B424</f>
        <v>2</v>
      </c>
      <c r="C425" s="14" t="e">
        <v>#N/A</v>
      </c>
      <c r="D425" s="15" t="s">
        <v>1839</v>
      </c>
      <c r="E425" s="16" t="s">
        <v>3744</v>
      </c>
      <c r="F425" s="32" t="s">
        <v>3745</v>
      </c>
      <c r="G425" s="17" t="s">
        <v>3746</v>
      </c>
      <c r="H425" s="18" t="s">
        <v>3747</v>
      </c>
      <c r="I425" s="16" t="s">
        <v>3748</v>
      </c>
      <c r="J425" s="16" t="s">
        <v>86</v>
      </c>
      <c r="K425" s="16" t="s">
        <v>3749</v>
      </c>
      <c r="L425" s="16">
        <v>19471183</v>
      </c>
      <c r="M425" s="16" t="s">
        <v>136</v>
      </c>
      <c r="N425" s="16">
        <v>28711191400894</v>
      </c>
      <c r="O425" s="16" t="s">
        <v>3750</v>
      </c>
      <c r="P425" s="16" t="s">
        <v>3751</v>
      </c>
      <c r="Q425" s="16" t="s">
        <v>1815</v>
      </c>
      <c r="R425" s="16" t="s">
        <v>1849</v>
      </c>
      <c r="S425" s="19" t="s">
        <v>3752</v>
      </c>
      <c r="T425" s="20" t="s">
        <v>176</v>
      </c>
      <c r="U425" s="16" t="s">
        <v>3753</v>
      </c>
      <c r="V425" s="16" t="s">
        <v>3754</v>
      </c>
      <c r="W425" s="30" t="s">
        <v>3755</v>
      </c>
      <c r="X425" s="18" t="s">
        <v>542</v>
      </c>
      <c r="Y425" s="18" t="s">
        <v>98</v>
      </c>
      <c r="Z425" s="18" t="s">
        <v>1815</v>
      </c>
      <c r="AA425" s="16" t="s">
        <v>3066</v>
      </c>
      <c r="AB425" s="16" t="s">
        <v>3455</v>
      </c>
      <c r="AC425" s="16" t="s">
        <v>3456</v>
      </c>
      <c r="AD425" s="123" t="str">
        <f t="shared" si="6"/>
        <v>External Transfer-Other banks</v>
      </c>
      <c r="AE425" s="123" t="str">
        <f>VLOOKUP(Table1[[#This Row],[Name of bank]],'اكواد البنوك'!$A$2:$B$34,2,0)</f>
        <v>BMISEGCXXXX</v>
      </c>
      <c r="AF425" s="21" t="s">
        <v>2532</v>
      </c>
      <c r="AG425" s="15" t="s">
        <v>49</v>
      </c>
    </row>
    <row r="426" spans="1:33">
      <c r="A426" s="14">
        <v>425</v>
      </c>
      <c r="B426" s="14">
        <v>3</v>
      </c>
      <c r="C426" s="14" t="e">
        <v>#N/A</v>
      </c>
      <c r="D426" s="15" t="s">
        <v>1839</v>
      </c>
      <c r="E426" s="16" t="s">
        <v>3756</v>
      </c>
      <c r="F426" s="32" t="s">
        <v>3757</v>
      </c>
      <c r="G426" s="17" t="s">
        <v>3758</v>
      </c>
      <c r="H426" s="18" t="s">
        <v>3759</v>
      </c>
      <c r="I426" s="16" t="s">
        <v>3760</v>
      </c>
      <c r="J426" s="16" t="s">
        <v>1845</v>
      </c>
      <c r="K426" s="16" t="s">
        <v>3761</v>
      </c>
      <c r="L426" s="16">
        <v>47060607</v>
      </c>
      <c r="M426" s="16">
        <v>10067591</v>
      </c>
      <c r="N426" s="16" t="s">
        <v>3762</v>
      </c>
      <c r="O426" s="16" t="s">
        <v>3763</v>
      </c>
      <c r="P426" s="16" t="s">
        <v>3764</v>
      </c>
      <c r="Q426" s="16" t="s">
        <v>1815</v>
      </c>
      <c r="R426" s="16" t="s">
        <v>1849</v>
      </c>
      <c r="S426" s="19" t="s">
        <v>3757</v>
      </c>
      <c r="T426" s="20" t="s">
        <v>176</v>
      </c>
      <c r="U426" s="16" t="s">
        <v>2255</v>
      </c>
      <c r="V426" s="16" t="s">
        <v>3765</v>
      </c>
      <c r="W426" s="30" t="s">
        <v>3766</v>
      </c>
      <c r="X426" s="18" t="s">
        <v>542</v>
      </c>
      <c r="Y426" s="18" t="s">
        <v>98</v>
      </c>
      <c r="Z426" s="18" t="s">
        <v>1815</v>
      </c>
      <c r="AA426" s="16" t="s">
        <v>3066</v>
      </c>
      <c r="AB426" s="16" t="s">
        <v>3455</v>
      </c>
      <c r="AC426" s="16" t="s">
        <v>3456</v>
      </c>
      <c r="AD426" s="123" t="str">
        <f t="shared" si="6"/>
        <v>External Transfer-Other banks</v>
      </c>
      <c r="AE426" s="123" t="str">
        <f>VLOOKUP(Table1[[#This Row],[Name of bank]],'اكواد البنوك'!$A$2:$B$34,2,0)</f>
        <v>BMISEGCXXXX</v>
      </c>
      <c r="AF426" s="21" t="s">
        <v>3767</v>
      </c>
      <c r="AG426" s="15" t="s">
        <v>49</v>
      </c>
    </row>
    <row r="427" spans="1:33">
      <c r="A427" s="14">
        <v>426</v>
      </c>
      <c r="B427" s="14">
        <f>B426</f>
        <v>3</v>
      </c>
      <c r="C427" s="14" t="e">
        <v>#N/A</v>
      </c>
      <c r="D427" s="15" t="s">
        <v>1831</v>
      </c>
      <c r="E427" s="16" t="s">
        <v>3768</v>
      </c>
      <c r="F427" s="32" t="s">
        <v>3769</v>
      </c>
      <c r="G427" s="17" t="s">
        <v>3770</v>
      </c>
      <c r="H427" s="18" t="s">
        <v>3771</v>
      </c>
      <c r="I427" s="16"/>
      <c r="J427" s="16"/>
      <c r="K427" s="16" t="s">
        <v>1831</v>
      </c>
      <c r="L427" s="16" t="s">
        <v>1836</v>
      </c>
      <c r="M427" s="16" t="s">
        <v>1996</v>
      </c>
      <c r="N427" s="16">
        <v>3080100103779</v>
      </c>
      <c r="O427" s="16"/>
      <c r="P427" s="16"/>
      <c r="Q427" s="16"/>
      <c r="R427" s="16"/>
      <c r="S427" s="19"/>
      <c r="T427" s="20" t="s">
        <v>1837</v>
      </c>
      <c r="U427" s="16"/>
      <c r="V427" s="16"/>
      <c r="W427" s="30" t="s">
        <v>1838</v>
      </c>
      <c r="X427" s="18" t="s">
        <v>542</v>
      </c>
      <c r="Y427" s="18" t="s">
        <v>98</v>
      </c>
      <c r="Z427" s="18" t="s">
        <v>1815</v>
      </c>
      <c r="AA427" s="16" t="s">
        <v>3066</v>
      </c>
      <c r="AB427" s="16" t="s">
        <v>3455</v>
      </c>
      <c r="AC427" s="16" t="s">
        <v>3456</v>
      </c>
      <c r="AD427" s="123" t="str">
        <f t="shared" si="6"/>
        <v>FUE</v>
      </c>
      <c r="AE427" s="123" t="str">
        <f>VLOOKUP(Table1[[#This Row],[Name of bank]],'اكواد البنوك'!$A$2:$B$34,2,0)</f>
        <v>FUE</v>
      </c>
      <c r="AF427" s="21" t="s">
        <v>1838</v>
      </c>
      <c r="AG427" s="15" t="s">
        <v>49</v>
      </c>
    </row>
    <row r="428" spans="1:33">
      <c r="A428" s="14">
        <v>427</v>
      </c>
      <c r="B428" s="14">
        <v>4</v>
      </c>
      <c r="C428" s="14">
        <v>403</v>
      </c>
      <c r="D428" s="15" t="s">
        <v>1831</v>
      </c>
      <c r="E428" s="16" t="s">
        <v>3772</v>
      </c>
      <c r="F428" s="32" t="s">
        <v>3773</v>
      </c>
      <c r="G428" s="17" t="s">
        <v>3774</v>
      </c>
      <c r="H428" s="18" t="s">
        <v>3775</v>
      </c>
      <c r="I428" s="16"/>
      <c r="J428" s="16"/>
      <c r="K428" s="16" t="s">
        <v>1831</v>
      </c>
      <c r="L428" s="16" t="s">
        <v>1836</v>
      </c>
      <c r="M428" s="16">
        <v>67849592</v>
      </c>
      <c r="N428" s="16" t="s">
        <v>3776</v>
      </c>
      <c r="O428" s="16"/>
      <c r="P428" s="16"/>
      <c r="Q428" s="16"/>
      <c r="R428" s="16"/>
      <c r="S428" s="19"/>
      <c r="T428" s="20" t="s">
        <v>1837</v>
      </c>
      <c r="U428" s="16"/>
      <c r="V428" s="16"/>
      <c r="W428" s="30" t="s">
        <v>1838</v>
      </c>
      <c r="X428" s="18" t="s">
        <v>542</v>
      </c>
      <c r="Y428" s="18" t="s">
        <v>98</v>
      </c>
      <c r="Z428" s="18" t="s">
        <v>1815</v>
      </c>
      <c r="AA428" s="16" t="s">
        <v>3066</v>
      </c>
      <c r="AB428" s="16" t="s">
        <v>3455</v>
      </c>
      <c r="AC428" s="16" t="s">
        <v>3456</v>
      </c>
      <c r="AD428" s="123" t="str">
        <f t="shared" si="6"/>
        <v>FUE</v>
      </c>
      <c r="AE428" s="123" t="str">
        <f>VLOOKUP(Table1[[#This Row],[Name of bank]],'اكواد البنوك'!$A$2:$B$34,2,0)</f>
        <v>FUE</v>
      </c>
      <c r="AF428" s="21" t="s">
        <v>1838</v>
      </c>
      <c r="AG428" s="15" t="s">
        <v>49</v>
      </c>
    </row>
    <row r="429" spans="1:33">
      <c r="A429" s="14">
        <v>428</v>
      </c>
      <c r="B429" s="14">
        <f>B428</f>
        <v>4</v>
      </c>
      <c r="C429" s="14" t="e">
        <v>#N/A</v>
      </c>
      <c r="D429" s="15" t="s">
        <v>1839</v>
      </c>
      <c r="E429" s="16" t="s">
        <v>3777</v>
      </c>
      <c r="F429" s="32" t="s">
        <v>3778</v>
      </c>
      <c r="G429" s="17" t="s">
        <v>3779</v>
      </c>
      <c r="H429" s="18">
        <v>201030599444</v>
      </c>
      <c r="I429" s="16" t="s">
        <v>3780</v>
      </c>
      <c r="J429" s="16" t="s">
        <v>86</v>
      </c>
      <c r="K429" s="16" t="s">
        <v>3781</v>
      </c>
      <c r="L429" s="16">
        <v>46853022</v>
      </c>
      <c r="M429" s="16" t="s">
        <v>3782</v>
      </c>
      <c r="N429" s="16">
        <v>29208050100277</v>
      </c>
      <c r="O429" s="16" t="s">
        <v>3783</v>
      </c>
      <c r="P429" s="16" t="s">
        <v>3784</v>
      </c>
      <c r="Q429" s="16" t="s">
        <v>1815</v>
      </c>
      <c r="R429" s="16" t="s">
        <v>3598</v>
      </c>
      <c r="S429" s="96" t="s">
        <v>3777</v>
      </c>
      <c r="T429" s="96" t="s">
        <v>307</v>
      </c>
      <c r="U429" s="96" t="s">
        <v>3785</v>
      </c>
      <c r="V429" s="73" t="s">
        <v>10315</v>
      </c>
      <c r="W429" s="74" t="s">
        <v>3786</v>
      </c>
      <c r="X429" s="18" t="s">
        <v>542</v>
      </c>
      <c r="Y429" s="18" t="s">
        <v>98</v>
      </c>
      <c r="Z429" s="18" t="s">
        <v>1815</v>
      </c>
      <c r="AA429" s="16" t="s">
        <v>3066</v>
      </c>
      <c r="AB429" s="16" t="s">
        <v>3455</v>
      </c>
      <c r="AC429" s="16" t="s">
        <v>3456</v>
      </c>
      <c r="AD429" s="123" t="str">
        <f t="shared" si="6"/>
        <v>External Transfer-Other banks</v>
      </c>
      <c r="AE429" s="123" t="str">
        <f>VLOOKUP(Table1[[#This Row],[Name of bank]],'اكواد البنوك'!$A$2:$B$34,2,0)</f>
        <v>CIBEEGCXXXX</v>
      </c>
      <c r="AF429" s="94" t="s">
        <v>10316</v>
      </c>
      <c r="AG429" s="90" t="s">
        <v>1073</v>
      </c>
    </row>
    <row r="430" spans="1:33">
      <c r="A430" s="14">
        <v>429</v>
      </c>
      <c r="B430" s="14" t="s">
        <v>639</v>
      </c>
      <c r="C430" s="14" t="s">
        <v>73</v>
      </c>
      <c r="D430" s="15" t="s">
        <v>1839</v>
      </c>
      <c r="E430" s="16" t="s">
        <v>3787</v>
      </c>
      <c r="F430" s="32" t="s">
        <v>3788</v>
      </c>
      <c r="G430" s="17" t="s">
        <v>3789</v>
      </c>
      <c r="H430" s="18" t="s">
        <v>3790</v>
      </c>
      <c r="I430" s="16" t="s">
        <v>3791</v>
      </c>
      <c r="J430" s="16" t="s">
        <v>86</v>
      </c>
      <c r="K430" s="16" t="s">
        <v>3792</v>
      </c>
      <c r="L430" s="16">
        <v>34860244</v>
      </c>
      <c r="M430" s="16">
        <v>892171</v>
      </c>
      <c r="N430" s="16">
        <v>27511011604214</v>
      </c>
      <c r="O430" s="16" t="s">
        <v>3793</v>
      </c>
      <c r="P430" s="16" t="s">
        <v>3794</v>
      </c>
      <c r="Q430" s="16" t="s">
        <v>1815</v>
      </c>
      <c r="R430" s="16" t="s">
        <v>1849</v>
      </c>
      <c r="S430" s="19" t="s">
        <v>3795</v>
      </c>
      <c r="T430" s="20" t="s">
        <v>908</v>
      </c>
      <c r="U430" s="16" t="s">
        <v>1926</v>
      </c>
      <c r="V430" s="16" t="s">
        <v>3796</v>
      </c>
      <c r="W430" s="30" t="s">
        <v>3797</v>
      </c>
      <c r="X430" s="18" t="s">
        <v>2096</v>
      </c>
      <c r="Y430" s="18" t="s">
        <v>98</v>
      </c>
      <c r="Z430" s="18" t="s">
        <v>1815</v>
      </c>
      <c r="AA430" s="16" t="s">
        <v>3066</v>
      </c>
      <c r="AB430" s="16" t="s">
        <v>3455</v>
      </c>
      <c r="AC430" s="16" t="s">
        <v>3456</v>
      </c>
      <c r="AD430" s="123" t="str">
        <f t="shared" si="6"/>
        <v>External Transfer-Other banks</v>
      </c>
      <c r="AE430" s="123" t="str">
        <f>VLOOKUP(Table1[[#This Row],[Name of bank]],'اكواد البنوك'!$A$2:$B$34,2,0)</f>
        <v>ARAIEGCXXXX</v>
      </c>
      <c r="AF430" s="21" t="s">
        <v>3798</v>
      </c>
      <c r="AG430" s="15" t="s">
        <v>49</v>
      </c>
    </row>
    <row r="431" spans="1:33">
      <c r="A431" s="14">
        <v>430</v>
      </c>
      <c r="B431" s="14" t="str">
        <f>B430</f>
        <v>1st Floor</v>
      </c>
      <c r="C431" s="14" t="e">
        <v>#N/A</v>
      </c>
      <c r="D431" s="15" t="s">
        <v>1855</v>
      </c>
      <c r="E431" s="16" t="s">
        <v>3799</v>
      </c>
      <c r="F431" s="32" t="s">
        <v>3800</v>
      </c>
      <c r="G431" s="17" t="s">
        <v>3801</v>
      </c>
      <c r="H431" s="18">
        <v>201126412429</v>
      </c>
      <c r="I431" s="16" t="s">
        <v>2462</v>
      </c>
      <c r="J431" s="16" t="s">
        <v>1845</v>
      </c>
      <c r="K431" s="16" t="s">
        <v>2462</v>
      </c>
      <c r="L431" s="16" t="s">
        <v>977</v>
      </c>
      <c r="M431" s="16" t="s">
        <v>136</v>
      </c>
      <c r="N431" s="16">
        <v>30403220101578</v>
      </c>
      <c r="O431" s="16" t="s">
        <v>3802</v>
      </c>
      <c r="P431" s="16" t="s">
        <v>3803</v>
      </c>
      <c r="Q431" s="16" t="s">
        <v>1815</v>
      </c>
      <c r="R431" s="16" t="s">
        <v>1849</v>
      </c>
      <c r="S431" s="32" t="s">
        <v>3800</v>
      </c>
      <c r="T431" s="20" t="s">
        <v>40</v>
      </c>
      <c r="U431" s="16" t="s">
        <v>10351</v>
      </c>
      <c r="V431" s="83" t="s">
        <v>10352</v>
      </c>
      <c r="W431" s="30" t="s">
        <v>10350</v>
      </c>
      <c r="X431" s="18"/>
      <c r="Y431" s="18" t="s">
        <v>98</v>
      </c>
      <c r="Z431" s="18"/>
      <c r="AA431" s="16"/>
      <c r="AB431" s="16"/>
      <c r="AC431" s="16"/>
      <c r="AD431" s="123" t="str">
        <f t="shared" si="6"/>
        <v>External Transfer-NBE</v>
      </c>
      <c r="AE431" s="123" t="str">
        <f>VLOOKUP(Table1[[#This Row],[Name of bank]],'اكواد البنوك'!$A$2:$B$34,2,0)</f>
        <v>NBEGEGCXXXX</v>
      </c>
      <c r="AF431" s="21" t="s">
        <v>3040</v>
      </c>
      <c r="AG431" s="15" t="s">
        <v>1862</v>
      </c>
    </row>
    <row r="432" spans="1:33">
      <c r="A432" s="14">
        <v>431</v>
      </c>
      <c r="B432" s="14">
        <v>101</v>
      </c>
      <c r="C432" s="14" t="e">
        <v>#N/A</v>
      </c>
      <c r="D432" s="15" t="s">
        <v>1839</v>
      </c>
      <c r="E432" s="16" t="s">
        <v>3806</v>
      </c>
      <c r="F432" s="32" t="s">
        <v>3807</v>
      </c>
      <c r="G432" s="17" t="s">
        <v>3808</v>
      </c>
      <c r="H432" s="18" t="s">
        <v>3809</v>
      </c>
      <c r="I432" s="16" t="s">
        <v>3810</v>
      </c>
      <c r="J432" s="16" t="s">
        <v>1845</v>
      </c>
      <c r="K432" s="16" t="s">
        <v>3811</v>
      </c>
      <c r="L432" s="16">
        <v>17493498</v>
      </c>
      <c r="M432" s="16" t="s">
        <v>977</v>
      </c>
      <c r="N432" s="16">
        <v>28805150101585</v>
      </c>
      <c r="O432" s="16" t="s">
        <v>3812</v>
      </c>
      <c r="P432" s="16" t="s">
        <v>3813</v>
      </c>
      <c r="Q432" s="16" t="s">
        <v>1815</v>
      </c>
      <c r="R432" s="16" t="s">
        <v>1849</v>
      </c>
      <c r="S432" s="87" t="s">
        <v>3806</v>
      </c>
      <c r="T432" s="100" t="s">
        <v>40</v>
      </c>
      <c r="U432" s="87" t="s">
        <v>3814</v>
      </c>
      <c r="V432" s="73" t="s">
        <v>3815</v>
      </c>
      <c r="W432" s="74" t="s">
        <v>3816</v>
      </c>
      <c r="X432" s="18" t="s">
        <v>542</v>
      </c>
      <c r="Y432" s="18" t="s">
        <v>98</v>
      </c>
      <c r="Z432" s="18" t="s">
        <v>1815</v>
      </c>
      <c r="AA432" s="16" t="s">
        <v>3066</v>
      </c>
      <c r="AB432" s="16" t="s">
        <v>3455</v>
      </c>
      <c r="AC432" s="16" t="s">
        <v>3456</v>
      </c>
      <c r="AD432" s="123" t="str">
        <f t="shared" si="6"/>
        <v>External Transfer-NBE</v>
      </c>
      <c r="AE432" s="123" t="str">
        <f>VLOOKUP(Table1[[#This Row],[Name of bank]],'اكواد البنوك'!$A$2:$B$34,2,0)</f>
        <v>NBEGEGCXXXX</v>
      </c>
      <c r="AF432" s="21" t="s">
        <v>3817</v>
      </c>
      <c r="AG432" s="15" t="s">
        <v>10381</v>
      </c>
    </row>
    <row r="433" spans="1:33">
      <c r="A433" s="14">
        <v>432</v>
      </c>
      <c r="B433" s="14">
        <f>B432</f>
        <v>101</v>
      </c>
      <c r="C433" s="14" t="e">
        <v>#N/A</v>
      </c>
      <c r="D433" s="15" t="s">
        <v>1839</v>
      </c>
      <c r="E433" s="16" t="s">
        <v>3818</v>
      </c>
      <c r="F433" s="32" t="s">
        <v>3819</v>
      </c>
      <c r="G433" s="17" t="s">
        <v>3820</v>
      </c>
      <c r="H433" s="18" t="s">
        <v>3821</v>
      </c>
      <c r="I433" s="16" t="s">
        <v>3822</v>
      </c>
      <c r="J433" s="16" t="s">
        <v>86</v>
      </c>
      <c r="K433" s="16" t="s">
        <v>3823</v>
      </c>
      <c r="L433" s="16">
        <v>81269175</v>
      </c>
      <c r="M433" s="16">
        <v>892171</v>
      </c>
      <c r="N433" s="16">
        <v>28910010118028</v>
      </c>
      <c r="O433" s="16" t="s">
        <v>3824</v>
      </c>
      <c r="P433" s="16" t="s">
        <v>3825</v>
      </c>
      <c r="Q433" s="16" t="s">
        <v>1815</v>
      </c>
      <c r="R433" s="16" t="s">
        <v>1849</v>
      </c>
      <c r="S433" s="19" t="s">
        <v>3819</v>
      </c>
      <c r="T433" s="20" t="s">
        <v>40</v>
      </c>
      <c r="U433" s="16" t="s">
        <v>3826</v>
      </c>
      <c r="V433" s="16" t="s">
        <v>3827</v>
      </c>
      <c r="W433" s="30" t="s">
        <v>3828</v>
      </c>
      <c r="X433" s="18" t="s">
        <v>542</v>
      </c>
      <c r="Y433" s="18" t="s">
        <v>98</v>
      </c>
      <c r="Z433" s="18" t="s">
        <v>1815</v>
      </c>
      <c r="AA433" s="16" t="s">
        <v>3066</v>
      </c>
      <c r="AB433" s="16" t="s">
        <v>3455</v>
      </c>
      <c r="AC433" s="16" t="s">
        <v>3456</v>
      </c>
      <c r="AD433" s="123" t="str">
        <f t="shared" si="6"/>
        <v>External Transfer-NBE</v>
      </c>
      <c r="AE433" s="123" t="str">
        <f>VLOOKUP(Table1[[#This Row],[Name of bank]],'اكواد البنوك'!$A$2:$B$34,2,0)</f>
        <v>NBEGEGCXXXX</v>
      </c>
      <c r="AF433" s="21" t="s">
        <v>698</v>
      </c>
      <c r="AG433" s="15" t="s">
        <v>49</v>
      </c>
    </row>
    <row r="434" spans="1:33">
      <c r="A434" s="14">
        <v>433</v>
      </c>
      <c r="B434" s="14">
        <f>B433</f>
        <v>101</v>
      </c>
      <c r="C434" s="14" t="e">
        <v>#N/A</v>
      </c>
      <c r="D434" s="15" t="s">
        <v>1839</v>
      </c>
      <c r="E434" s="16" t="s">
        <v>3829</v>
      </c>
      <c r="F434" s="32" t="s">
        <v>3830</v>
      </c>
      <c r="G434" s="17" t="s">
        <v>3831</v>
      </c>
      <c r="H434" s="18">
        <v>201002902606</v>
      </c>
      <c r="I434" s="16" t="s">
        <v>3832</v>
      </c>
      <c r="J434" s="16" t="s">
        <v>86</v>
      </c>
      <c r="K434" s="16" t="s">
        <v>2579</v>
      </c>
      <c r="L434" s="16" t="s">
        <v>136</v>
      </c>
      <c r="M434" s="16" t="s">
        <v>136</v>
      </c>
      <c r="N434" s="16">
        <v>28609198800121</v>
      </c>
      <c r="O434" s="16" t="s">
        <v>3833</v>
      </c>
      <c r="P434" s="16" t="s">
        <v>3834</v>
      </c>
      <c r="Q434" s="16" t="s">
        <v>1815</v>
      </c>
      <c r="R434" s="16" t="s">
        <v>1882</v>
      </c>
      <c r="S434" s="19" t="s">
        <v>3830</v>
      </c>
      <c r="T434" s="20" t="s">
        <v>40</v>
      </c>
      <c r="U434" s="16" t="s">
        <v>2645</v>
      </c>
      <c r="V434" s="16">
        <v>1.1550105300865001E+18</v>
      </c>
      <c r="W434" s="30" t="s">
        <v>3835</v>
      </c>
      <c r="X434" s="18" t="s">
        <v>542</v>
      </c>
      <c r="Y434" s="18" t="s">
        <v>98</v>
      </c>
      <c r="Z434" s="18" t="s">
        <v>1815</v>
      </c>
      <c r="AA434" s="16" t="s">
        <v>3066</v>
      </c>
      <c r="AB434" s="16" t="s">
        <v>3455</v>
      </c>
      <c r="AC434" s="16" t="s">
        <v>3456</v>
      </c>
      <c r="AD434" s="123" t="str">
        <f t="shared" si="6"/>
        <v>External Transfer-NBE</v>
      </c>
      <c r="AE434" s="123" t="str">
        <f>VLOOKUP(Table1[[#This Row],[Name of bank]],'اكواد البنوك'!$A$2:$B$34,2,0)</f>
        <v>NBEGEGCXXXX</v>
      </c>
      <c r="AF434" s="21" t="s">
        <v>2648</v>
      </c>
      <c r="AG434" s="15" t="s">
        <v>49</v>
      </c>
    </row>
    <row r="435" spans="1:33">
      <c r="A435" s="14">
        <v>434</v>
      </c>
      <c r="B435" s="14">
        <v>103</v>
      </c>
      <c r="C435" s="14" t="e">
        <v>#N/A</v>
      </c>
      <c r="D435" s="15" t="s">
        <v>1839</v>
      </c>
      <c r="E435" s="16" t="s">
        <v>3836</v>
      </c>
      <c r="F435" s="32" t="s">
        <v>3837</v>
      </c>
      <c r="G435" s="17" t="s">
        <v>3838</v>
      </c>
      <c r="H435" s="18" t="s">
        <v>3839</v>
      </c>
      <c r="I435" s="16" t="s">
        <v>3840</v>
      </c>
      <c r="J435" s="16" t="s">
        <v>173</v>
      </c>
      <c r="K435" s="16" t="s">
        <v>3841</v>
      </c>
      <c r="L435" s="16" t="s">
        <v>136</v>
      </c>
      <c r="M435" s="16" t="s">
        <v>136</v>
      </c>
      <c r="N435" s="16">
        <v>27207250104281</v>
      </c>
      <c r="O435" s="16" t="s">
        <v>3842</v>
      </c>
      <c r="P435" s="16" t="s">
        <v>3843</v>
      </c>
      <c r="Q435" s="16" t="s">
        <v>1815</v>
      </c>
      <c r="R435" s="16" t="s">
        <v>1882</v>
      </c>
      <c r="S435" s="19" t="s">
        <v>3837</v>
      </c>
      <c r="T435" s="20" t="s">
        <v>40</v>
      </c>
      <c r="U435" s="16" t="s">
        <v>1980</v>
      </c>
      <c r="V435" s="16" t="s">
        <v>3844</v>
      </c>
      <c r="W435" s="30" t="s">
        <v>3845</v>
      </c>
      <c r="X435" s="18" t="s">
        <v>542</v>
      </c>
      <c r="Y435" s="18" t="s">
        <v>98</v>
      </c>
      <c r="Z435" s="18" t="s">
        <v>1815</v>
      </c>
      <c r="AA435" s="16" t="s">
        <v>3066</v>
      </c>
      <c r="AB435" s="16" t="s">
        <v>3455</v>
      </c>
      <c r="AC435" s="16" t="s">
        <v>3456</v>
      </c>
      <c r="AD435" s="123" t="str">
        <f t="shared" si="6"/>
        <v>External Transfer-NBE</v>
      </c>
      <c r="AE435" s="123" t="str">
        <f>VLOOKUP(Table1[[#This Row],[Name of bank]],'اكواد البنوك'!$A$2:$B$34,2,0)</f>
        <v>NBEGEGCXXXX</v>
      </c>
      <c r="AF435" s="21" t="s">
        <v>2269</v>
      </c>
      <c r="AG435" s="15" t="s">
        <v>49</v>
      </c>
    </row>
    <row r="436" spans="1:33">
      <c r="A436" s="14">
        <v>435</v>
      </c>
      <c r="B436" s="14">
        <f>B435</f>
        <v>103</v>
      </c>
      <c r="C436" s="14" t="e">
        <v>#N/A</v>
      </c>
      <c r="D436" s="15" t="s">
        <v>1831</v>
      </c>
      <c r="E436" s="16" t="s">
        <v>3846</v>
      </c>
      <c r="F436" s="32" t="s">
        <v>3847</v>
      </c>
      <c r="G436" s="17" t="s">
        <v>3848</v>
      </c>
      <c r="H436" s="18" t="s">
        <v>3849</v>
      </c>
      <c r="I436" s="16" t="s">
        <v>1831</v>
      </c>
      <c r="J436" s="16"/>
      <c r="K436" s="16"/>
      <c r="L436" s="16" t="s">
        <v>1836</v>
      </c>
      <c r="M436" s="16" t="s">
        <v>1996</v>
      </c>
      <c r="N436" s="16" t="s">
        <v>3850</v>
      </c>
      <c r="O436" s="16"/>
      <c r="P436" s="16"/>
      <c r="Q436" s="16"/>
      <c r="R436" s="16"/>
      <c r="S436" s="19"/>
      <c r="T436" s="20" t="s">
        <v>1837</v>
      </c>
      <c r="U436" s="16"/>
      <c r="V436" s="16"/>
      <c r="W436" s="30" t="s">
        <v>1838</v>
      </c>
      <c r="X436" s="18" t="s">
        <v>542</v>
      </c>
      <c r="Y436" s="18" t="s">
        <v>98</v>
      </c>
      <c r="Z436" s="18" t="s">
        <v>1815</v>
      </c>
      <c r="AA436" s="16" t="s">
        <v>3066</v>
      </c>
      <c r="AB436" s="16" t="s">
        <v>3455</v>
      </c>
      <c r="AC436" s="16" t="s">
        <v>3456</v>
      </c>
      <c r="AD436" s="123" t="str">
        <f t="shared" si="6"/>
        <v>FUE</v>
      </c>
      <c r="AE436" s="123" t="str">
        <f>VLOOKUP(Table1[[#This Row],[Name of bank]],'اكواد البنوك'!$A$2:$B$34,2,0)</f>
        <v>FUE</v>
      </c>
      <c r="AF436" s="21" t="s">
        <v>1838</v>
      </c>
      <c r="AG436" s="15" t="s">
        <v>49</v>
      </c>
    </row>
    <row r="437" spans="1:33">
      <c r="A437" s="14">
        <v>436</v>
      </c>
      <c r="B437" s="14">
        <v>104</v>
      </c>
      <c r="C437" s="14" t="e">
        <v>#N/A</v>
      </c>
      <c r="D437" s="15" t="s">
        <v>1839</v>
      </c>
      <c r="E437" s="16" t="s">
        <v>3851</v>
      </c>
      <c r="F437" s="32" t="s">
        <v>3852</v>
      </c>
      <c r="G437" s="17" t="s">
        <v>3853</v>
      </c>
      <c r="H437" s="18" t="s">
        <v>3854</v>
      </c>
      <c r="I437" s="16" t="s">
        <v>3855</v>
      </c>
      <c r="J437" s="16" t="s">
        <v>86</v>
      </c>
      <c r="K437" s="16" t="s">
        <v>3856</v>
      </c>
      <c r="L437" s="16">
        <v>61256875</v>
      </c>
      <c r="M437" s="16" t="s">
        <v>3736</v>
      </c>
      <c r="N437" s="16">
        <v>29411082402941</v>
      </c>
      <c r="O437" s="16" t="s">
        <v>3857</v>
      </c>
      <c r="P437" s="16" t="s">
        <v>3858</v>
      </c>
      <c r="Q437" s="16" t="s">
        <v>1815</v>
      </c>
      <c r="R437" s="16" t="s">
        <v>1849</v>
      </c>
      <c r="S437" s="19" t="s">
        <v>3859</v>
      </c>
      <c r="T437" s="20" t="s">
        <v>40</v>
      </c>
      <c r="U437" s="16" t="s">
        <v>2645</v>
      </c>
      <c r="V437" s="16" t="s">
        <v>3860</v>
      </c>
      <c r="W437" s="30" t="s">
        <v>3861</v>
      </c>
      <c r="X437" s="18" t="s">
        <v>542</v>
      </c>
      <c r="Y437" s="18" t="s">
        <v>98</v>
      </c>
      <c r="Z437" s="18" t="s">
        <v>1815</v>
      </c>
      <c r="AA437" s="16" t="s">
        <v>3066</v>
      </c>
      <c r="AB437" s="16" t="s">
        <v>3455</v>
      </c>
      <c r="AC437" s="16" t="s">
        <v>3456</v>
      </c>
      <c r="AD437" s="123" t="str">
        <f t="shared" si="6"/>
        <v>External Transfer-NBE</v>
      </c>
      <c r="AE437" s="123" t="str">
        <f>VLOOKUP(Table1[[#This Row],[Name of bank]],'اكواد البنوك'!$A$2:$B$34,2,0)</f>
        <v>NBEGEGCXXXX</v>
      </c>
      <c r="AF437" s="21" t="s">
        <v>2648</v>
      </c>
      <c r="AG437" s="15" t="s">
        <v>49</v>
      </c>
    </row>
    <row r="438" spans="1:33">
      <c r="A438" s="14">
        <v>437</v>
      </c>
      <c r="B438" s="14">
        <f>B437</f>
        <v>104</v>
      </c>
      <c r="C438" s="14" t="e">
        <v>#N/A</v>
      </c>
      <c r="D438" s="15" t="s">
        <v>1831</v>
      </c>
      <c r="E438" s="16" t="s">
        <v>3862</v>
      </c>
      <c r="F438" s="32" t="s">
        <v>3863</v>
      </c>
      <c r="G438" s="17" t="s">
        <v>3864</v>
      </c>
      <c r="H438" s="18" t="s">
        <v>3865</v>
      </c>
      <c r="I438" s="16" t="s">
        <v>1831</v>
      </c>
      <c r="J438" s="16"/>
      <c r="K438" s="16"/>
      <c r="L438" s="16" t="s">
        <v>1836</v>
      </c>
      <c r="M438" s="16" t="s">
        <v>3866</v>
      </c>
      <c r="N438" s="16">
        <v>29907110105317</v>
      </c>
      <c r="O438" s="16"/>
      <c r="P438" s="16"/>
      <c r="Q438" s="16"/>
      <c r="R438" s="16"/>
      <c r="S438" s="19"/>
      <c r="T438" s="20" t="s">
        <v>1837</v>
      </c>
      <c r="U438" s="16"/>
      <c r="V438" s="16"/>
      <c r="W438" s="30" t="s">
        <v>1838</v>
      </c>
      <c r="X438" s="18" t="s">
        <v>542</v>
      </c>
      <c r="Y438" s="18" t="s">
        <v>98</v>
      </c>
      <c r="Z438" s="18" t="s">
        <v>1815</v>
      </c>
      <c r="AA438" s="16" t="s">
        <v>3066</v>
      </c>
      <c r="AB438" s="16" t="s">
        <v>3455</v>
      </c>
      <c r="AC438" s="16" t="s">
        <v>3456</v>
      </c>
      <c r="AD438" s="123" t="str">
        <f t="shared" si="6"/>
        <v>FUE</v>
      </c>
      <c r="AE438" s="123" t="str">
        <f>VLOOKUP(Table1[[#This Row],[Name of bank]],'اكواد البنوك'!$A$2:$B$34,2,0)</f>
        <v>FUE</v>
      </c>
      <c r="AF438" s="21" t="s">
        <v>1838</v>
      </c>
      <c r="AG438" s="15" t="s">
        <v>49</v>
      </c>
    </row>
    <row r="439" spans="1:33">
      <c r="A439" s="14">
        <v>438</v>
      </c>
      <c r="B439" s="14">
        <v>106</v>
      </c>
      <c r="C439" s="14" t="e">
        <v>#N/A</v>
      </c>
      <c r="D439" s="15" t="s">
        <v>1839</v>
      </c>
      <c r="E439" s="16" t="s">
        <v>3867</v>
      </c>
      <c r="F439" s="32" t="s">
        <v>10063</v>
      </c>
      <c r="G439" s="17" t="s">
        <v>3868</v>
      </c>
      <c r="H439" s="18" t="s">
        <v>3869</v>
      </c>
      <c r="I439" s="16" t="s">
        <v>2420</v>
      </c>
      <c r="J439" s="16" t="s">
        <v>86</v>
      </c>
      <c r="K439" s="16" t="s">
        <v>553</v>
      </c>
      <c r="L439" s="16">
        <v>2893173</v>
      </c>
      <c r="M439" s="16" t="s">
        <v>2744</v>
      </c>
      <c r="N439" s="16">
        <v>28603190103643</v>
      </c>
      <c r="O439" s="16" t="s">
        <v>3870</v>
      </c>
      <c r="P439" s="16" t="s">
        <v>3871</v>
      </c>
      <c r="Q439" s="16" t="s">
        <v>1815</v>
      </c>
      <c r="R439" s="16" t="s">
        <v>1882</v>
      </c>
      <c r="S439" s="19" t="s">
        <v>3867</v>
      </c>
      <c r="T439" s="20" t="s">
        <v>307</v>
      </c>
      <c r="U439" s="16" t="s">
        <v>3872</v>
      </c>
      <c r="V439" s="16" t="s">
        <v>3873</v>
      </c>
      <c r="W439" s="30" t="s">
        <v>3874</v>
      </c>
      <c r="X439" s="18" t="s">
        <v>542</v>
      </c>
      <c r="Y439" s="18" t="s">
        <v>98</v>
      </c>
      <c r="Z439" s="18" t="s">
        <v>1815</v>
      </c>
      <c r="AA439" s="16" t="s">
        <v>3066</v>
      </c>
      <c r="AB439" s="16" t="s">
        <v>3455</v>
      </c>
      <c r="AC439" s="16" t="s">
        <v>3456</v>
      </c>
      <c r="AD439" s="123" t="str">
        <f t="shared" si="6"/>
        <v>External Transfer-Other banks</v>
      </c>
      <c r="AE439" s="123" t="str">
        <f>VLOOKUP(Table1[[#This Row],[Name of bank]],'اكواد البنوك'!$A$2:$B$34,2,0)</f>
        <v>CIBEEGCXXXX</v>
      </c>
      <c r="AF439" s="21" t="s">
        <v>2586</v>
      </c>
      <c r="AG439" s="15" t="s">
        <v>49</v>
      </c>
    </row>
    <row r="440" spans="1:33">
      <c r="A440" s="14">
        <v>439</v>
      </c>
      <c r="B440" s="14">
        <f>B439</f>
        <v>106</v>
      </c>
      <c r="C440" s="14" t="e">
        <v>#N/A</v>
      </c>
      <c r="D440" s="15" t="s">
        <v>1839</v>
      </c>
      <c r="E440" s="16" t="s">
        <v>3875</v>
      </c>
      <c r="F440" s="32" t="s">
        <v>3876</v>
      </c>
      <c r="G440" s="17" t="s">
        <v>3877</v>
      </c>
      <c r="H440" s="18" t="s">
        <v>3878</v>
      </c>
      <c r="I440" s="16" t="s">
        <v>3879</v>
      </c>
      <c r="J440" s="16" t="s">
        <v>86</v>
      </c>
      <c r="K440" s="16" t="s">
        <v>3880</v>
      </c>
      <c r="L440" s="16">
        <v>18995905</v>
      </c>
      <c r="M440" s="16" t="s">
        <v>234</v>
      </c>
      <c r="N440" s="16">
        <v>28312280102986</v>
      </c>
      <c r="O440" s="16" t="s">
        <v>3881</v>
      </c>
      <c r="P440" s="16" t="s">
        <v>3882</v>
      </c>
      <c r="Q440" s="16" t="s">
        <v>1815</v>
      </c>
      <c r="R440" s="16" t="s">
        <v>1882</v>
      </c>
      <c r="S440" s="19" t="s">
        <v>3883</v>
      </c>
      <c r="T440" s="20" t="s">
        <v>40</v>
      </c>
      <c r="U440" s="16" t="s">
        <v>2645</v>
      </c>
      <c r="V440" s="16" t="s">
        <v>3884</v>
      </c>
      <c r="W440" s="30" t="s">
        <v>3885</v>
      </c>
      <c r="X440" s="18" t="s">
        <v>542</v>
      </c>
      <c r="Y440" s="18" t="s">
        <v>98</v>
      </c>
      <c r="Z440" s="18" t="s">
        <v>1815</v>
      </c>
      <c r="AA440" s="16" t="s">
        <v>3066</v>
      </c>
      <c r="AB440" s="16" t="s">
        <v>3455</v>
      </c>
      <c r="AC440" s="16" t="s">
        <v>3456</v>
      </c>
      <c r="AD440" s="123" t="str">
        <f t="shared" si="6"/>
        <v>External Transfer-NBE</v>
      </c>
      <c r="AE440" s="123" t="str">
        <f>VLOOKUP(Table1[[#This Row],[Name of bank]],'اكواد البنوك'!$A$2:$B$34,2,0)</f>
        <v>NBEGEGCXXXX</v>
      </c>
      <c r="AF440" s="21" t="s">
        <v>2648</v>
      </c>
      <c r="AG440" s="15" t="s">
        <v>49</v>
      </c>
    </row>
    <row r="441" spans="1:33">
      <c r="A441" s="14">
        <v>440</v>
      </c>
      <c r="B441" s="14" t="s">
        <v>206</v>
      </c>
      <c r="C441" s="14" t="e">
        <v>#N/A</v>
      </c>
      <c r="D441" s="15" t="s">
        <v>1703</v>
      </c>
      <c r="E441" s="16" t="s">
        <v>3886</v>
      </c>
      <c r="F441" s="32" t="s">
        <v>10187</v>
      </c>
      <c r="G441" s="17" t="s">
        <v>3887</v>
      </c>
      <c r="H441" s="18" t="s">
        <v>3888</v>
      </c>
      <c r="I441" s="16" t="s">
        <v>1703</v>
      </c>
      <c r="J441" s="16" t="s">
        <v>3065</v>
      </c>
      <c r="K441" s="16"/>
      <c r="L441" s="16"/>
      <c r="M441" s="16"/>
      <c r="N441" s="16"/>
      <c r="O441" s="16"/>
      <c r="P441" s="16"/>
      <c r="Q441" s="16"/>
      <c r="R441" s="16"/>
      <c r="S441" s="19"/>
      <c r="T441" s="20" t="s">
        <v>40</v>
      </c>
      <c r="U441" s="16"/>
      <c r="V441" s="16"/>
      <c r="W441" s="30">
        <v>14</v>
      </c>
      <c r="X441" s="18" t="s">
        <v>78</v>
      </c>
      <c r="Y441" s="18" t="s">
        <v>43</v>
      </c>
      <c r="Z441" s="18" t="s">
        <v>1815</v>
      </c>
      <c r="AA441" s="16" t="s">
        <v>3066</v>
      </c>
      <c r="AB441" s="16" t="s">
        <v>3455</v>
      </c>
      <c r="AC441" s="16" t="s">
        <v>3456</v>
      </c>
      <c r="AD441" s="123" t="str">
        <f t="shared" si="6"/>
        <v>Internal Transfer</v>
      </c>
      <c r="AE441" s="123" t="str">
        <f>VLOOKUP(Table1[[#This Row],[Name of bank]],'اكواد البنوك'!$A$2:$B$34,2,0)</f>
        <v>NBEGEGCXXXX</v>
      </c>
      <c r="AF441" s="21">
        <v>14</v>
      </c>
      <c r="AG441" s="15"/>
    </row>
    <row r="442" spans="1:33">
      <c r="A442" s="14">
        <v>441</v>
      </c>
      <c r="B442" s="14" t="str">
        <f>B441</f>
        <v>3rd Floor</v>
      </c>
      <c r="C442" s="14" t="e">
        <v>#N/A</v>
      </c>
      <c r="D442" s="15" t="s">
        <v>1831</v>
      </c>
      <c r="E442" s="16" t="s">
        <v>3889</v>
      </c>
      <c r="F442" s="32" t="s">
        <v>10084</v>
      </c>
      <c r="G442" s="17" t="s">
        <v>3890</v>
      </c>
      <c r="H442" s="18" t="s">
        <v>3891</v>
      </c>
      <c r="I442" s="16"/>
      <c r="J442" s="16"/>
      <c r="K442" s="16" t="s">
        <v>1831</v>
      </c>
      <c r="L442" s="16" t="s">
        <v>1836</v>
      </c>
      <c r="M442" s="16" t="s">
        <v>1996</v>
      </c>
      <c r="N442" s="16" t="s">
        <v>3892</v>
      </c>
      <c r="O442" s="16"/>
      <c r="P442" s="16"/>
      <c r="Q442" s="16"/>
      <c r="R442" s="16"/>
      <c r="S442" s="19"/>
      <c r="T442" s="20" t="s">
        <v>1837</v>
      </c>
      <c r="U442" s="16"/>
      <c r="V442" s="16"/>
      <c r="W442" s="30" t="s">
        <v>1838</v>
      </c>
      <c r="X442" s="18" t="s">
        <v>97</v>
      </c>
      <c r="Y442" s="18" t="s">
        <v>98</v>
      </c>
      <c r="Z442" s="18" t="s">
        <v>1815</v>
      </c>
      <c r="AA442" s="16" t="s">
        <v>3066</v>
      </c>
      <c r="AB442" s="16" t="s">
        <v>3455</v>
      </c>
      <c r="AC442" s="16" t="s">
        <v>3456</v>
      </c>
      <c r="AD442" s="123" t="str">
        <f t="shared" si="6"/>
        <v>FUE</v>
      </c>
      <c r="AE442" s="123" t="str">
        <f>VLOOKUP(Table1[[#This Row],[Name of bank]],'اكواد البنوك'!$A$2:$B$34,2,0)</f>
        <v>FUE</v>
      </c>
      <c r="AF442" s="21" t="s">
        <v>1838</v>
      </c>
      <c r="AG442" s="15" t="s">
        <v>49</v>
      </c>
    </row>
    <row r="443" spans="1:33">
      <c r="A443" s="14">
        <v>442</v>
      </c>
      <c r="B443" s="14">
        <v>302</v>
      </c>
      <c r="C443" s="14" t="e">
        <v>#N/A</v>
      </c>
      <c r="D443" s="15" t="s">
        <v>1839</v>
      </c>
      <c r="E443" s="16" t="s">
        <v>3893</v>
      </c>
      <c r="F443" s="32" t="s">
        <v>3894</v>
      </c>
      <c r="G443" s="17" t="s">
        <v>3895</v>
      </c>
      <c r="H443" s="18" t="s">
        <v>3896</v>
      </c>
      <c r="I443" s="16" t="s">
        <v>3897</v>
      </c>
      <c r="J443" s="16" t="s">
        <v>86</v>
      </c>
      <c r="K443" s="16" t="s">
        <v>3898</v>
      </c>
      <c r="L443" s="16" t="s">
        <v>136</v>
      </c>
      <c r="M443" s="16" t="s">
        <v>136</v>
      </c>
      <c r="N443" s="16">
        <v>28209120100281</v>
      </c>
      <c r="O443" s="16" t="s">
        <v>3899</v>
      </c>
      <c r="P443" s="16" t="s">
        <v>3900</v>
      </c>
      <c r="Q443" s="16" t="s">
        <v>1815</v>
      </c>
      <c r="R443" s="16" t="s">
        <v>1849</v>
      </c>
      <c r="S443" s="19" t="s">
        <v>3893</v>
      </c>
      <c r="T443" s="20" t="s">
        <v>93</v>
      </c>
      <c r="U443" s="16" t="s">
        <v>1980</v>
      </c>
      <c r="V443" s="16" t="s">
        <v>3901</v>
      </c>
      <c r="W443" s="30" t="s">
        <v>3902</v>
      </c>
      <c r="X443" s="18" t="s">
        <v>542</v>
      </c>
      <c r="Y443" s="18" t="s">
        <v>98</v>
      </c>
      <c r="Z443" s="18" t="s">
        <v>1815</v>
      </c>
      <c r="AA443" s="16" t="s">
        <v>3066</v>
      </c>
      <c r="AB443" s="16" t="s">
        <v>3455</v>
      </c>
      <c r="AC443" s="16" t="s">
        <v>3456</v>
      </c>
      <c r="AD443" s="123" t="str">
        <f t="shared" si="6"/>
        <v>External Transfer-Other banks</v>
      </c>
      <c r="AE443" s="123" t="str">
        <f>VLOOKUP(Table1[[#This Row],[Name of bank]],'اكواد البنوك'!$A$2:$B$34,2,0)</f>
        <v>QNBAEGCXXXX</v>
      </c>
      <c r="AF443" s="21" t="s">
        <v>1983</v>
      </c>
      <c r="AG443" s="15" t="s">
        <v>49</v>
      </c>
    </row>
    <row r="444" spans="1:33">
      <c r="A444" s="14">
        <v>443</v>
      </c>
      <c r="B444" s="14">
        <f>B443</f>
        <v>302</v>
      </c>
      <c r="C444" s="14" t="e">
        <v>#N/A</v>
      </c>
      <c r="D444" s="15" t="s">
        <v>1831</v>
      </c>
      <c r="E444" s="16" t="s">
        <v>3903</v>
      </c>
      <c r="F444" s="32" t="s">
        <v>3904</v>
      </c>
      <c r="G444" s="17" t="s">
        <v>3905</v>
      </c>
      <c r="H444" s="18" t="s">
        <v>3906</v>
      </c>
      <c r="I444" s="16"/>
      <c r="J444" s="16"/>
      <c r="K444" s="16" t="s">
        <v>1831</v>
      </c>
      <c r="L444" s="16" t="s">
        <v>1836</v>
      </c>
      <c r="M444" s="16">
        <v>34274407</v>
      </c>
      <c r="N444" s="16" t="s">
        <v>3907</v>
      </c>
      <c r="O444" s="16"/>
      <c r="P444" s="16"/>
      <c r="Q444" s="16"/>
      <c r="R444" s="16"/>
      <c r="S444" s="19"/>
      <c r="T444" s="20" t="s">
        <v>1837</v>
      </c>
      <c r="U444" s="16"/>
      <c r="V444" s="16"/>
      <c r="W444" s="30" t="s">
        <v>1838</v>
      </c>
      <c r="X444" s="18" t="s">
        <v>542</v>
      </c>
      <c r="Y444" s="18" t="s">
        <v>98</v>
      </c>
      <c r="Z444" s="18" t="s">
        <v>1815</v>
      </c>
      <c r="AA444" s="16" t="s">
        <v>3066</v>
      </c>
      <c r="AB444" s="16" t="s">
        <v>3455</v>
      </c>
      <c r="AC444" s="16" t="s">
        <v>3456</v>
      </c>
      <c r="AD444" s="123" t="str">
        <f t="shared" si="6"/>
        <v>FUE</v>
      </c>
      <c r="AE444" s="123" t="str">
        <f>VLOOKUP(Table1[[#This Row],[Name of bank]],'اكواد البنوك'!$A$2:$B$34,2,0)</f>
        <v>FUE</v>
      </c>
      <c r="AF444" s="21" t="s">
        <v>1838</v>
      </c>
      <c r="AG444" s="15" t="s">
        <v>49</v>
      </c>
    </row>
    <row r="445" spans="1:33">
      <c r="A445" s="14">
        <v>444</v>
      </c>
      <c r="B445" s="14" t="s">
        <v>312</v>
      </c>
      <c r="C445" s="14" t="s">
        <v>206</v>
      </c>
      <c r="D445" s="15" t="s">
        <v>1831</v>
      </c>
      <c r="E445" s="16" t="s">
        <v>3908</v>
      </c>
      <c r="F445" s="32" t="s">
        <v>3909</v>
      </c>
      <c r="G445" s="17" t="s">
        <v>3910</v>
      </c>
      <c r="H445" s="18" t="s">
        <v>3911</v>
      </c>
      <c r="I445" s="16"/>
      <c r="J445" s="16"/>
      <c r="K445" s="16" t="s">
        <v>1831</v>
      </c>
      <c r="L445" s="16" t="s">
        <v>1836</v>
      </c>
      <c r="M445" s="16">
        <v>66025875</v>
      </c>
      <c r="N445" s="16" t="s">
        <v>3912</v>
      </c>
      <c r="O445" s="16"/>
      <c r="P445" s="16"/>
      <c r="Q445" s="16"/>
      <c r="R445" s="16"/>
      <c r="S445" s="19"/>
      <c r="T445" s="20" t="s">
        <v>1837</v>
      </c>
      <c r="U445" s="16"/>
      <c r="V445" s="16"/>
      <c r="W445" s="30" t="s">
        <v>1838</v>
      </c>
      <c r="X445" s="18" t="s">
        <v>2096</v>
      </c>
      <c r="Y445" s="18" t="s">
        <v>98</v>
      </c>
      <c r="Z445" s="18" t="s">
        <v>1815</v>
      </c>
      <c r="AA445" s="16" t="s">
        <v>3066</v>
      </c>
      <c r="AB445" s="16" t="s">
        <v>3455</v>
      </c>
      <c r="AC445" s="16" t="s">
        <v>3456</v>
      </c>
      <c r="AD445" s="123" t="str">
        <f t="shared" si="6"/>
        <v>FUE</v>
      </c>
      <c r="AE445" s="123" t="str">
        <f>VLOOKUP(Table1[[#This Row],[Name of bank]],'اكواد البنوك'!$A$2:$B$34,2,0)</f>
        <v>FUE</v>
      </c>
      <c r="AF445" s="21" t="s">
        <v>1838</v>
      </c>
      <c r="AG445" s="15" t="s">
        <v>49</v>
      </c>
    </row>
    <row r="446" spans="1:33">
      <c r="A446" s="14">
        <v>445</v>
      </c>
      <c r="B446" s="14" t="str">
        <f>B445</f>
        <v>4th Floor</v>
      </c>
      <c r="C446" s="14" t="e">
        <v>#N/A</v>
      </c>
      <c r="D446" s="15" t="s">
        <v>1855</v>
      </c>
      <c r="E446" s="16" t="s">
        <v>3913</v>
      </c>
      <c r="F446" s="32" t="s">
        <v>3914</v>
      </c>
      <c r="G446" s="17" t="s">
        <v>3915</v>
      </c>
      <c r="H446" s="18">
        <v>201065128296</v>
      </c>
      <c r="I446" s="16" t="s">
        <v>2462</v>
      </c>
      <c r="J446" s="16" t="s">
        <v>1845</v>
      </c>
      <c r="K446" s="16" t="s">
        <v>3916</v>
      </c>
      <c r="L446" s="16" t="s">
        <v>136</v>
      </c>
      <c r="M446" s="16" t="s">
        <v>136</v>
      </c>
      <c r="N446" s="16">
        <v>30306292100899</v>
      </c>
      <c r="O446" s="16" t="s">
        <v>3917</v>
      </c>
      <c r="P446" s="16" t="s">
        <v>3918</v>
      </c>
      <c r="Q446" s="16" t="s">
        <v>1815</v>
      </c>
      <c r="R446" s="16" t="s">
        <v>1849</v>
      </c>
      <c r="S446" s="19" t="s">
        <v>1861</v>
      </c>
      <c r="T446" s="20" t="s">
        <v>10269</v>
      </c>
      <c r="U446" s="16" t="s">
        <v>10266</v>
      </c>
      <c r="V446" s="16"/>
      <c r="W446" s="30" t="s">
        <v>10267</v>
      </c>
      <c r="X446" s="18" t="s">
        <v>97</v>
      </c>
      <c r="Y446" s="18" t="s">
        <v>98</v>
      </c>
      <c r="Z446" s="18" t="s">
        <v>1815</v>
      </c>
      <c r="AA446" s="16" t="s">
        <v>3066</v>
      </c>
      <c r="AB446" s="16" t="s">
        <v>3455</v>
      </c>
      <c r="AC446" s="16" t="s">
        <v>3456</v>
      </c>
      <c r="AD446" s="123" t="str">
        <f t="shared" si="6"/>
        <v>External Transfer-Other banks</v>
      </c>
      <c r="AE446" s="123" t="str">
        <f>VLOOKUP(Table1[[#This Row],[Name of bank]],'اكواد البنوك'!$A$2:$B$34,2,0)</f>
        <v>BCBIEGCXXXX</v>
      </c>
      <c r="AF446" s="21" t="s">
        <v>6206</v>
      </c>
      <c r="AG446" s="15" t="s">
        <v>1862</v>
      </c>
    </row>
    <row r="447" spans="1:33">
      <c r="A447" s="14">
        <v>446</v>
      </c>
      <c r="B447" s="14">
        <v>401</v>
      </c>
      <c r="C447" s="14" t="e">
        <v>#N/A</v>
      </c>
      <c r="D447" s="15" t="s">
        <v>1839</v>
      </c>
      <c r="E447" s="16" t="s">
        <v>3919</v>
      </c>
      <c r="F447" s="32" t="s">
        <v>3920</v>
      </c>
      <c r="G447" s="17" t="s">
        <v>3921</v>
      </c>
      <c r="H447" s="18">
        <v>201096983235</v>
      </c>
      <c r="I447" s="16" t="s">
        <v>2640</v>
      </c>
      <c r="J447" s="16" t="s">
        <v>86</v>
      </c>
      <c r="K447" s="16" t="s">
        <v>269</v>
      </c>
      <c r="L447" s="16">
        <v>77921947</v>
      </c>
      <c r="M447" s="16" t="s">
        <v>136</v>
      </c>
      <c r="N447" s="16">
        <v>29509151402959</v>
      </c>
      <c r="O447" s="16" t="s">
        <v>3922</v>
      </c>
      <c r="P447" s="16" t="s">
        <v>3923</v>
      </c>
      <c r="Q447" s="16" t="s">
        <v>1815</v>
      </c>
      <c r="R447" s="16" t="s">
        <v>1849</v>
      </c>
      <c r="S447" s="91" t="s">
        <v>3924</v>
      </c>
      <c r="T447" s="91" t="s">
        <v>40</v>
      </c>
      <c r="U447" s="91" t="s">
        <v>10317</v>
      </c>
      <c r="V447" s="73" t="s">
        <v>10318</v>
      </c>
      <c r="W447" s="74" t="s">
        <v>10319</v>
      </c>
      <c r="X447" s="18" t="s">
        <v>542</v>
      </c>
      <c r="Y447" s="18" t="s">
        <v>98</v>
      </c>
      <c r="Z447" s="18" t="s">
        <v>1815</v>
      </c>
      <c r="AA447" s="16" t="s">
        <v>3066</v>
      </c>
      <c r="AB447" s="16" t="s">
        <v>3455</v>
      </c>
      <c r="AC447" s="16" t="s">
        <v>3456</v>
      </c>
      <c r="AD447" s="123" t="str">
        <f t="shared" si="6"/>
        <v>External Transfer-NBE</v>
      </c>
      <c r="AE447" s="123" t="str">
        <f>VLOOKUP(Table1[[#This Row],[Name of bank]],'اكواد البنوك'!$A$2:$B$34,2,0)</f>
        <v>NBEGEGCXXXX</v>
      </c>
      <c r="AF447" s="98" t="s">
        <v>10320</v>
      </c>
      <c r="AG447" s="56" t="s">
        <v>167</v>
      </c>
    </row>
    <row r="448" spans="1:33">
      <c r="A448" s="14">
        <v>447</v>
      </c>
      <c r="B448" s="14">
        <f>B447</f>
        <v>401</v>
      </c>
      <c r="C448" s="14" t="e">
        <v>#N/A</v>
      </c>
      <c r="D448" s="15" t="s">
        <v>1839</v>
      </c>
      <c r="E448" s="16" t="s">
        <v>3925</v>
      </c>
      <c r="F448" s="32" t="s">
        <v>3926</v>
      </c>
      <c r="G448" s="17" t="s">
        <v>3927</v>
      </c>
      <c r="H448" s="18" t="s">
        <v>3928</v>
      </c>
      <c r="I448" s="16" t="s">
        <v>3929</v>
      </c>
      <c r="J448" s="16" t="s">
        <v>1845</v>
      </c>
      <c r="K448" s="16" t="s">
        <v>3930</v>
      </c>
      <c r="L448" s="16">
        <v>59198624</v>
      </c>
      <c r="M448" s="16">
        <v>100675891</v>
      </c>
      <c r="N448" s="16">
        <v>28501200101841</v>
      </c>
      <c r="O448" s="16" t="s">
        <v>3931</v>
      </c>
      <c r="P448" s="16" t="s">
        <v>3932</v>
      </c>
      <c r="Q448" s="16" t="s">
        <v>1815</v>
      </c>
      <c r="R448" s="16" t="s">
        <v>1849</v>
      </c>
      <c r="S448" s="103" t="s">
        <v>3933</v>
      </c>
      <c r="T448" s="104" t="s">
        <v>40</v>
      </c>
      <c r="U448" s="104" t="s">
        <v>3934</v>
      </c>
      <c r="V448" s="106" t="s">
        <v>3935</v>
      </c>
      <c r="W448" s="109" t="s">
        <v>3936</v>
      </c>
      <c r="X448" s="18" t="s">
        <v>542</v>
      </c>
      <c r="Y448" s="18" t="s">
        <v>98</v>
      </c>
      <c r="Z448" s="18" t="s">
        <v>1815</v>
      </c>
      <c r="AA448" s="16" t="s">
        <v>3066</v>
      </c>
      <c r="AB448" s="16" t="s">
        <v>3455</v>
      </c>
      <c r="AC448" s="16" t="s">
        <v>3456</v>
      </c>
      <c r="AD448" s="123" t="str">
        <f t="shared" si="6"/>
        <v>External Transfer-NBE</v>
      </c>
      <c r="AE448" s="123" t="str">
        <f>VLOOKUP(Table1[[#This Row],[Name of bank]],'اكواد البنوك'!$A$2:$B$34,2,0)</f>
        <v>NBEGEGCXXXX</v>
      </c>
      <c r="AF448" s="21" t="s">
        <v>3937</v>
      </c>
      <c r="AG448" s="15" t="s">
        <v>3938</v>
      </c>
    </row>
    <row r="449" spans="1:33">
      <c r="A449" s="14">
        <v>448</v>
      </c>
      <c r="B449" s="14">
        <f>B448</f>
        <v>401</v>
      </c>
      <c r="C449" s="14" t="e">
        <v>#N/A</v>
      </c>
      <c r="D449" s="15" t="s">
        <v>1831</v>
      </c>
      <c r="E449" s="16" t="s">
        <v>3939</v>
      </c>
      <c r="F449" s="32" t="s">
        <v>3940</v>
      </c>
      <c r="G449" s="17" t="s">
        <v>3941</v>
      </c>
      <c r="H449" s="18" t="s">
        <v>3942</v>
      </c>
      <c r="I449" s="16"/>
      <c r="J449" s="16"/>
      <c r="K449" s="16" t="s">
        <v>1831</v>
      </c>
      <c r="L449" s="16" t="s">
        <v>1836</v>
      </c>
      <c r="M449" s="16" t="s">
        <v>3943</v>
      </c>
      <c r="N449" s="16">
        <v>28405232102778</v>
      </c>
      <c r="O449" s="16"/>
      <c r="P449" s="16"/>
      <c r="Q449" s="16"/>
      <c r="R449" s="16"/>
      <c r="S449" s="19"/>
      <c r="T449" s="20" t="s">
        <v>1837</v>
      </c>
      <c r="U449" s="16"/>
      <c r="V449" s="16"/>
      <c r="W449" s="30" t="s">
        <v>1838</v>
      </c>
      <c r="X449" s="18" t="s">
        <v>542</v>
      </c>
      <c r="Y449" s="18" t="s">
        <v>98</v>
      </c>
      <c r="Z449" s="18" t="s">
        <v>1815</v>
      </c>
      <c r="AA449" s="16" t="s">
        <v>3066</v>
      </c>
      <c r="AB449" s="16" t="s">
        <v>3455</v>
      </c>
      <c r="AC449" s="16" t="s">
        <v>3456</v>
      </c>
      <c r="AD449" s="123" t="str">
        <f t="shared" si="6"/>
        <v>FUE</v>
      </c>
      <c r="AE449" s="123" t="str">
        <f>VLOOKUP(Table1[[#This Row],[Name of bank]],'اكواد البنوك'!$A$2:$B$34,2,0)</f>
        <v>FUE</v>
      </c>
      <c r="AF449" s="21" t="s">
        <v>1838</v>
      </c>
      <c r="AG449" s="15" t="s">
        <v>49</v>
      </c>
    </row>
    <row r="450" spans="1:33">
      <c r="A450" s="14">
        <v>449</v>
      </c>
      <c r="B450" s="14">
        <v>402</v>
      </c>
      <c r="C450" s="14" t="e">
        <v>#N/A</v>
      </c>
      <c r="D450" s="15" t="s">
        <v>1839</v>
      </c>
      <c r="E450" s="16" t="s">
        <v>3944</v>
      </c>
      <c r="F450" s="32" t="s">
        <v>10125</v>
      </c>
      <c r="G450" s="17" t="s">
        <v>3945</v>
      </c>
      <c r="H450" s="18" t="s">
        <v>3946</v>
      </c>
      <c r="I450" s="16" t="s">
        <v>3947</v>
      </c>
      <c r="J450" s="16" t="s">
        <v>86</v>
      </c>
      <c r="K450" s="16" t="s">
        <v>3948</v>
      </c>
      <c r="L450" s="16">
        <v>17585734</v>
      </c>
      <c r="M450" s="16" t="s">
        <v>136</v>
      </c>
      <c r="N450" s="16">
        <v>27911050202709</v>
      </c>
      <c r="O450" s="16" t="s">
        <v>3949</v>
      </c>
      <c r="P450" s="16" t="s">
        <v>3950</v>
      </c>
      <c r="Q450" s="16" t="s">
        <v>1815</v>
      </c>
      <c r="R450" s="16" t="s">
        <v>1849</v>
      </c>
      <c r="S450" s="102" t="s">
        <v>3951</v>
      </c>
      <c r="T450" s="100" t="s">
        <v>40</v>
      </c>
      <c r="U450" s="102" t="s">
        <v>3952</v>
      </c>
      <c r="V450" s="73" t="s">
        <v>3953</v>
      </c>
      <c r="W450" s="74" t="s">
        <v>3954</v>
      </c>
      <c r="X450" s="18" t="s">
        <v>542</v>
      </c>
      <c r="Y450" s="18" t="s">
        <v>98</v>
      </c>
      <c r="Z450" s="18" t="s">
        <v>1815</v>
      </c>
      <c r="AA450" s="16" t="s">
        <v>3066</v>
      </c>
      <c r="AB450" s="16" t="s">
        <v>3455</v>
      </c>
      <c r="AC450" s="16" t="s">
        <v>3456</v>
      </c>
      <c r="AD450" s="123" t="str">
        <f t="shared" ref="AD450:AD513" si="7">IF(ISNUMBER(SEARCH("EXTERNAL CASH",T450)),
   "EXTERNAL CASH",
   IF(ISNUMBER(SEARCH("شيك من القاهرة",T450)),
      "FUE",
      IF(ISNUMBER(SEARCH("INTERNAL CASH",T450)),
         "INTRNAL CASH",
         IF(Y450="IP",
            "Internal Transfer",
            IF(ISNUMBER(SEARCH("National Bank of Egypt",T450)),
               "External Transfer-NBE",
               "External Transfer-Other banks"
            )
         )
      )
   )
)</f>
        <v>External Transfer-NBE</v>
      </c>
      <c r="AE450" s="123" t="str">
        <f>VLOOKUP(Table1[[#This Row],[Name of bank]],'اكواد البنوك'!$A$2:$B$34,2,0)</f>
        <v>NBEGEGCXXXX</v>
      </c>
      <c r="AF450" s="21" t="s">
        <v>3955</v>
      </c>
      <c r="AG450" s="15" t="s">
        <v>3956</v>
      </c>
    </row>
    <row r="451" spans="1:33">
      <c r="A451" s="14">
        <v>450</v>
      </c>
      <c r="B451" s="14">
        <f>B450</f>
        <v>402</v>
      </c>
      <c r="C451" s="14">
        <v>401</v>
      </c>
      <c r="D451" s="15" t="s">
        <v>1831</v>
      </c>
      <c r="E451" s="16" t="s">
        <v>3957</v>
      </c>
      <c r="F451" s="32" t="s">
        <v>10032</v>
      </c>
      <c r="G451" s="17" t="s">
        <v>3958</v>
      </c>
      <c r="H451" s="18" t="s">
        <v>3959</v>
      </c>
      <c r="I451" s="16"/>
      <c r="J451" s="16"/>
      <c r="K451" s="16" t="s">
        <v>1831</v>
      </c>
      <c r="L451" s="16" t="s">
        <v>1836</v>
      </c>
      <c r="M451" s="16">
        <v>61146425</v>
      </c>
      <c r="N451" s="16" t="s">
        <v>3960</v>
      </c>
      <c r="O451" s="16"/>
      <c r="P451" s="16"/>
      <c r="Q451" s="16"/>
      <c r="R451" s="16"/>
      <c r="S451" s="19"/>
      <c r="T451" s="20" t="s">
        <v>1837</v>
      </c>
      <c r="U451" s="16"/>
      <c r="V451" s="16"/>
      <c r="W451" s="30" t="s">
        <v>1838</v>
      </c>
      <c r="X451" s="18" t="s">
        <v>542</v>
      </c>
      <c r="Y451" s="18" t="s">
        <v>98</v>
      </c>
      <c r="Z451" s="18" t="s">
        <v>1815</v>
      </c>
      <c r="AA451" s="16" t="s">
        <v>3066</v>
      </c>
      <c r="AB451" s="16" t="s">
        <v>3455</v>
      </c>
      <c r="AC451" s="16" t="s">
        <v>3456</v>
      </c>
      <c r="AD451" s="123" t="str">
        <f t="shared" si="7"/>
        <v>FUE</v>
      </c>
      <c r="AE451" s="123" t="str">
        <f>VLOOKUP(Table1[[#This Row],[Name of bank]],'اكواد البنوك'!$A$2:$B$34,2,0)</f>
        <v>FUE</v>
      </c>
      <c r="AF451" s="21" t="s">
        <v>1838</v>
      </c>
      <c r="AG451" s="15" t="s">
        <v>49</v>
      </c>
    </row>
    <row r="452" spans="1:33">
      <c r="A452" s="14">
        <v>451</v>
      </c>
      <c r="B452" s="14">
        <v>403</v>
      </c>
      <c r="C452" s="14" t="e">
        <v>#N/A</v>
      </c>
      <c r="D452" s="15" t="s">
        <v>1831</v>
      </c>
      <c r="E452" s="16" t="s">
        <v>3961</v>
      </c>
      <c r="F452" s="32" t="s">
        <v>10126</v>
      </c>
      <c r="G452" s="17" t="s">
        <v>3962</v>
      </c>
      <c r="H452" s="18" t="s">
        <v>3963</v>
      </c>
      <c r="I452" s="16"/>
      <c r="J452" s="16"/>
      <c r="K452" s="16" t="s">
        <v>1831</v>
      </c>
      <c r="L452" s="16" t="s">
        <v>1836</v>
      </c>
      <c r="M452" s="16" t="s">
        <v>1996</v>
      </c>
      <c r="N452" s="16">
        <v>28607258800149</v>
      </c>
      <c r="O452" s="16"/>
      <c r="P452" s="16"/>
      <c r="Q452" s="16"/>
      <c r="R452" s="16"/>
      <c r="S452" s="19"/>
      <c r="T452" s="20" t="s">
        <v>1837</v>
      </c>
      <c r="U452" s="16"/>
      <c r="V452" s="16"/>
      <c r="W452" s="30" t="s">
        <v>1838</v>
      </c>
      <c r="X452" s="18" t="s">
        <v>542</v>
      </c>
      <c r="Y452" s="18" t="s">
        <v>98</v>
      </c>
      <c r="Z452" s="18" t="s">
        <v>1815</v>
      </c>
      <c r="AA452" s="16" t="s">
        <v>3066</v>
      </c>
      <c r="AB452" s="16" t="s">
        <v>3455</v>
      </c>
      <c r="AC452" s="16" t="s">
        <v>3456</v>
      </c>
      <c r="AD452" s="123" t="str">
        <f t="shared" si="7"/>
        <v>FUE</v>
      </c>
      <c r="AE452" s="123" t="str">
        <f>VLOOKUP(Table1[[#This Row],[Name of bank]],'اكواد البنوك'!$A$2:$B$34,2,0)</f>
        <v>FUE</v>
      </c>
      <c r="AF452" s="21" t="s">
        <v>1838</v>
      </c>
      <c r="AG452" s="15" t="s">
        <v>49</v>
      </c>
    </row>
    <row r="453" spans="1:33">
      <c r="A453" s="14">
        <v>452</v>
      </c>
      <c r="B453" s="14">
        <f>B452</f>
        <v>403</v>
      </c>
      <c r="C453" s="14" t="e">
        <v>#N/A</v>
      </c>
      <c r="D453" s="15" t="s">
        <v>1839</v>
      </c>
      <c r="E453" s="16" t="s">
        <v>3964</v>
      </c>
      <c r="F453" s="32" t="s">
        <v>10047</v>
      </c>
      <c r="G453" s="17" t="s">
        <v>3965</v>
      </c>
      <c r="H453" s="18">
        <v>201228690548</v>
      </c>
      <c r="I453" s="16" t="s">
        <v>3966</v>
      </c>
      <c r="J453" s="16" t="s">
        <v>86</v>
      </c>
      <c r="K453" s="16" t="s">
        <v>1966</v>
      </c>
      <c r="L453" s="16">
        <v>51161689</v>
      </c>
      <c r="M453" s="16">
        <v>718653785</v>
      </c>
      <c r="N453" s="16">
        <v>7308292401597</v>
      </c>
      <c r="O453" s="16" t="s">
        <v>3967</v>
      </c>
      <c r="P453" s="16" t="s">
        <v>3968</v>
      </c>
      <c r="Q453" s="16" t="s">
        <v>1815</v>
      </c>
      <c r="R453" s="16" t="s">
        <v>1849</v>
      </c>
      <c r="S453" s="89" t="s">
        <v>3964</v>
      </c>
      <c r="T453" s="91" t="s">
        <v>40</v>
      </c>
      <c r="U453" s="91" t="s">
        <v>2645</v>
      </c>
      <c r="V453" s="73" t="s">
        <v>3970</v>
      </c>
      <c r="W453" s="74" t="s">
        <v>10356</v>
      </c>
      <c r="X453" s="18" t="s">
        <v>542</v>
      </c>
      <c r="Y453" s="18" t="s">
        <v>98</v>
      </c>
      <c r="Z453" s="18" t="s">
        <v>1815</v>
      </c>
      <c r="AA453" s="16" t="s">
        <v>3066</v>
      </c>
      <c r="AB453" s="16" t="s">
        <v>3455</v>
      </c>
      <c r="AC453" s="16" t="s">
        <v>3456</v>
      </c>
      <c r="AD453" s="123" t="str">
        <f t="shared" si="7"/>
        <v>External Transfer-NBE</v>
      </c>
      <c r="AE453" s="123" t="str">
        <f>VLOOKUP(Table1[[#This Row],[Name of bank]],'اكواد البنوك'!$A$2:$B$34,2,0)</f>
        <v>NBEGEGCXXXX</v>
      </c>
      <c r="AF453" s="94" t="s">
        <v>2648</v>
      </c>
      <c r="AG453" s="90" t="s">
        <v>1073</v>
      </c>
    </row>
    <row r="454" spans="1:33">
      <c r="A454" s="14">
        <v>453</v>
      </c>
      <c r="B454" s="14">
        <v>404</v>
      </c>
      <c r="C454" s="14" t="e">
        <v>#N/A</v>
      </c>
      <c r="D454" s="15" t="s">
        <v>1839</v>
      </c>
      <c r="E454" s="16" t="s">
        <v>3971</v>
      </c>
      <c r="F454" s="32" t="s">
        <v>10204</v>
      </c>
      <c r="G454" s="17" t="s">
        <v>3972</v>
      </c>
      <c r="H454" s="18" t="s">
        <v>3973</v>
      </c>
      <c r="I454" s="16" t="s">
        <v>3974</v>
      </c>
      <c r="J454" s="16" t="s">
        <v>86</v>
      </c>
      <c r="K454" s="16" t="s">
        <v>2196</v>
      </c>
      <c r="L454" s="16" t="s">
        <v>3975</v>
      </c>
      <c r="M454" s="16" t="s">
        <v>3976</v>
      </c>
      <c r="N454" s="16" t="s">
        <v>3977</v>
      </c>
      <c r="O454" s="16" t="s">
        <v>3978</v>
      </c>
      <c r="P454" s="16" t="s">
        <v>3979</v>
      </c>
      <c r="Q454" s="16" t="s">
        <v>1815</v>
      </c>
      <c r="R454" s="16" t="s">
        <v>1882</v>
      </c>
      <c r="S454" s="19" t="s">
        <v>3980</v>
      </c>
      <c r="T454" s="20" t="s">
        <v>176</v>
      </c>
      <c r="U454" s="16" t="s">
        <v>3981</v>
      </c>
      <c r="V454" s="16" t="s">
        <v>3982</v>
      </c>
      <c r="W454" s="30" t="s">
        <v>3983</v>
      </c>
      <c r="X454" s="18" t="s">
        <v>542</v>
      </c>
      <c r="Y454" s="18" t="s">
        <v>98</v>
      </c>
      <c r="Z454" s="18" t="s">
        <v>1815</v>
      </c>
      <c r="AA454" s="16" t="s">
        <v>3066</v>
      </c>
      <c r="AB454" s="16" t="s">
        <v>3455</v>
      </c>
      <c r="AC454" s="16" t="s">
        <v>3456</v>
      </c>
      <c r="AD454" s="123" t="str">
        <f t="shared" si="7"/>
        <v>External Transfer-Other banks</v>
      </c>
      <c r="AE454" s="123" t="str">
        <f>VLOOKUP(Table1[[#This Row],[Name of bank]],'اكواد البنوك'!$A$2:$B$34,2,0)</f>
        <v>BMISEGCXXXX</v>
      </c>
      <c r="AF454" s="21" t="s">
        <v>3984</v>
      </c>
      <c r="AG454" s="15" t="s">
        <v>49</v>
      </c>
    </row>
    <row r="455" spans="1:33">
      <c r="A455" s="14">
        <v>454</v>
      </c>
      <c r="B455" s="14">
        <f>B454</f>
        <v>404</v>
      </c>
      <c r="C455" s="14" t="e">
        <v>#N/A</v>
      </c>
      <c r="D455" s="15" t="s">
        <v>1831</v>
      </c>
      <c r="E455" s="16" t="s">
        <v>3985</v>
      </c>
      <c r="F455" s="32" t="s">
        <v>10141</v>
      </c>
      <c r="G455" s="17" t="s">
        <v>3986</v>
      </c>
      <c r="H455" s="18" t="s">
        <v>3987</v>
      </c>
      <c r="I455" s="16" t="s">
        <v>1831</v>
      </c>
      <c r="J455" s="16"/>
      <c r="K455" s="16"/>
      <c r="L455" s="16" t="s">
        <v>1836</v>
      </c>
      <c r="M455" s="16" t="s">
        <v>3988</v>
      </c>
      <c r="N455" s="16" t="s">
        <v>3989</v>
      </c>
      <c r="O455" s="16"/>
      <c r="P455" s="16"/>
      <c r="Q455" s="16"/>
      <c r="R455" s="16"/>
      <c r="S455" s="19"/>
      <c r="T455" s="20" t="s">
        <v>1837</v>
      </c>
      <c r="U455" s="16"/>
      <c r="V455" s="16"/>
      <c r="W455" s="30" t="s">
        <v>1838</v>
      </c>
      <c r="X455" s="18" t="s">
        <v>542</v>
      </c>
      <c r="Y455" s="18" t="s">
        <v>98</v>
      </c>
      <c r="Z455" s="18" t="s">
        <v>1815</v>
      </c>
      <c r="AA455" s="16" t="s">
        <v>3066</v>
      </c>
      <c r="AB455" s="16" t="s">
        <v>3455</v>
      </c>
      <c r="AC455" s="16" t="s">
        <v>3456</v>
      </c>
      <c r="AD455" s="123" t="str">
        <f t="shared" si="7"/>
        <v>FUE</v>
      </c>
      <c r="AE455" s="123" t="str">
        <f>VLOOKUP(Table1[[#This Row],[Name of bank]],'اكواد البنوك'!$A$2:$B$34,2,0)</f>
        <v>FUE</v>
      </c>
      <c r="AF455" s="21" t="s">
        <v>1838</v>
      </c>
      <c r="AG455" s="15" t="s">
        <v>49</v>
      </c>
    </row>
    <row r="456" spans="1:33">
      <c r="A456" s="14">
        <v>455</v>
      </c>
      <c r="B456" s="14" t="s">
        <v>409</v>
      </c>
      <c r="C456" s="14">
        <v>1</v>
      </c>
      <c r="D456" s="15" t="s">
        <v>1827</v>
      </c>
      <c r="E456" s="16" t="s">
        <v>3990</v>
      </c>
      <c r="F456" s="32" t="s">
        <v>3991</v>
      </c>
      <c r="G456" s="17" t="s">
        <v>3992</v>
      </c>
      <c r="H456" s="18" t="s">
        <v>3993</v>
      </c>
      <c r="I456" s="16" t="s">
        <v>1827</v>
      </c>
      <c r="J456" s="16" t="s">
        <v>43</v>
      </c>
      <c r="K456" s="16" t="s">
        <v>1827</v>
      </c>
      <c r="L456" s="16"/>
      <c r="M456" s="16"/>
      <c r="N456" s="16"/>
      <c r="O456" s="16"/>
      <c r="P456" s="16"/>
      <c r="Q456" s="16"/>
      <c r="R456" s="16"/>
      <c r="S456" s="19"/>
      <c r="T456" s="20" t="s">
        <v>40</v>
      </c>
      <c r="U456" s="16"/>
      <c r="V456" s="16"/>
      <c r="W456" s="30">
        <v>70</v>
      </c>
      <c r="X456" s="18" t="s">
        <v>78</v>
      </c>
      <c r="Y456" s="18" t="s">
        <v>43</v>
      </c>
      <c r="Z456" s="18" t="s">
        <v>1815</v>
      </c>
      <c r="AA456" s="16" t="s">
        <v>3066</v>
      </c>
      <c r="AB456" s="16" t="s">
        <v>3455</v>
      </c>
      <c r="AC456" s="16" t="s">
        <v>3456</v>
      </c>
      <c r="AD456" s="123" t="str">
        <f t="shared" si="7"/>
        <v>Internal Transfer</v>
      </c>
      <c r="AE456" s="123" t="str">
        <f>VLOOKUP(Table1[[#This Row],[Name of bank]],'اكواد البنوك'!$A$2:$B$34,2,0)</f>
        <v>NBEGEGCXXXX</v>
      </c>
      <c r="AF456" s="21" t="s">
        <v>3994</v>
      </c>
      <c r="AG456" s="15" t="s">
        <v>49</v>
      </c>
    </row>
    <row r="457" spans="1:33">
      <c r="A457" s="14">
        <v>456</v>
      </c>
      <c r="B457" s="14" t="e">
        <f>#REF!</f>
        <v>#REF!</v>
      </c>
      <c r="C457" s="14" t="s">
        <v>409</v>
      </c>
      <c r="D457" s="15" t="s">
        <v>1839</v>
      </c>
      <c r="E457" s="16" t="s">
        <v>3995</v>
      </c>
      <c r="F457" s="32" t="s">
        <v>10031</v>
      </c>
      <c r="G457" s="17" t="s">
        <v>3996</v>
      </c>
      <c r="H457" s="18" t="s">
        <v>3997</v>
      </c>
      <c r="I457" s="16" t="s">
        <v>3998</v>
      </c>
      <c r="J457" s="16" t="s">
        <v>86</v>
      </c>
      <c r="K457" s="16" t="s">
        <v>3999</v>
      </c>
      <c r="L457" s="16">
        <v>32386572</v>
      </c>
      <c r="M457" s="16" t="s">
        <v>4000</v>
      </c>
      <c r="N457" s="16">
        <v>27804100102173</v>
      </c>
      <c r="O457" s="16" t="s">
        <v>4001</v>
      </c>
      <c r="P457" s="16" t="s">
        <v>4002</v>
      </c>
      <c r="Q457" s="16" t="s">
        <v>1815</v>
      </c>
      <c r="R457" s="16" t="s">
        <v>1849</v>
      </c>
      <c r="S457" s="19" t="s">
        <v>3995</v>
      </c>
      <c r="T457" s="20" t="s">
        <v>908</v>
      </c>
      <c r="U457" s="16" t="s">
        <v>4003</v>
      </c>
      <c r="V457" s="16" t="s">
        <v>4004</v>
      </c>
      <c r="W457" s="30" t="s">
        <v>4005</v>
      </c>
      <c r="X457" s="18" t="s">
        <v>2096</v>
      </c>
      <c r="Y457" s="18" t="s">
        <v>98</v>
      </c>
      <c r="Z457" s="18" t="s">
        <v>1815</v>
      </c>
      <c r="AA457" s="16" t="s">
        <v>3066</v>
      </c>
      <c r="AB457" s="16" t="s">
        <v>3455</v>
      </c>
      <c r="AC457" s="16" t="s">
        <v>3456</v>
      </c>
      <c r="AD457" s="123" t="str">
        <f t="shared" si="7"/>
        <v>External Transfer-Other banks</v>
      </c>
      <c r="AE457" s="123" t="str">
        <f>VLOOKUP(Table1[[#This Row],[Name of bank]],'اكواد البنوك'!$A$2:$B$34,2,0)</f>
        <v>ARAIEGCXXXX</v>
      </c>
      <c r="AF457" s="21" t="s">
        <v>1022</v>
      </c>
      <c r="AG457" s="15" t="s">
        <v>49</v>
      </c>
    </row>
    <row r="458" spans="1:33">
      <c r="A458" s="14">
        <v>457</v>
      </c>
      <c r="B458" s="14" t="e">
        <f>B457</f>
        <v>#REF!</v>
      </c>
      <c r="C458" s="14" t="s">
        <v>2446</v>
      </c>
      <c r="D458" s="15" t="s">
        <v>1839</v>
      </c>
      <c r="E458" s="16" t="s">
        <v>4006</v>
      </c>
      <c r="F458" s="32" t="s">
        <v>4007</v>
      </c>
      <c r="G458" s="17" t="s">
        <v>4008</v>
      </c>
      <c r="H458" s="18" t="s">
        <v>4009</v>
      </c>
      <c r="I458" s="16" t="s">
        <v>4010</v>
      </c>
      <c r="J458" s="16" t="s">
        <v>86</v>
      </c>
      <c r="K458" s="16" t="s">
        <v>148</v>
      </c>
      <c r="L458" s="16" t="s">
        <v>4011</v>
      </c>
      <c r="M458" s="16" t="s">
        <v>136</v>
      </c>
      <c r="N458" s="16">
        <v>29311140104561</v>
      </c>
      <c r="O458" s="16" t="s">
        <v>4012</v>
      </c>
      <c r="P458" s="16" t="s">
        <v>4013</v>
      </c>
      <c r="Q458" s="16" t="s">
        <v>1815</v>
      </c>
      <c r="R458" s="16" t="s">
        <v>1849</v>
      </c>
      <c r="S458" s="19" t="s">
        <v>4014</v>
      </c>
      <c r="T458" s="20" t="s">
        <v>307</v>
      </c>
      <c r="U458" s="16" t="s">
        <v>2173</v>
      </c>
      <c r="V458" s="16" t="s">
        <v>4015</v>
      </c>
      <c r="W458" s="30" t="s">
        <v>4016</v>
      </c>
      <c r="X458" s="18" t="s">
        <v>97</v>
      </c>
      <c r="Y458" s="18" t="s">
        <v>98</v>
      </c>
      <c r="Z458" s="18" t="s">
        <v>1815</v>
      </c>
      <c r="AA458" s="16" t="s">
        <v>3066</v>
      </c>
      <c r="AB458" s="16" t="s">
        <v>3455</v>
      </c>
      <c r="AC458" s="16" t="s">
        <v>3456</v>
      </c>
      <c r="AD458" s="123" t="str">
        <f t="shared" si="7"/>
        <v>External Transfer-Other banks</v>
      </c>
      <c r="AE458" s="123" t="str">
        <f>VLOOKUP(Table1[[#This Row],[Name of bank]],'اكواد البنوك'!$A$2:$B$34,2,0)</f>
        <v>CIBEEGCXXXX</v>
      </c>
      <c r="AF458" s="21" t="s">
        <v>4017</v>
      </c>
      <c r="AG458" s="15" t="s">
        <v>49</v>
      </c>
    </row>
    <row r="459" spans="1:33">
      <c r="A459" s="14">
        <v>458</v>
      </c>
      <c r="B459" s="14">
        <v>501</v>
      </c>
      <c r="C459" s="14" t="e">
        <v>#N/A</v>
      </c>
      <c r="D459" s="15" t="s">
        <v>1839</v>
      </c>
      <c r="E459" s="16" t="s">
        <v>4018</v>
      </c>
      <c r="F459" s="32" t="s">
        <v>4019</v>
      </c>
      <c r="G459" s="17" t="s">
        <v>4020</v>
      </c>
      <c r="H459" s="18" t="s">
        <v>4021</v>
      </c>
      <c r="I459" s="16" t="s">
        <v>4022</v>
      </c>
      <c r="J459" s="16" t="s">
        <v>173</v>
      </c>
      <c r="K459" s="16" t="s">
        <v>4023</v>
      </c>
      <c r="L459" s="16">
        <v>50868949</v>
      </c>
      <c r="M459" s="16">
        <v>731177509</v>
      </c>
      <c r="N459" s="16">
        <v>27911041900037</v>
      </c>
      <c r="O459" s="16" t="s">
        <v>4024</v>
      </c>
      <c r="P459" s="16" t="s">
        <v>4025</v>
      </c>
      <c r="Q459" s="16" t="s">
        <v>1815</v>
      </c>
      <c r="R459" s="16" t="s">
        <v>1849</v>
      </c>
      <c r="S459" s="76" t="s">
        <v>4026</v>
      </c>
      <c r="T459" s="76" t="s">
        <v>274</v>
      </c>
      <c r="U459" s="76" t="s">
        <v>10390</v>
      </c>
      <c r="V459" s="73" t="s">
        <v>4027</v>
      </c>
      <c r="W459" s="118" t="s">
        <v>4028</v>
      </c>
      <c r="X459" s="18" t="s">
        <v>542</v>
      </c>
      <c r="Y459" s="18" t="s">
        <v>98</v>
      </c>
      <c r="Z459" s="18" t="s">
        <v>1815</v>
      </c>
      <c r="AA459" s="16" t="s">
        <v>3066</v>
      </c>
      <c r="AB459" s="16" t="s">
        <v>3455</v>
      </c>
      <c r="AC459" s="16" t="s">
        <v>3456</v>
      </c>
      <c r="AD459" s="123" t="str">
        <f t="shared" si="7"/>
        <v>External Transfer-Other banks</v>
      </c>
      <c r="AE459" s="123" t="str">
        <f>VLOOKUP(Table1[[#This Row],[Name of bank]],'اكواد البنوك'!$A$2:$B$34,2,0)</f>
        <v>BCAIEGCXXXX</v>
      </c>
      <c r="AF459" s="114" t="s">
        <v>10330</v>
      </c>
      <c r="AG459" s="15" t="s">
        <v>2054</v>
      </c>
    </row>
    <row r="460" spans="1:33">
      <c r="A460" s="14">
        <v>459</v>
      </c>
      <c r="B460" s="14">
        <f>B459</f>
        <v>501</v>
      </c>
      <c r="C460" s="14" t="e">
        <v>#N/A</v>
      </c>
      <c r="D460" s="15" t="s">
        <v>1855</v>
      </c>
      <c r="E460" s="16" t="s">
        <v>4029</v>
      </c>
      <c r="F460" s="32" t="s">
        <v>4030</v>
      </c>
      <c r="G460" s="17" t="s">
        <v>4031</v>
      </c>
      <c r="H460" s="18">
        <v>201023653996</v>
      </c>
      <c r="I460" s="16" t="s">
        <v>4032</v>
      </c>
      <c r="J460" s="16" t="s">
        <v>1845</v>
      </c>
      <c r="K460" s="16" t="s">
        <v>4033</v>
      </c>
      <c r="L460" s="16" t="s">
        <v>4034</v>
      </c>
      <c r="M460" s="16" t="s">
        <v>4034</v>
      </c>
      <c r="N460" s="16" t="s">
        <v>4035</v>
      </c>
      <c r="O460" s="16" t="s">
        <v>4036</v>
      </c>
      <c r="P460" s="16" t="s">
        <v>4037</v>
      </c>
      <c r="Q460" s="16" t="s">
        <v>1815</v>
      </c>
      <c r="R460" s="16" t="s">
        <v>1849</v>
      </c>
      <c r="S460" s="19" t="s">
        <v>1861</v>
      </c>
      <c r="T460" s="20" t="s">
        <v>1464</v>
      </c>
      <c r="U460" s="16" t="s">
        <v>10255</v>
      </c>
      <c r="V460" s="16"/>
      <c r="W460" s="113" t="s">
        <v>10256</v>
      </c>
      <c r="X460" s="18" t="s">
        <v>542</v>
      </c>
      <c r="Y460" s="18" t="s">
        <v>98</v>
      </c>
      <c r="Z460" s="18" t="s">
        <v>1815</v>
      </c>
      <c r="AA460" s="16" t="s">
        <v>3066</v>
      </c>
      <c r="AB460" s="16" t="s">
        <v>3455</v>
      </c>
      <c r="AC460" s="16" t="s">
        <v>3456</v>
      </c>
      <c r="AD460" s="123" t="str">
        <f t="shared" si="7"/>
        <v>External Transfer-Other banks</v>
      </c>
      <c r="AE460" s="123" t="str">
        <f>VLOOKUP(Table1[[#This Row],[Name of bank]],'اكواد البنوك'!$A$2:$B$34,2,0)</f>
        <v>HDBKEGCAXXX</v>
      </c>
      <c r="AF460" s="114" t="s">
        <v>3798</v>
      </c>
      <c r="AG460" s="15" t="s">
        <v>1862</v>
      </c>
    </row>
    <row r="461" spans="1:33">
      <c r="A461" s="14">
        <v>460</v>
      </c>
      <c r="B461" s="14">
        <f>B460</f>
        <v>501</v>
      </c>
      <c r="C461" s="14" t="e">
        <v>#N/A</v>
      </c>
      <c r="D461" s="15" t="s">
        <v>1839</v>
      </c>
      <c r="E461" s="16" t="s">
        <v>4038</v>
      </c>
      <c r="F461" s="32" t="s">
        <v>4039</v>
      </c>
      <c r="G461" s="17" t="s">
        <v>4040</v>
      </c>
      <c r="H461" s="18" t="s">
        <v>4041</v>
      </c>
      <c r="I461" s="16" t="s">
        <v>2616</v>
      </c>
      <c r="J461" s="16" t="s">
        <v>1845</v>
      </c>
      <c r="K461" s="16" t="s">
        <v>4042</v>
      </c>
      <c r="L461" s="16">
        <v>2868299</v>
      </c>
      <c r="M461" s="16">
        <v>10067591</v>
      </c>
      <c r="N461" s="16">
        <v>28601030105736</v>
      </c>
      <c r="O461" s="16" t="s">
        <v>4043</v>
      </c>
      <c r="P461" s="16" t="s">
        <v>4044</v>
      </c>
      <c r="Q461" s="16" t="s">
        <v>1815</v>
      </c>
      <c r="R461" s="16" t="s">
        <v>1849</v>
      </c>
      <c r="S461" s="19" t="s">
        <v>4045</v>
      </c>
      <c r="T461" s="20" t="s">
        <v>1464</v>
      </c>
      <c r="U461" s="16" t="s">
        <v>4046</v>
      </c>
      <c r="V461" s="16" t="s">
        <v>4047</v>
      </c>
      <c r="W461" s="30" t="s">
        <v>4048</v>
      </c>
      <c r="X461" s="18" t="s">
        <v>542</v>
      </c>
      <c r="Y461" s="18" t="s">
        <v>98</v>
      </c>
      <c r="Z461" s="18" t="s">
        <v>1815</v>
      </c>
      <c r="AA461" s="16" t="s">
        <v>3066</v>
      </c>
      <c r="AB461" s="16" t="s">
        <v>3455</v>
      </c>
      <c r="AC461" s="16" t="s">
        <v>3456</v>
      </c>
      <c r="AD461" s="123" t="str">
        <f t="shared" si="7"/>
        <v>External Transfer-Other banks</v>
      </c>
      <c r="AE461" s="123" t="str">
        <f>VLOOKUP(Table1[[#This Row],[Name of bank]],'اكواد البنوك'!$A$2:$B$34,2,0)</f>
        <v>HDBKEGCAXXX</v>
      </c>
      <c r="AF461" s="21" t="s">
        <v>4049</v>
      </c>
      <c r="AG461" s="15" t="s">
        <v>49</v>
      </c>
    </row>
    <row r="462" spans="1:33">
      <c r="A462" s="14">
        <v>461</v>
      </c>
      <c r="B462" s="14">
        <v>502</v>
      </c>
      <c r="C462" s="14" t="e">
        <v>#N/A</v>
      </c>
      <c r="D462" s="15" t="s">
        <v>1839</v>
      </c>
      <c r="E462" s="16" t="s">
        <v>4050</v>
      </c>
      <c r="F462" s="32" t="s">
        <v>4051</v>
      </c>
      <c r="G462" s="17" t="s">
        <v>4052</v>
      </c>
      <c r="H462" s="18" t="s">
        <v>4053</v>
      </c>
      <c r="I462" s="16" t="s">
        <v>4054</v>
      </c>
      <c r="J462" s="16" t="s">
        <v>1845</v>
      </c>
      <c r="K462" s="16" t="s">
        <v>4055</v>
      </c>
      <c r="L462" s="16">
        <v>77753191</v>
      </c>
      <c r="M462" s="16" t="s">
        <v>136</v>
      </c>
      <c r="N462" s="16">
        <v>27407170100675</v>
      </c>
      <c r="O462" s="16" t="s">
        <v>4056</v>
      </c>
      <c r="P462" s="16" t="s">
        <v>4057</v>
      </c>
      <c r="Q462" s="16" t="s">
        <v>1815</v>
      </c>
      <c r="R462" s="16" t="s">
        <v>1849</v>
      </c>
      <c r="S462" s="19" t="s">
        <v>4058</v>
      </c>
      <c r="T462" s="20" t="s">
        <v>993</v>
      </c>
      <c r="U462" s="16" t="s">
        <v>4059</v>
      </c>
      <c r="V462" s="16" t="s">
        <v>4060</v>
      </c>
      <c r="W462" s="30" t="s">
        <v>4061</v>
      </c>
      <c r="X462" s="18" t="s">
        <v>542</v>
      </c>
      <c r="Y462" s="18" t="s">
        <v>98</v>
      </c>
      <c r="Z462" s="18" t="s">
        <v>1815</v>
      </c>
      <c r="AA462" s="16" t="s">
        <v>3066</v>
      </c>
      <c r="AB462" s="16" t="s">
        <v>3455</v>
      </c>
      <c r="AC462" s="16" t="s">
        <v>3456</v>
      </c>
      <c r="AD462" s="123" t="str">
        <f t="shared" si="7"/>
        <v>External Transfer-Other banks</v>
      </c>
      <c r="AE462" s="123" t="str">
        <f>VLOOKUP(Table1[[#This Row],[Name of bank]],'اكواد البنوك'!$A$2:$B$34,2,0)</f>
        <v>ALEXEGCXXXX</v>
      </c>
      <c r="AF462" s="21" t="s">
        <v>4062</v>
      </c>
      <c r="AG462" s="15" t="s">
        <v>49</v>
      </c>
    </row>
    <row r="463" spans="1:33">
      <c r="A463" s="14">
        <v>462</v>
      </c>
      <c r="B463" s="14">
        <f>B462</f>
        <v>502</v>
      </c>
      <c r="C463" s="14" t="e">
        <v>#N/A</v>
      </c>
      <c r="D463" s="15" t="s">
        <v>1831</v>
      </c>
      <c r="E463" s="16" t="s">
        <v>4063</v>
      </c>
      <c r="F463" s="32" t="s">
        <v>10016</v>
      </c>
      <c r="G463" s="17" t="s">
        <v>4064</v>
      </c>
      <c r="H463" s="18" t="s">
        <v>4065</v>
      </c>
      <c r="I463" s="16" t="s">
        <v>1831</v>
      </c>
      <c r="J463" s="16"/>
      <c r="K463" s="16"/>
      <c r="L463" s="16" t="s">
        <v>1836</v>
      </c>
      <c r="M463" s="16" t="s">
        <v>4066</v>
      </c>
      <c r="N463" s="16">
        <v>27609291400775</v>
      </c>
      <c r="O463" s="16"/>
      <c r="P463" s="16"/>
      <c r="Q463" s="16"/>
      <c r="R463" s="16"/>
      <c r="S463" s="19"/>
      <c r="T463" s="20" t="s">
        <v>1837</v>
      </c>
      <c r="U463" s="16"/>
      <c r="V463" s="16"/>
      <c r="W463" s="30" t="s">
        <v>1838</v>
      </c>
      <c r="X463" s="18" t="s">
        <v>542</v>
      </c>
      <c r="Y463" s="18" t="s">
        <v>98</v>
      </c>
      <c r="Z463" s="18" t="s">
        <v>1815</v>
      </c>
      <c r="AA463" s="16" t="s">
        <v>3066</v>
      </c>
      <c r="AB463" s="16" t="s">
        <v>3455</v>
      </c>
      <c r="AC463" s="16" t="s">
        <v>3456</v>
      </c>
      <c r="AD463" s="123" t="str">
        <f t="shared" si="7"/>
        <v>FUE</v>
      </c>
      <c r="AE463" s="123" t="str">
        <f>VLOOKUP(Table1[[#This Row],[Name of bank]],'اكواد البنوك'!$A$2:$B$34,2,0)</f>
        <v>FUE</v>
      </c>
      <c r="AF463" s="21" t="s">
        <v>1838</v>
      </c>
      <c r="AG463" s="15" t="s">
        <v>49</v>
      </c>
    </row>
    <row r="464" spans="1:33">
      <c r="A464" s="14">
        <v>463</v>
      </c>
      <c r="B464" s="14">
        <v>503</v>
      </c>
      <c r="C464" s="14" t="e">
        <v>#N/A</v>
      </c>
      <c r="D464" s="15" t="s">
        <v>1839</v>
      </c>
      <c r="E464" s="16" t="s">
        <v>4067</v>
      </c>
      <c r="F464" s="32" t="s">
        <v>4068</v>
      </c>
      <c r="G464" s="17" t="s">
        <v>4069</v>
      </c>
      <c r="H464" s="18" t="s">
        <v>4070</v>
      </c>
      <c r="I464" s="16" t="s">
        <v>4071</v>
      </c>
      <c r="J464" s="16" t="s">
        <v>86</v>
      </c>
      <c r="K464" s="16" t="s">
        <v>4072</v>
      </c>
      <c r="L464" s="16">
        <v>67332267</v>
      </c>
      <c r="M464" s="16" t="s">
        <v>136</v>
      </c>
      <c r="N464" s="16">
        <v>29105232401465</v>
      </c>
      <c r="O464" s="16" t="s">
        <v>4073</v>
      </c>
      <c r="P464" s="16" t="s">
        <v>4074</v>
      </c>
      <c r="Q464" s="16" t="s">
        <v>1815</v>
      </c>
      <c r="R464" s="16" t="s">
        <v>1882</v>
      </c>
      <c r="S464" s="100" t="s">
        <v>4068</v>
      </c>
      <c r="T464" s="87" t="s">
        <v>176</v>
      </c>
      <c r="U464" s="87" t="s">
        <v>4075</v>
      </c>
      <c r="V464" s="73" t="s">
        <v>10321</v>
      </c>
      <c r="W464" s="74" t="s">
        <v>4076</v>
      </c>
      <c r="X464" s="18" t="s">
        <v>542</v>
      </c>
      <c r="Y464" s="18" t="s">
        <v>98</v>
      </c>
      <c r="Z464" s="18" t="s">
        <v>1815</v>
      </c>
      <c r="AA464" s="16" t="s">
        <v>3066</v>
      </c>
      <c r="AB464" s="16" t="s">
        <v>3455</v>
      </c>
      <c r="AC464" s="16" t="s">
        <v>3456</v>
      </c>
      <c r="AD464" s="123" t="str">
        <f t="shared" si="7"/>
        <v>External Transfer-Other banks</v>
      </c>
      <c r="AE464" s="123" t="str">
        <f>VLOOKUP(Table1[[#This Row],[Name of bank]],'اكواد البنوك'!$A$2:$B$34,2,0)</f>
        <v>BMISEGCXXXX</v>
      </c>
      <c r="AF464" s="21" t="s">
        <v>4077</v>
      </c>
      <c r="AG464" s="15" t="s">
        <v>3938</v>
      </c>
    </row>
    <row r="465" spans="1:33">
      <c r="A465" s="14">
        <v>464</v>
      </c>
      <c r="B465" s="14">
        <f>B464</f>
        <v>503</v>
      </c>
      <c r="C465" s="14" t="e">
        <v>#N/A</v>
      </c>
      <c r="D465" s="15" t="s">
        <v>1831</v>
      </c>
      <c r="E465" s="16" t="s">
        <v>4078</v>
      </c>
      <c r="F465" s="32" t="s">
        <v>10098</v>
      </c>
      <c r="G465" s="17" t="s">
        <v>4079</v>
      </c>
      <c r="H465" s="18" t="s">
        <v>4080</v>
      </c>
      <c r="I465" s="16" t="s">
        <v>1831</v>
      </c>
      <c r="J465" s="16"/>
      <c r="K465" s="16"/>
      <c r="L465" s="16" t="s">
        <v>1836</v>
      </c>
      <c r="M465" s="16" t="s">
        <v>1996</v>
      </c>
      <c r="N465" s="16">
        <v>29505130100108</v>
      </c>
      <c r="O465" s="16"/>
      <c r="P465" s="16"/>
      <c r="Q465" s="16"/>
      <c r="R465" s="16"/>
      <c r="S465" s="19"/>
      <c r="T465" s="20" t="s">
        <v>1837</v>
      </c>
      <c r="U465" s="16"/>
      <c r="V465" s="16"/>
      <c r="W465" s="30" t="s">
        <v>1838</v>
      </c>
      <c r="X465" s="18" t="s">
        <v>542</v>
      </c>
      <c r="Y465" s="18" t="s">
        <v>98</v>
      </c>
      <c r="Z465" s="18" t="s">
        <v>1815</v>
      </c>
      <c r="AA465" s="16" t="s">
        <v>3066</v>
      </c>
      <c r="AB465" s="16" t="s">
        <v>3455</v>
      </c>
      <c r="AC465" s="16" t="s">
        <v>3456</v>
      </c>
      <c r="AD465" s="123" t="str">
        <f t="shared" si="7"/>
        <v>FUE</v>
      </c>
      <c r="AE465" s="123" t="str">
        <f>VLOOKUP(Table1[[#This Row],[Name of bank]],'اكواد البنوك'!$A$2:$B$34,2,0)</f>
        <v>FUE</v>
      </c>
      <c r="AF465" s="21" t="s">
        <v>1838</v>
      </c>
      <c r="AG465" s="15" t="s">
        <v>49</v>
      </c>
    </row>
    <row r="466" spans="1:33">
      <c r="A466" s="14">
        <v>465</v>
      </c>
      <c r="B466" s="14">
        <v>504</v>
      </c>
      <c r="C466" s="14" t="e">
        <v>#N/A</v>
      </c>
      <c r="D466" s="15" t="s">
        <v>1839</v>
      </c>
      <c r="E466" s="16" t="s">
        <v>4081</v>
      </c>
      <c r="F466" s="32" t="s">
        <v>4082</v>
      </c>
      <c r="G466" s="17" t="s">
        <v>4083</v>
      </c>
      <c r="H466" s="18" t="s">
        <v>4084</v>
      </c>
      <c r="I466" s="16" t="s">
        <v>4085</v>
      </c>
      <c r="J466" s="16" t="s">
        <v>173</v>
      </c>
      <c r="K466" s="16" t="s">
        <v>4086</v>
      </c>
      <c r="L466" s="16">
        <v>23227983</v>
      </c>
      <c r="M466" s="16" t="s">
        <v>136</v>
      </c>
      <c r="N466" s="16" t="s">
        <v>4087</v>
      </c>
      <c r="O466" s="16" t="s">
        <v>4088</v>
      </c>
      <c r="P466" s="16" t="s">
        <v>4089</v>
      </c>
      <c r="Q466" s="16" t="s">
        <v>1815</v>
      </c>
      <c r="R466" s="16" t="s">
        <v>1849</v>
      </c>
      <c r="S466" s="100" t="s">
        <v>4090</v>
      </c>
      <c r="T466" s="87" t="s">
        <v>176</v>
      </c>
      <c r="U466" s="117" t="s">
        <v>10389</v>
      </c>
      <c r="V466" s="73" t="s">
        <v>4091</v>
      </c>
      <c r="W466" s="118" t="s">
        <v>4092</v>
      </c>
      <c r="X466" s="18" t="s">
        <v>542</v>
      </c>
      <c r="Y466" s="18" t="s">
        <v>98</v>
      </c>
      <c r="Z466" s="18" t="s">
        <v>1815</v>
      </c>
      <c r="AA466" s="16" t="s">
        <v>3066</v>
      </c>
      <c r="AB466" s="16" t="s">
        <v>3455</v>
      </c>
      <c r="AC466" s="16" t="s">
        <v>3456</v>
      </c>
      <c r="AD466" s="123" t="str">
        <f t="shared" si="7"/>
        <v>External Transfer-Other banks</v>
      </c>
      <c r="AE466" s="123" t="str">
        <f>VLOOKUP(Table1[[#This Row],[Name of bank]],'اكواد البنوك'!$A$2:$B$34,2,0)</f>
        <v>BMISEGCXXXX</v>
      </c>
      <c r="AF466" s="114" t="s">
        <v>3731</v>
      </c>
      <c r="AG466" s="15" t="s">
        <v>3938</v>
      </c>
    </row>
    <row r="467" spans="1:33">
      <c r="A467" s="14">
        <v>466</v>
      </c>
      <c r="B467" s="14">
        <f>B466</f>
        <v>504</v>
      </c>
      <c r="C467" s="14" t="e">
        <v>#N/A</v>
      </c>
      <c r="D467" s="15" t="s">
        <v>1831</v>
      </c>
      <c r="E467" s="16" t="s">
        <v>4093</v>
      </c>
      <c r="F467" s="32" t="s">
        <v>4094</v>
      </c>
      <c r="G467" s="17" t="s">
        <v>4095</v>
      </c>
      <c r="H467" s="18" t="s">
        <v>4096</v>
      </c>
      <c r="I467" s="16" t="s">
        <v>4097</v>
      </c>
      <c r="J467" s="16">
        <v>33169597</v>
      </c>
      <c r="K467" s="16" t="s">
        <v>1831</v>
      </c>
      <c r="L467" s="16"/>
      <c r="M467" s="16"/>
      <c r="N467" s="16"/>
      <c r="O467" s="16"/>
      <c r="P467" s="16"/>
      <c r="Q467" s="16"/>
      <c r="R467" s="16"/>
      <c r="S467" s="19"/>
      <c r="T467" s="20" t="s">
        <v>1837</v>
      </c>
      <c r="U467" s="16"/>
      <c r="V467" s="16"/>
      <c r="W467" s="30" t="s">
        <v>1838</v>
      </c>
      <c r="X467" s="18" t="s">
        <v>127</v>
      </c>
      <c r="Y467" s="18" t="s">
        <v>98</v>
      </c>
      <c r="Z467" s="18" t="s">
        <v>1815</v>
      </c>
      <c r="AA467" s="16" t="s">
        <v>3066</v>
      </c>
      <c r="AB467" s="16" t="s">
        <v>3455</v>
      </c>
      <c r="AC467" s="16" t="s">
        <v>3456</v>
      </c>
      <c r="AD467" s="123" t="str">
        <f t="shared" si="7"/>
        <v>FUE</v>
      </c>
      <c r="AE467" s="123" t="str">
        <f>VLOOKUP(Table1[[#This Row],[Name of bank]],'اكواد البنوك'!$A$2:$B$34,2,0)</f>
        <v>FUE</v>
      </c>
      <c r="AF467" s="21" t="s">
        <v>1838</v>
      </c>
      <c r="AG467" s="15" t="s">
        <v>49</v>
      </c>
    </row>
    <row r="468" spans="1:33">
      <c r="A468" s="14">
        <v>467</v>
      </c>
      <c r="B468" s="14">
        <v>506</v>
      </c>
      <c r="C468" s="14">
        <v>2</v>
      </c>
      <c r="D468" s="15" t="s">
        <v>1839</v>
      </c>
      <c r="E468" s="16" t="s">
        <v>4098</v>
      </c>
      <c r="F468" s="32" t="s">
        <v>4099</v>
      </c>
      <c r="G468" s="17" t="s">
        <v>4100</v>
      </c>
      <c r="H468" s="18" t="s">
        <v>4101</v>
      </c>
      <c r="I468" s="16" t="s">
        <v>3132</v>
      </c>
      <c r="J468" s="16" t="s">
        <v>86</v>
      </c>
      <c r="K468" s="16" t="s">
        <v>269</v>
      </c>
      <c r="L468" s="16">
        <v>38230337</v>
      </c>
      <c r="M468" s="16" t="s">
        <v>136</v>
      </c>
      <c r="N468" s="16">
        <v>27312160104442</v>
      </c>
      <c r="O468" s="16" t="s">
        <v>4102</v>
      </c>
      <c r="P468" s="16" t="s">
        <v>4103</v>
      </c>
      <c r="Q468" s="16" t="s">
        <v>1815</v>
      </c>
      <c r="R468" s="16" t="s">
        <v>1849</v>
      </c>
      <c r="S468" s="76" t="s">
        <v>4104</v>
      </c>
      <c r="T468" s="76" t="s">
        <v>40</v>
      </c>
      <c r="U468" s="76" t="s">
        <v>2583</v>
      </c>
      <c r="V468" s="73" t="s">
        <v>4105</v>
      </c>
      <c r="W468" s="74" t="s">
        <v>4106</v>
      </c>
      <c r="X468" s="18" t="s">
        <v>542</v>
      </c>
      <c r="Y468" s="18" t="s">
        <v>98</v>
      </c>
      <c r="Z468" s="18" t="s">
        <v>1815</v>
      </c>
      <c r="AA468" s="16" t="s">
        <v>3066</v>
      </c>
      <c r="AB468" s="16" t="s">
        <v>3455</v>
      </c>
      <c r="AC468" s="16" t="s">
        <v>3456</v>
      </c>
      <c r="AD468" s="123" t="str">
        <f t="shared" si="7"/>
        <v>External Transfer-NBE</v>
      </c>
      <c r="AE468" s="123" t="str">
        <f>VLOOKUP(Table1[[#This Row],[Name of bank]],'اكواد البنوك'!$A$2:$B$34,2,0)</f>
        <v>NBEGEGCXXXX</v>
      </c>
      <c r="AF468" s="21" t="s">
        <v>3955</v>
      </c>
      <c r="AG468" s="15" t="s">
        <v>2054</v>
      </c>
    </row>
    <row r="469" spans="1:33">
      <c r="A469" s="14">
        <v>468</v>
      </c>
      <c r="B469" s="14">
        <f>B468</f>
        <v>506</v>
      </c>
      <c r="C469" s="14" t="e">
        <v>#N/A</v>
      </c>
      <c r="D469" s="15" t="s">
        <v>1839</v>
      </c>
      <c r="E469" s="16" t="s">
        <v>4108</v>
      </c>
      <c r="F469" s="32" t="s">
        <v>4109</v>
      </c>
      <c r="G469" s="17" t="s">
        <v>4110</v>
      </c>
      <c r="H469" s="18" t="s">
        <v>4111</v>
      </c>
      <c r="I469" s="16" t="s">
        <v>4112</v>
      </c>
      <c r="J469" s="16" t="s">
        <v>86</v>
      </c>
      <c r="K469" s="16" t="s">
        <v>4113</v>
      </c>
      <c r="L469" s="16" t="s">
        <v>4114</v>
      </c>
      <c r="M469" s="16">
        <v>697131262</v>
      </c>
      <c r="N469" s="16">
        <v>28507300101502</v>
      </c>
      <c r="O469" s="16" t="s">
        <v>4115</v>
      </c>
      <c r="P469" s="16" t="s">
        <v>4116</v>
      </c>
      <c r="Q469" s="16" t="s">
        <v>1815</v>
      </c>
      <c r="R469" s="16" t="s">
        <v>1849</v>
      </c>
      <c r="S469" s="19" t="s">
        <v>4117</v>
      </c>
      <c r="T469" s="20" t="s">
        <v>40</v>
      </c>
      <c r="U469" s="16" t="s">
        <v>4118</v>
      </c>
      <c r="V469" s="16" t="s">
        <v>4119</v>
      </c>
      <c r="W469" s="30" t="s">
        <v>4120</v>
      </c>
      <c r="X469" s="18" t="s">
        <v>542</v>
      </c>
      <c r="Y469" s="18" t="s">
        <v>98</v>
      </c>
      <c r="Z469" s="18" t="s">
        <v>1815</v>
      </c>
      <c r="AA469" s="16" t="s">
        <v>3066</v>
      </c>
      <c r="AB469" s="16" t="s">
        <v>3455</v>
      </c>
      <c r="AC469" s="16" t="s">
        <v>3456</v>
      </c>
      <c r="AD469" s="123" t="str">
        <f t="shared" si="7"/>
        <v>External Transfer-NBE</v>
      </c>
      <c r="AE469" s="123" t="str">
        <f>VLOOKUP(Table1[[#This Row],[Name of bank]],'اكواد البنوك'!$A$2:$B$34,2,0)</f>
        <v>NBEGEGCXXXX</v>
      </c>
      <c r="AF469" s="21" t="s">
        <v>3104</v>
      </c>
      <c r="AG469" s="15" t="s">
        <v>49</v>
      </c>
    </row>
    <row r="470" spans="1:33">
      <c r="A470" s="14">
        <v>469</v>
      </c>
      <c r="B470" s="14" t="s">
        <v>4121</v>
      </c>
      <c r="C470" s="14" t="s">
        <v>4121</v>
      </c>
      <c r="D470" s="15" t="s">
        <v>1718</v>
      </c>
      <c r="E470" s="16" t="s">
        <v>4122</v>
      </c>
      <c r="F470" s="32" t="s">
        <v>4123</v>
      </c>
      <c r="G470" s="17" t="s">
        <v>4124</v>
      </c>
      <c r="H470" s="18" t="s">
        <v>4125</v>
      </c>
      <c r="I470" s="16" t="s">
        <v>1718</v>
      </c>
      <c r="J470" s="16"/>
      <c r="K470" s="16"/>
      <c r="L470" s="16"/>
      <c r="M470" s="16"/>
      <c r="N470" s="16"/>
      <c r="O470" s="16"/>
      <c r="P470" s="16"/>
      <c r="Q470" s="16"/>
      <c r="R470" s="16"/>
      <c r="S470" s="19"/>
      <c r="T470" s="20" t="s">
        <v>40</v>
      </c>
      <c r="U470" s="16"/>
      <c r="V470" s="16"/>
      <c r="W470" s="30" t="s">
        <v>1718</v>
      </c>
      <c r="X470" s="18" t="s">
        <v>31</v>
      </c>
      <c r="Y470" s="18" t="s">
        <v>43</v>
      </c>
      <c r="Z470" s="18" t="s">
        <v>1815</v>
      </c>
      <c r="AA470" s="16" t="s">
        <v>3066</v>
      </c>
      <c r="AB470" s="16" t="s">
        <v>3804</v>
      </c>
      <c r="AC470" s="16" t="s">
        <v>3805</v>
      </c>
      <c r="AD470" s="123" t="str">
        <f t="shared" si="7"/>
        <v>Internal Transfer</v>
      </c>
      <c r="AE470" s="123" t="str">
        <f>VLOOKUP(Table1[[#This Row],[Name of bank]],'اكواد البنوك'!$A$2:$B$34,2,0)</f>
        <v>NBEGEGCXXXX</v>
      </c>
      <c r="AF470" s="30" t="s">
        <v>1718</v>
      </c>
      <c r="AG470" s="15" t="s">
        <v>49</v>
      </c>
    </row>
    <row r="471" spans="1:33">
      <c r="A471" s="14">
        <v>470</v>
      </c>
      <c r="B471" s="14" t="str">
        <f>B470</f>
        <v>Logistics 101 A</v>
      </c>
      <c r="C471" s="14" t="s">
        <v>4121</v>
      </c>
      <c r="D471" s="15" t="s">
        <v>1827</v>
      </c>
      <c r="E471" s="16" t="s">
        <v>4126</v>
      </c>
      <c r="F471" s="32" t="s">
        <v>4127</v>
      </c>
      <c r="G471" s="17" t="s">
        <v>4128</v>
      </c>
      <c r="H471" s="18" t="s">
        <v>4129</v>
      </c>
      <c r="I471" s="16" t="s">
        <v>1827</v>
      </c>
      <c r="J471" s="16" t="s">
        <v>43</v>
      </c>
      <c r="K471" s="16" t="s">
        <v>1827</v>
      </c>
      <c r="L471" s="16"/>
      <c r="M471" s="16"/>
      <c r="N471" s="16"/>
      <c r="O471" s="16"/>
      <c r="P471" s="16"/>
      <c r="Q471" s="16"/>
      <c r="R471" s="16"/>
      <c r="S471" s="19"/>
      <c r="T471" s="20" t="s">
        <v>40</v>
      </c>
      <c r="U471" s="16"/>
      <c r="V471" s="16"/>
      <c r="W471" s="30" t="s">
        <v>4130</v>
      </c>
      <c r="X471" s="18" t="s">
        <v>66</v>
      </c>
      <c r="Y471" s="18" t="s">
        <v>43</v>
      </c>
      <c r="Z471" s="18" t="s">
        <v>1815</v>
      </c>
      <c r="AA471" s="16" t="s">
        <v>3066</v>
      </c>
      <c r="AB471" s="16" t="s">
        <v>3804</v>
      </c>
      <c r="AC471" s="16" t="s">
        <v>3805</v>
      </c>
      <c r="AD471" s="123" t="str">
        <f t="shared" si="7"/>
        <v>Internal Transfer</v>
      </c>
      <c r="AE471" s="123" t="str">
        <f>VLOOKUP(Table1[[#This Row],[Name of bank]],'اكواد البنوك'!$A$2:$B$34,2,0)</f>
        <v>NBEGEGCXXXX</v>
      </c>
      <c r="AF471" s="21" t="s">
        <v>4130</v>
      </c>
      <c r="AG471" s="15" t="s">
        <v>49</v>
      </c>
    </row>
    <row r="472" spans="1:33">
      <c r="A472" s="14">
        <v>471</v>
      </c>
      <c r="B472" s="14" t="str">
        <f>B471</f>
        <v>Logistics 101 A</v>
      </c>
      <c r="C472" s="14" t="e">
        <v>#N/A</v>
      </c>
      <c r="D472" s="15" t="s">
        <v>1855</v>
      </c>
      <c r="E472" s="16" t="s">
        <v>4131</v>
      </c>
      <c r="F472" s="32" t="s">
        <v>4132</v>
      </c>
      <c r="G472" s="17" t="s">
        <v>4133</v>
      </c>
      <c r="H472" s="18">
        <v>201111501993</v>
      </c>
      <c r="I472" s="16" t="s">
        <v>4134</v>
      </c>
      <c r="J472" s="16" t="s">
        <v>173</v>
      </c>
      <c r="K472" s="16" t="s">
        <v>4135</v>
      </c>
      <c r="L472" s="16" t="s">
        <v>136</v>
      </c>
      <c r="M472" s="16" t="s">
        <v>136</v>
      </c>
      <c r="N472" s="16">
        <v>29310020101219</v>
      </c>
      <c r="O472" s="16" t="s">
        <v>4136</v>
      </c>
      <c r="P472" s="16" t="s">
        <v>4137</v>
      </c>
      <c r="Q472" s="16" t="s">
        <v>1815</v>
      </c>
      <c r="R472" s="16" t="s">
        <v>1849</v>
      </c>
      <c r="S472" s="19" t="s">
        <v>1861</v>
      </c>
      <c r="T472" s="20" t="s">
        <v>40</v>
      </c>
      <c r="U472" s="16" t="s">
        <v>10250</v>
      </c>
      <c r="V472" s="16"/>
      <c r="W472" s="30" t="s">
        <v>10251</v>
      </c>
      <c r="X472" s="18" t="s">
        <v>66</v>
      </c>
      <c r="Y472" s="18" t="s">
        <v>98</v>
      </c>
      <c r="Z472" s="18" t="s">
        <v>1815</v>
      </c>
      <c r="AA472" s="16" t="s">
        <v>3066</v>
      </c>
      <c r="AB472" s="16" t="s">
        <v>3804</v>
      </c>
      <c r="AC472" s="16" t="s">
        <v>3805</v>
      </c>
      <c r="AD472" s="123" t="str">
        <f t="shared" si="7"/>
        <v>External Transfer-NBE</v>
      </c>
      <c r="AE472" s="123" t="str">
        <f>VLOOKUP(Table1[[#This Row],[Name of bank]],'اكواد البنوك'!$A$2:$B$34,2,0)</f>
        <v>NBEGEGCXXXX</v>
      </c>
      <c r="AF472" s="21" t="s">
        <v>1176</v>
      </c>
      <c r="AG472" s="15" t="s">
        <v>1862</v>
      </c>
    </row>
    <row r="473" spans="1:33">
      <c r="A473" s="14">
        <v>472</v>
      </c>
      <c r="B473" s="14" t="s">
        <v>73</v>
      </c>
      <c r="C473" s="14" t="s">
        <v>73</v>
      </c>
      <c r="D473" s="15" t="s">
        <v>1827</v>
      </c>
      <c r="E473" s="16" t="s">
        <v>4138</v>
      </c>
      <c r="F473" s="32" t="s">
        <v>4139</v>
      </c>
      <c r="G473" s="17" t="s">
        <v>4140</v>
      </c>
      <c r="H473" s="18" t="s">
        <v>4141</v>
      </c>
      <c r="I473" s="16"/>
      <c r="J473" s="16"/>
      <c r="K473" s="16" t="s">
        <v>1827</v>
      </c>
      <c r="L473" s="16"/>
      <c r="M473" s="16"/>
      <c r="N473" s="16"/>
      <c r="O473" s="16"/>
      <c r="P473" s="16"/>
      <c r="Q473" s="16"/>
      <c r="R473" s="16"/>
      <c r="S473" s="19"/>
      <c r="T473" s="20" t="s">
        <v>40</v>
      </c>
      <c r="U473" s="16"/>
      <c r="V473" s="16"/>
      <c r="W473" s="30">
        <v>69</v>
      </c>
      <c r="X473" s="18" t="s">
        <v>78</v>
      </c>
      <c r="Y473" s="18" t="s">
        <v>43</v>
      </c>
      <c r="Z473" s="18" t="s">
        <v>1815</v>
      </c>
      <c r="AA473" s="16" t="s">
        <v>3066</v>
      </c>
      <c r="AB473" s="16" t="s">
        <v>3804</v>
      </c>
      <c r="AC473" s="16" t="s">
        <v>3805</v>
      </c>
      <c r="AD473" s="123" t="str">
        <f t="shared" si="7"/>
        <v>Internal Transfer</v>
      </c>
      <c r="AE473" s="123" t="str">
        <f>VLOOKUP(Table1[[#This Row],[Name of bank]],'اكواد البنوك'!$A$2:$B$34,2,0)</f>
        <v>NBEGEGCXXXX</v>
      </c>
      <c r="AF473" s="21" t="s">
        <v>4142</v>
      </c>
      <c r="AG473" s="15" t="s">
        <v>49</v>
      </c>
    </row>
    <row r="474" spans="1:33">
      <c r="A474" s="14">
        <v>473</v>
      </c>
      <c r="B474" s="14" t="str">
        <f>B473</f>
        <v>2nd Floor</v>
      </c>
      <c r="C474" s="14">
        <v>101</v>
      </c>
      <c r="D474" s="15" t="s">
        <v>1831</v>
      </c>
      <c r="E474" s="16" t="s">
        <v>4143</v>
      </c>
      <c r="F474" s="32" t="s">
        <v>4144</v>
      </c>
      <c r="G474" s="17" t="s">
        <v>4145</v>
      </c>
      <c r="H474" s="18" t="s">
        <v>4146</v>
      </c>
      <c r="I474" s="16"/>
      <c r="J474" s="16"/>
      <c r="K474" s="16" t="s">
        <v>1831</v>
      </c>
      <c r="L474" s="16" t="s">
        <v>1836</v>
      </c>
      <c r="M474" s="16">
        <v>54015806</v>
      </c>
      <c r="N474" s="16" t="s">
        <v>4147</v>
      </c>
      <c r="O474" s="16"/>
      <c r="P474" s="16"/>
      <c r="Q474" s="16"/>
      <c r="R474" s="16"/>
      <c r="S474" s="19"/>
      <c r="T474" s="20" t="s">
        <v>1837</v>
      </c>
      <c r="U474" s="16"/>
      <c r="V474" s="16"/>
      <c r="W474" s="30" t="s">
        <v>1838</v>
      </c>
      <c r="X474" s="18" t="s">
        <v>97</v>
      </c>
      <c r="Y474" s="18" t="s">
        <v>98</v>
      </c>
      <c r="Z474" s="18" t="s">
        <v>1815</v>
      </c>
      <c r="AA474" s="16" t="s">
        <v>3066</v>
      </c>
      <c r="AB474" s="16" t="s">
        <v>3804</v>
      </c>
      <c r="AC474" s="16" t="s">
        <v>3805</v>
      </c>
      <c r="AD474" s="123" t="str">
        <f t="shared" si="7"/>
        <v>FUE</v>
      </c>
      <c r="AE474" s="123" t="str">
        <f>VLOOKUP(Table1[[#This Row],[Name of bank]],'اكواد البنوك'!$A$2:$B$34,2,0)</f>
        <v>FUE</v>
      </c>
      <c r="AF474" s="21" t="s">
        <v>1838</v>
      </c>
      <c r="AG474" s="15" t="s">
        <v>49</v>
      </c>
    </row>
    <row r="475" spans="1:33">
      <c r="A475" s="14">
        <v>474</v>
      </c>
      <c r="B475" s="14" t="str">
        <f>B474</f>
        <v>2nd Floor</v>
      </c>
      <c r="C475" s="14" t="e">
        <v>#N/A</v>
      </c>
      <c r="D475" s="15" t="s">
        <v>1855</v>
      </c>
      <c r="E475" s="16" t="s">
        <v>4148</v>
      </c>
      <c r="F475" s="32" t="s">
        <v>4149</v>
      </c>
      <c r="G475" s="17" t="s">
        <v>4150</v>
      </c>
      <c r="H475" s="18">
        <v>201148957022</v>
      </c>
      <c r="I475" s="16" t="s">
        <v>2462</v>
      </c>
      <c r="J475" s="16" t="s">
        <v>1845</v>
      </c>
      <c r="K475" s="16" t="s">
        <v>2462</v>
      </c>
      <c r="L475" s="16" t="s">
        <v>136</v>
      </c>
      <c r="M475" s="16" t="s">
        <v>136</v>
      </c>
      <c r="N475" s="16">
        <v>29704162102261</v>
      </c>
      <c r="O475" s="16" t="s">
        <v>4151</v>
      </c>
      <c r="P475" s="16" t="s">
        <v>4152</v>
      </c>
      <c r="Q475" s="16" t="s">
        <v>1815</v>
      </c>
      <c r="R475" s="16" t="s">
        <v>1849</v>
      </c>
      <c r="S475" s="19" t="s">
        <v>1861</v>
      </c>
      <c r="T475" s="20" t="s">
        <v>176</v>
      </c>
      <c r="U475" s="16" t="s">
        <v>10257</v>
      </c>
      <c r="V475" s="16"/>
      <c r="W475" s="30" t="s">
        <v>10258</v>
      </c>
      <c r="X475" s="18" t="s">
        <v>97</v>
      </c>
      <c r="Y475" s="18" t="s">
        <v>98</v>
      </c>
      <c r="Z475" s="18" t="s">
        <v>1815</v>
      </c>
      <c r="AA475" s="16" t="s">
        <v>3066</v>
      </c>
      <c r="AB475" s="16" t="s">
        <v>3804</v>
      </c>
      <c r="AC475" s="16" t="s">
        <v>3805</v>
      </c>
      <c r="AD475" s="123" t="str">
        <f t="shared" si="7"/>
        <v>External Transfer-Other banks</v>
      </c>
      <c r="AE475" s="123" t="str">
        <f>VLOOKUP(Table1[[#This Row],[Name of bank]],'اكواد البنوك'!$A$2:$B$34,2,0)</f>
        <v>BMISEGCXXXX</v>
      </c>
      <c r="AF475" s="21" t="s">
        <v>3955</v>
      </c>
      <c r="AG475" s="15" t="s">
        <v>1862</v>
      </c>
    </row>
    <row r="476" spans="1:33">
      <c r="A476" s="14">
        <v>475</v>
      </c>
      <c r="B476" s="14" t="s">
        <v>4153</v>
      </c>
      <c r="C476" s="14" t="e">
        <v>#N/A</v>
      </c>
      <c r="D476" s="15" t="s">
        <v>1839</v>
      </c>
      <c r="E476" s="16" t="s">
        <v>4154</v>
      </c>
      <c r="F476" s="32" t="s">
        <v>4155</v>
      </c>
      <c r="G476" s="17" t="s">
        <v>4156</v>
      </c>
      <c r="H476" s="18" t="s">
        <v>4157</v>
      </c>
      <c r="I476" s="16" t="s">
        <v>4158</v>
      </c>
      <c r="J476" s="16" t="s">
        <v>86</v>
      </c>
      <c r="K476" s="16" t="s">
        <v>160</v>
      </c>
      <c r="L476" s="16" t="s">
        <v>4159</v>
      </c>
      <c r="M476" s="16" t="s">
        <v>4160</v>
      </c>
      <c r="N476" s="16">
        <v>29801020100305</v>
      </c>
      <c r="O476" s="16" t="s">
        <v>4161</v>
      </c>
      <c r="P476" s="16" t="s">
        <v>4162</v>
      </c>
      <c r="Q476" s="16" t="s">
        <v>1815</v>
      </c>
      <c r="R476" s="16" t="s">
        <v>1849</v>
      </c>
      <c r="S476" s="19" t="s">
        <v>4163</v>
      </c>
      <c r="T476" s="20" t="s">
        <v>40</v>
      </c>
      <c r="U476" s="16" t="s">
        <v>3232</v>
      </c>
      <c r="V476" s="16" t="s">
        <v>4164</v>
      </c>
      <c r="W476" s="30" t="s">
        <v>4165</v>
      </c>
      <c r="X476" s="18" t="s">
        <v>542</v>
      </c>
      <c r="Y476" s="18" t="s">
        <v>98</v>
      </c>
      <c r="Z476" s="18" t="s">
        <v>1815</v>
      </c>
      <c r="AA476" s="16" t="s">
        <v>3066</v>
      </c>
      <c r="AB476" s="16" t="s">
        <v>3804</v>
      </c>
      <c r="AC476" s="16" t="s">
        <v>3805</v>
      </c>
      <c r="AD476" s="123" t="str">
        <f t="shared" si="7"/>
        <v>External Transfer-NBE</v>
      </c>
      <c r="AE476" s="123" t="str">
        <f>VLOOKUP(Table1[[#This Row],[Name of bank]],'اكواد البنوك'!$A$2:$B$34,2,0)</f>
        <v>NBEGEGCXXXX</v>
      </c>
      <c r="AF476" s="21" t="s">
        <v>3235</v>
      </c>
      <c r="AG476" s="15" t="s">
        <v>49</v>
      </c>
    </row>
    <row r="477" spans="1:33">
      <c r="A477" s="14">
        <v>476</v>
      </c>
      <c r="B477" s="14" t="str">
        <f>B476</f>
        <v>201A</v>
      </c>
      <c r="C477" s="14" t="s">
        <v>4153</v>
      </c>
      <c r="D477" s="15" t="s">
        <v>1839</v>
      </c>
      <c r="E477" s="16" t="s">
        <v>4166</v>
      </c>
      <c r="F477" s="32" t="s">
        <v>10049</v>
      </c>
      <c r="G477" s="17" t="s">
        <v>4167</v>
      </c>
      <c r="H477" s="18">
        <v>201067370453</v>
      </c>
      <c r="I477" s="16" t="s">
        <v>4168</v>
      </c>
      <c r="J477" s="16" t="s">
        <v>173</v>
      </c>
      <c r="K477" s="16" t="s">
        <v>4169</v>
      </c>
      <c r="L477" s="16" t="s">
        <v>136</v>
      </c>
      <c r="M477" s="16" t="s">
        <v>136</v>
      </c>
      <c r="N477" s="16">
        <v>29802011700291</v>
      </c>
      <c r="O477" s="16" t="s">
        <v>4170</v>
      </c>
      <c r="P477" s="16" t="s">
        <v>4171</v>
      </c>
      <c r="Q477" s="16" t="s">
        <v>1815</v>
      </c>
      <c r="R477" s="16" t="s">
        <v>1882</v>
      </c>
      <c r="S477" s="95" t="s">
        <v>4166</v>
      </c>
      <c r="T477" s="96" t="s">
        <v>40</v>
      </c>
      <c r="U477" s="96" t="s">
        <v>10322</v>
      </c>
      <c r="V477" s="73" t="s">
        <v>10323</v>
      </c>
      <c r="W477" s="74" t="s">
        <v>10324</v>
      </c>
      <c r="X477" s="18" t="s">
        <v>542</v>
      </c>
      <c r="Y477" s="18" t="s">
        <v>98</v>
      </c>
      <c r="Z477" s="18" t="s">
        <v>1815</v>
      </c>
      <c r="AA477" s="16" t="s">
        <v>3066</v>
      </c>
      <c r="AB477" s="16" t="s">
        <v>3804</v>
      </c>
      <c r="AC477" s="16" t="s">
        <v>3805</v>
      </c>
      <c r="AD477" s="123" t="str">
        <f t="shared" si="7"/>
        <v>External Transfer-NBE</v>
      </c>
      <c r="AE477" s="123" t="str">
        <f>VLOOKUP(Table1[[#This Row],[Name of bank]],'اكواد البنوك'!$A$2:$B$34,2,0)</f>
        <v>NBEGEGCXXXX</v>
      </c>
      <c r="AF477" s="21" t="s">
        <v>10325</v>
      </c>
      <c r="AG477" s="15" t="s">
        <v>1073</v>
      </c>
    </row>
    <row r="478" spans="1:33">
      <c r="A478" s="14">
        <v>477</v>
      </c>
      <c r="B478" s="14" t="str">
        <f>B477</f>
        <v>201A</v>
      </c>
      <c r="C478" s="14">
        <v>106</v>
      </c>
      <c r="D478" s="15" t="s">
        <v>1831</v>
      </c>
      <c r="E478" s="16" t="s">
        <v>4172</v>
      </c>
      <c r="F478" s="32" t="s">
        <v>4173</v>
      </c>
      <c r="G478" s="17" t="s">
        <v>4174</v>
      </c>
      <c r="H478" s="18" t="s">
        <v>4175</v>
      </c>
      <c r="I478" s="16"/>
      <c r="J478" s="16"/>
      <c r="K478" s="16" t="s">
        <v>1831</v>
      </c>
      <c r="L478" s="16" t="s">
        <v>1836</v>
      </c>
      <c r="M478" s="16">
        <v>58107951</v>
      </c>
      <c r="N478" s="16" t="s">
        <v>4176</v>
      </c>
      <c r="O478" s="16"/>
      <c r="P478" s="16"/>
      <c r="Q478" s="16"/>
      <c r="R478" s="16"/>
      <c r="S478" s="19"/>
      <c r="T478" s="20" t="s">
        <v>1837</v>
      </c>
      <c r="U478" s="16"/>
      <c r="V478" s="16"/>
      <c r="W478" s="30" t="s">
        <v>1838</v>
      </c>
      <c r="X478" s="18" t="s">
        <v>542</v>
      </c>
      <c r="Y478" s="18" t="s">
        <v>98</v>
      </c>
      <c r="Z478" s="18" t="s">
        <v>1815</v>
      </c>
      <c r="AA478" s="16" t="s">
        <v>3066</v>
      </c>
      <c r="AB478" s="16" t="s">
        <v>3804</v>
      </c>
      <c r="AC478" s="16" t="s">
        <v>3805</v>
      </c>
      <c r="AD478" s="123" t="str">
        <f t="shared" si="7"/>
        <v>FUE</v>
      </c>
      <c r="AE478" s="123" t="str">
        <f>VLOOKUP(Table1[[#This Row],[Name of bank]],'اكواد البنوك'!$A$2:$B$34,2,0)</f>
        <v>FUE</v>
      </c>
      <c r="AF478" s="21" t="s">
        <v>1838</v>
      </c>
      <c r="AG478" s="15" t="s">
        <v>49</v>
      </c>
    </row>
    <row r="479" spans="1:33">
      <c r="A479" s="14">
        <v>478</v>
      </c>
      <c r="B479" s="14" t="s">
        <v>4177</v>
      </c>
      <c r="C479" s="14" t="e">
        <v>#N/A</v>
      </c>
      <c r="D479" s="15" t="s">
        <v>1839</v>
      </c>
      <c r="E479" s="16" t="s">
        <v>4178</v>
      </c>
      <c r="F479" s="32" t="s">
        <v>4179</v>
      </c>
      <c r="G479" s="17" t="s">
        <v>4180</v>
      </c>
      <c r="H479" s="18" t="s">
        <v>4181</v>
      </c>
      <c r="I479" s="16" t="s">
        <v>4182</v>
      </c>
      <c r="J479" s="16" t="s">
        <v>173</v>
      </c>
      <c r="K479" s="16" t="s">
        <v>384</v>
      </c>
      <c r="L479" s="16">
        <v>73332609</v>
      </c>
      <c r="M479" s="16" t="s">
        <v>234</v>
      </c>
      <c r="N479" s="16">
        <v>29209121603182</v>
      </c>
      <c r="O479" s="16" t="s">
        <v>4183</v>
      </c>
      <c r="P479" s="16" t="s">
        <v>4184</v>
      </c>
      <c r="Q479" s="16" t="s">
        <v>1815</v>
      </c>
      <c r="R479" s="16" t="s">
        <v>1849</v>
      </c>
      <c r="S479" s="19" t="s">
        <v>4185</v>
      </c>
      <c r="T479" s="20" t="s">
        <v>176</v>
      </c>
      <c r="U479" s="16" t="s">
        <v>4186</v>
      </c>
      <c r="V479" s="16" t="s">
        <v>4187</v>
      </c>
      <c r="W479" s="30" t="s">
        <v>4188</v>
      </c>
      <c r="X479" s="18" t="s">
        <v>542</v>
      </c>
      <c r="Y479" s="18" t="s">
        <v>98</v>
      </c>
      <c r="Z479" s="18" t="s">
        <v>1815</v>
      </c>
      <c r="AA479" s="16" t="s">
        <v>3066</v>
      </c>
      <c r="AB479" s="16" t="s">
        <v>3804</v>
      </c>
      <c r="AC479" s="16" t="s">
        <v>3805</v>
      </c>
      <c r="AD479" s="123" t="str">
        <f t="shared" si="7"/>
        <v>External Transfer-Other banks</v>
      </c>
      <c r="AE479" s="123" t="str">
        <f>VLOOKUP(Table1[[#This Row],[Name of bank]],'اكواد البنوك'!$A$2:$B$34,2,0)</f>
        <v>BMISEGCXXXX</v>
      </c>
      <c r="AF479" s="21" t="s">
        <v>4189</v>
      </c>
      <c r="AG479" s="15" t="s">
        <v>49</v>
      </c>
    </row>
    <row r="480" spans="1:33">
      <c r="A480" s="14">
        <v>479</v>
      </c>
      <c r="B480" s="14" t="str">
        <f>B479</f>
        <v>202A</v>
      </c>
      <c r="C480" s="14" t="e">
        <v>#N/A</v>
      </c>
      <c r="D480" s="15" t="s">
        <v>1839</v>
      </c>
      <c r="E480" s="16" t="s">
        <v>4190</v>
      </c>
      <c r="F480" s="32" t="s">
        <v>4191</v>
      </c>
      <c r="G480" s="17" t="s">
        <v>4192</v>
      </c>
      <c r="H480" s="18" t="s">
        <v>4193</v>
      </c>
      <c r="I480" s="16" t="s">
        <v>1951</v>
      </c>
      <c r="J480" s="16" t="s">
        <v>86</v>
      </c>
      <c r="K480" s="16" t="s">
        <v>1952</v>
      </c>
      <c r="L480" s="16">
        <v>71475106</v>
      </c>
      <c r="M480" s="16" t="s">
        <v>2744</v>
      </c>
      <c r="N480" s="16">
        <v>29304070101503</v>
      </c>
      <c r="O480" s="16" t="s">
        <v>4194</v>
      </c>
      <c r="P480" s="16" t="s">
        <v>4195</v>
      </c>
      <c r="Q480" s="16" t="s">
        <v>1815</v>
      </c>
      <c r="R480" s="16" t="s">
        <v>1849</v>
      </c>
      <c r="S480" s="19" t="s">
        <v>4196</v>
      </c>
      <c r="T480" s="20" t="s">
        <v>307</v>
      </c>
      <c r="U480" s="16" t="s">
        <v>2583</v>
      </c>
      <c r="V480" s="16"/>
      <c r="W480" s="30" t="s">
        <v>4197</v>
      </c>
      <c r="X480" s="18" t="s">
        <v>542</v>
      </c>
      <c r="Y480" s="18" t="s">
        <v>98</v>
      </c>
      <c r="Z480" s="18" t="s">
        <v>1815</v>
      </c>
      <c r="AA480" s="16" t="s">
        <v>3066</v>
      </c>
      <c r="AB480" s="16" t="s">
        <v>3804</v>
      </c>
      <c r="AC480" s="16" t="s">
        <v>3805</v>
      </c>
      <c r="AD480" s="123" t="str">
        <f t="shared" si="7"/>
        <v>External Transfer-Other banks</v>
      </c>
      <c r="AE480" s="123" t="str">
        <f>VLOOKUP(Table1[[#This Row],[Name of bank]],'اكواد البنوك'!$A$2:$B$34,2,0)</f>
        <v>CIBEEGCXXXX</v>
      </c>
      <c r="AF480" s="21" t="s">
        <v>2586</v>
      </c>
      <c r="AG480" s="15" t="s">
        <v>49</v>
      </c>
    </row>
    <row r="481" spans="1:33">
      <c r="A481" s="14">
        <v>480</v>
      </c>
      <c r="B481" s="14" t="s">
        <v>4198</v>
      </c>
      <c r="C481" s="14" t="e">
        <v>#N/A</v>
      </c>
      <c r="D481" s="15" t="s">
        <v>1839</v>
      </c>
      <c r="E481" s="16" t="s">
        <v>4199</v>
      </c>
      <c r="F481" s="32" t="s">
        <v>10127</v>
      </c>
      <c r="G481" s="17" t="s">
        <v>4200</v>
      </c>
      <c r="H481" s="18" t="s">
        <v>4201</v>
      </c>
      <c r="I481" s="16" t="s">
        <v>4202</v>
      </c>
      <c r="J481" s="16" t="s">
        <v>86</v>
      </c>
      <c r="K481" s="16" t="s">
        <v>4203</v>
      </c>
      <c r="L481" s="16">
        <v>82623323</v>
      </c>
      <c r="M481" s="16" t="s">
        <v>4204</v>
      </c>
      <c r="N481" s="16">
        <v>29811301400346</v>
      </c>
      <c r="O481" s="16" t="s">
        <v>4205</v>
      </c>
      <c r="P481" s="16" t="s">
        <v>4206</v>
      </c>
      <c r="Q481" s="16" t="s">
        <v>1815</v>
      </c>
      <c r="R481" s="16" t="s">
        <v>1849</v>
      </c>
      <c r="S481" s="19" t="s">
        <v>4207</v>
      </c>
      <c r="T481" s="20" t="s">
        <v>93</v>
      </c>
      <c r="U481" s="16" t="s">
        <v>2529</v>
      </c>
      <c r="V481" s="16" t="s">
        <v>4208</v>
      </c>
      <c r="W481" s="30" t="s">
        <v>4209</v>
      </c>
      <c r="X481" s="18" t="s">
        <v>542</v>
      </c>
      <c r="Y481" s="18" t="s">
        <v>98</v>
      </c>
      <c r="Z481" s="18" t="s">
        <v>1815</v>
      </c>
      <c r="AA481" s="16" t="s">
        <v>3066</v>
      </c>
      <c r="AB481" s="16" t="s">
        <v>3804</v>
      </c>
      <c r="AC481" s="16" t="s">
        <v>3805</v>
      </c>
      <c r="AD481" s="123" t="str">
        <f t="shared" si="7"/>
        <v>External Transfer-Other banks</v>
      </c>
      <c r="AE481" s="123" t="str">
        <f>VLOOKUP(Table1[[#This Row],[Name of bank]],'اكواد البنوك'!$A$2:$B$34,2,0)</f>
        <v>QNBAEGCXXXX</v>
      </c>
      <c r="AF481" s="21" t="s">
        <v>2532</v>
      </c>
      <c r="AG481" s="15" t="s">
        <v>49</v>
      </c>
    </row>
    <row r="482" spans="1:33">
      <c r="A482" s="14">
        <v>481</v>
      </c>
      <c r="B482" s="14" t="str">
        <f>B481</f>
        <v>203A</v>
      </c>
      <c r="C482" s="14" t="e">
        <v>#N/A</v>
      </c>
      <c r="D482" s="15" t="s">
        <v>1831</v>
      </c>
      <c r="E482" s="16" t="s">
        <v>4210</v>
      </c>
      <c r="F482" s="32" t="s">
        <v>10131</v>
      </c>
      <c r="G482" s="17" t="s">
        <v>4211</v>
      </c>
      <c r="H482" s="18" t="s">
        <v>4212</v>
      </c>
      <c r="I482" s="16"/>
      <c r="J482" s="16"/>
      <c r="K482" s="16" t="s">
        <v>1831</v>
      </c>
      <c r="L482" s="16" t="s">
        <v>1836</v>
      </c>
      <c r="M482" s="16">
        <v>55329709</v>
      </c>
      <c r="N482" s="16">
        <v>27907261401174</v>
      </c>
      <c r="O482" s="16"/>
      <c r="P482" s="16"/>
      <c r="Q482" s="16"/>
      <c r="R482" s="16"/>
      <c r="S482" s="19"/>
      <c r="T482" s="20" t="s">
        <v>1837</v>
      </c>
      <c r="U482" s="16"/>
      <c r="V482" s="16"/>
      <c r="W482" s="30" t="s">
        <v>1838</v>
      </c>
      <c r="X482" s="18" t="s">
        <v>542</v>
      </c>
      <c r="Y482" s="18" t="s">
        <v>98</v>
      </c>
      <c r="Z482" s="18" t="s">
        <v>1815</v>
      </c>
      <c r="AA482" s="16" t="s">
        <v>3066</v>
      </c>
      <c r="AB482" s="16" t="s">
        <v>3804</v>
      </c>
      <c r="AC482" s="16" t="s">
        <v>3805</v>
      </c>
      <c r="AD482" s="123" t="str">
        <f t="shared" si="7"/>
        <v>FUE</v>
      </c>
      <c r="AE482" s="123" t="str">
        <f>VLOOKUP(Table1[[#This Row],[Name of bank]],'اكواد البنوك'!$A$2:$B$34,2,0)</f>
        <v>FUE</v>
      </c>
      <c r="AF482" s="21" t="s">
        <v>1838</v>
      </c>
      <c r="AG482" s="15" t="s">
        <v>49</v>
      </c>
    </row>
    <row r="483" spans="1:33">
      <c r="A483" s="14">
        <v>482</v>
      </c>
      <c r="B483" s="14" t="s">
        <v>4213</v>
      </c>
      <c r="C483" s="14" t="e">
        <v>#N/A</v>
      </c>
      <c r="D483" s="15" t="s">
        <v>1839</v>
      </c>
      <c r="E483" s="16" t="s">
        <v>4214</v>
      </c>
      <c r="F483" s="32" t="s">
        <v>4215</v>
      </c>
      <c r="G483" s="17" t="s">
        <v>4216</v>
      </c>
      <c r="H483" s="18" t="s">
        <v>4217</v>
      </c>
      <c r="I483" s="16" t="s">
        <v>4218</v>
      </c>
      <c r="J483" s="16" t="s">
        <v>86</v>
      </c>
      <c r="K483" s="16" t="s">
        <v>148</v>
      </c>
      <c r="L483" s="16">
        <v>81977064</v>
      </c>
      <c r="M483" s="16" t="s">
        <v>136</v>
      </c>
      <c r="N483" s="16">
        <v>29802110300083</v>
      </c>
      <c r="O483" s="16" t="s">
        <v>4219</v>
      </c>
      <c r="P483" s="16" t="s">
        <v>4220</v>
      </c>
      <c r="Q483" s="16" t="s">
        <v>1815</v>
      </c>
      <c r="R483" s="16" t="s">
        <v>1849</v>
      </c>
      <c r="S483" s="19" t="s">
        <v>4215</v>
      </c>
      <c r="T483" s="20" t="s">
        <v>176</v>
      </c>
      <c r="U483" s="16" t="s">
        <v>4221</v>
      </c>
      <c r="V483" s="16" t="s">
        <v>4222</v>
      </c>
      <c r="W483" s="30" t="s">
        <v>4223</v>
      </c>
      <c r="X483" s="18" t="s">
        <v>542</v>
      </c>
      <c r="Y483" s="18" t="s">
        <v>98</v>
      </c>
      <c r="Z483" s="18" t="s">
        <v>1815</v>
      </c>
      <c r="AA483" s="16" t="s">
        <v>3066</v>
      </c>
      <c r="AB483" s="16" t="s">
        <v>3804</v>
      </c>
      <c r="AC483" s="16" t="s">
        <v>3805</v>
      </c>
      <c r="AD483" s="123" t="str">
        <f t="shared" si="7"/>
        <v>External Transfer-Other banks</v>
      </c>
      <c r="AE483" s="123" t="str">
        <f>VLOOKUP(Table1[[#This Row],[Name of bank]],'اكواد البنوك'!$A$2:$B$34,2,0)</f>
        <v>BMISEGCXXXX</v>
      </c>
      <c r="AF483" s="21" t="s">
        <v>4224</v>
      </c>
      <c r="AG483" s="15" t="s">
        <v>49</v>
      </c>
    </row>
    <row r="484" spans="1:33">
      <c r="A484" s="14">
        <v>483</v>
      </c>
      <c r="B484" s="14" t="str">
        <f>B483</f>
        <v>204A</v>
      </c>
      <c r="C484" s="14" t="e">
        <v>#N/A</v>
      </c>
      <c r="D484" s="15" t="s">
        <v>1831</v>
      </c>
      <c r="E484" s="16" t="s">
        <v>4225</v>
      </c>
      <c r="F484" s="32" t="s">
        <v>10168</v>
      </c>
      <c r="G484" s="17" t="s">
        <v>4226</v>
      </c>
      <c r="H484" s="18" t="s">
        <v>4227</v>
      </c>
      <c r="I484" s="16"/>
      <c r="J484" s="16"/>
      <c r="K484" s="16" t="s">
        <v>1831</v>
      </c>
      <c r="L484" s="16" t="s">
        <v>1836</v>
      </c>
      <c r="M484" s="16">
        <v>21213557</v>
      </c>
      <c r="N484" s="16" t="s">
        <v>4228</v>
      </c>
      <c r="O484" s="16"/>
      <c r="P484" s="16"/>
      <c r="Q484" s="16"/>
      <c r="R484" s="16"/>
      <c r="S484" s="19"/>
      <c r="T484" s="20" t="s">
        <v>1837</v>
      </c>
      <c r="U484" s="16"/>
      <c r="V484" s="16"/>
      <c r="W484" s="30" t="s">
        <v>1838</v>
      </c>
      <c r="X484" s="18" t="s">
        <v>542</v>
      </c>
      <c r="Y484" s="18" t="s">
        <v>98</v>
      </c>
      <c r="Z484" s="18" t="s">
        <v>1815</v>
      </c>
      <c r="AA484" s="16" t="s">
        <v>3066</v>
      </c>
      <c r="AB484" s="16" t="s">
        <v>3804</v>
      </c>
      <c r="AC484" s="16" t="s">
        <v>3805</v>
      </c>
      <c r="AD484" s="123" t="str">
        <f t="shared" si="7"/>
        <v>FUE</v>
      </c>
      <c r="AE484" s="123" t="str">
        <f>VLOOKUP(Table1[[#This Row],[Name of bank]],'اكواد البنوك'!$A$2:$B$34,2,0)</f>
        <v>FUE</v>
      </c>
      <c r="AF484" s="21" t="s">
        <v>1838</v>
      </c>
      <c r="AG484" s="15" t="s">
        <v>49</v>
      </c>
    </row>
    <row r="485" spans="1:33">
      <c r="A485" s="14">
        <v>484</v>
      </c>
      <c r="B485" s="14" t="s">
        <v>4229</v>
      </c>
      <c r="C485" s="14" t="s">
        <v>4229</v>
      </c>
      <c r="D485" s="15" t="s">
        <v>1839</v>
      </c>
      <c r="E485" s="16" t="s">
        <v>4230</v>
      </c>
      <c r="F485" s="32" t="s">
        <v>4231</v>
      </c>
      <c r="G485" s="17" t="s">
        <v>4232</v>
      </c>
      <c r="H485" s="18">
        <v>201101723947</v>
      </c>
      <c r="I485" s="16" t="s">
        <v>4233</v>
      </c>
      <c r="J485" s="16" t="s">
        <v>173</v>
      </c>
      <c r="K485" s="16" t="s">
        <v>148</v>
      </c>
      <c r="L485" s="16" t="s">
        <v>136</v>
      </c>
      <c r="M485" s="16" t="s">
        <v>136</v>
      </c>
      <c r="N485" s="16">
        <v>30006020103577</v>
      </c>
      <c r="O485" s="16" t="s">
        <v>4234</v>
      </c>
      <c r="P485" s="16" t="s">
        <v>4235</v>
      </c>
      <c r="Q485" s="16" t="s">
        <v>1815</v>
      </c>
      <c r="R485" s="16" t="s">
        <v>1882</v>
      </c>
      <c r="S485" s="96" t="s">
        <v>4231</v>
      </c>
      <c r="T485" s="96" t="s">
        <v>40</v>
      </c>
      <c r="U485" s="96" t="s">
        <v>10322</v>
      </c>
      <c r="V485" s="73" t="s">
        <v>10326</v>
      </c>
      <c r="W485" s="74" t="s">
        <v>10327</v>
      </c>
      <c r="X485" s="18" t="s">
        <v>542</v>
      </c>
      <c r="Y485" s="18" t="s">
        <v>98</v>
      </c>
      <c r="Z485" s="18" t="s">
        <v>1815</v>
      </c>
      <c r="AA485" s="16" t="s">
        <v>3066</v>
      </c>
      <c r="AB485" s="16" t="s">
        <v>3804</v>
      </c>
      <c r="AC485" s="16" t="s">
        <v>3805</v>
      </c>
      <c r="AD485" s="123" t="str">
        <f t="shared" si="7"/>
        <v>External Transfer-NBE</v>
      </c>
      <c r="AE485" s="123" t="str">
        <f>VLOOKUP(Table1[[#This Row],[Name of bank]],'اكواد البنوك'!$A$2:$B$34,2,0)</f>
        <v>NBEGEGCXXXX</v>
      </c>
      <c r="AF485" s="94" t="s">
        <v>10325</v>
      </c>
      <c r="AG485" s="90" t="s">
        <v>167</v>
      </c>
    </row>
    <row r="486" spans="1:33">
      <c r="A486" s="14">
        <v>485</v>
      </c>
      <c r="B486" s="14" t="str">
        <f>B485</f>
        <v>205A</v>
      </c>
      <c r="C486" s="14">
        <v>2</v>
      </c>
      <c r="D486" s="15" t="s">
        <v>1831</v>
      </c>
      <c r="E486" s="16" t="s">
        <v>4236</v>
      </c>
      <c r="F486" s="32" t="s">
        <v>4237</v>
      </c>
      <c r="G486" s="17" t="s">
        <v>4238</v>
      </c>
      <c r="H486" s="18" t="s">
        <v>4239</v>
      </c>
      <c r="I486" s="16"/>
      <c r="J486" s="16"/>
      <c r="K486" s="16" t="s">
        <v>1831</v>
      </c>
      <c r="L486" s="16" t="s">
        <v>1836</v>
      </c>
      <c r="M486" s="16">
        <v>70599243</v>
      </c>
      <c r="N486" s="16" t="s">
        <v>4240</v>
      </c>
      <c r="O486" s="16"/>
      <c r="P486" s="16"/>
      <c r="Q486" s="16"/>
      <c r="R486" s="16"/>
      <c r="S486" s="19"/>
      <c r="T486" s="20" t="s">
        <v>1837</v>
      </c>
      <c r="U486" s="16"/>
      <c r="V486" s="16"/>
      <c r="W486" s="30" t="s">
        <v>1838</v>
      </c>
      <c r="X486" s="18" t="s">
        <v>542</v>
      </c>
      <c r="Y486" s="18" t="s">
        <v>98</v>
      </c>
      <c r="Z486" s="18" t="s">
        <v>1815</v>
      </c>
      <c r="AA486" s="16" t="s">
        <v>3066</v>
      </c>
      <c r="AB486" s="16" t="s">
        <v>3804</v>
      </c>
      <c r="AC486" s="16" t="s">
        <v>3805</v>
      </c>
      <c r="AD486" s="123" t="str">
        <f t="shared" si="7"/>
        <v>FUE</v>
      </c>
      <c r="AE486" s="123" t="str">
        <f>VLOOKUP(Table1[[#This Row],[Name of bank]],'اكواد البنوك'!$A$2:$B$34,2,0)</f>
        <v>FUE</v>
      </c>
      <c r="AF486" s="21" t="s">
        <v>1838</v>
      </c>
      <c r="AG486" s="15" t="s">
        <v>49</v>
      </c>
    </row>
    <row r="487" spans="1:33">
      <c r="A487" s="14">
        <v>486</v>
      </c>
      <c r="B487" s="14" t="s">
        <v>206</v>
      </c>
      <c r="C487" s="14" t="e">
        <v>#N/A</v>
      </c>
      <c r="D487" s="15" t="s">
        <v>1831</v>
      </c>
      <c r="E487" s="16" t="s">
        <v>4241</v>
      </c>
      <c r="F487" s="32" t="s">
        <v>10034</v>
      </c>
      <c r="G487" s="17" t="s">
        <v>4242</v>
      </c>
      <c r="H487" s="18" t="s">
        <v>4243</v>
      </c>
      <c r="I487" s="16" t="s">
        <v>1831</v>
      </c>
      <c r="J487" s="16"/>
      <c r="K487" s="16"/>
      <c r="L487" s="16" t="s">
        <v>1836</v>
      </c>
      <c r="M487" s="16">
        <v>59036105</v>
      </c>
      <c r="N487" s="16" t="s">
        <v>4244</v>
      </c>
      <c r="O487" s="16"/>
      <c r="P487" s="16"/>
      <c r="Q487" s="16"/>
      <c r="R487" s="16"/>
      <c r="S487" s="19"/>
      <c r="T487" s="20" t="s">
        <v>1837</v>
      </c>
      <c r="U487" s="16"/>
      <c r="V487" s="16"/>
      <c r="W487" s="30" t="s">
        <v>1838</v>
      </c>
      <c r="X487" s="18" t="s">
        <v>97</v>
      </c>
      <c r="Y487" s="18" t="s">
        <v>98</v>
      </c>
      <c r="Z487" s="18" t="s">
        <v>1815</v>
      </c>
      <c r="AA487" s="16" t="s">
        <v>3066</v>
      </c>
      <c r="AB487" s="16" t="s">
        <v>3804</v>
      </c>
      <c r="AC487" s="16" t="s">
        <v>3805</v>
      </c>
      <c r="AD487" s="123" t="str">
        <f t="shared" si="7"/>
        <v>FUE</v>
      </c>
      <c r="AE487" s="123" t="str">
        <f>VLOOKUP(Table1[[#This Row],[Name of bank]],'اكواد البنوك'!$A$2:$B$34,2,0)</f>
        <v>FUE</v>
      </c>
      <c r="AF487" s="21" t="s">
        <v>1838</v>
      </c>
      <c r="AG487" s="15" t="s">
        <v>49</v>
      </c>
    </row>
    <row r="488" spans="1:33">
      <c r="A488" s="14">
        <v>487</v>
      </c>
      <c r="B488" s="14" t="str">
        <f>B487</f>
        <v>3rd Floor</v>
      </c>
      <c r="C488" s="14">
        <v>104</v>
      </c>
      <c r="D488" s="15" t="s">
        <v>1839</v>
      </c>
      <c r="E488" s="16" t="s">
        <v>4245</v>
      </c>
      <c r="F488" s="32" t="s">
        <v>4246</v>
      </c>
      <c r="G488" s="17" t="s">
        <v>4247</v>
      </c>
      <c r="H488" s="18" t="s">
        <v>4248</v>
      </c>
      <c r="I488" s="16" t="s">
        <v>4249</v>
      </c>
      <c r="J488" s="16" t="s">
        <v>86</v>
      </c>
      <c r="K488" s="16" t="s">
        <v>4250</v>
      </c>
      <c r="L488" s="16">
        <v>62696994</v>
      </c>
      <c r="M488" s="16" t="s">
        <v>4251</v>
      </c>
      <c r="N488" s="16">
        <v>28602238800698</v>
      </c>
      <c r="O488" s="16" t="s">
        <v>4252</v>
      </c>
      <c r="P488" s="16" t="s">
        <v>4253</v>
      </c>
      <c r="Q488" s="16" t="s">
        <v>1815</v>
      </c>
      <c r="R488" s="16" t="s">
        <v>1849</v>
      </c>
      <c r="S488" s="19" t="s">
        <v>4245</v>
      </c>
      <c r="T488" s="20" t="s">
        <v>307</v>
      </c>
      <c r="U488" s="16" t="s">
        <v>4254</v>
      </c>
      <c r="V488" s="16" t="s">
        <v>4255</v>
      </c>
      <c r="W488" s="30" t="s">
        <v>4256</v>
      </c>
      <c r="X488" s="18" t="s">
        <v>97</v>
      </c>
      <c r="Y488" s="18" t="s">
        <v>98</v>
      </c>
      <c r="Z488" s="18" t="s">
        <v>1815</v>
      </c>
      <c r="AA488" s="16" t="s">
        <v>3066</v>
      </c>
      <c r="AB488" s="16" t="s">
        <v>3804</v>
      </c>
      <c r="AC488" s="16" t="s">
        <v>3805</v>
      </c>
      <c r="AD488" s="123" t="str">
        <f t="shared" si="7"/>
        <v>External Transfer-Other banks</v>
      </c>
      <c r="AE488" s="123" t="str">
        <f>VLOOKUP(Table1[[#This Row],[Name of bank]],'اكواد البنوك'!$A$2:$B$34,2,0)</f>
        <v>CIBEEGCXXXX</v>
      </c>
      <c r="AF488" s="21" t="s">
        <v>4257</v>
      </c>
      <c r="AG488" s="15" t="s">
        <v>49</v>
      </c>
    </row>
    <row r="489" spans="1:33">
      <c r="A489" s="14">
        <v>488</v>
      </c>
      <c r="B489" s="14" t="s">
        <v>4258</v>
      </c>
      <c r="C489" s="14" t="e">
        <v>#N/A</v>
      </c>
      <c r="D489" s="15" t="s">
        <v>1839</v>
      </c>
      <c r="E489" s="16" t="s">
        <v>4259</v>
      </c>
      <c r="F489" s="32" t="s">
        <v>4260</v>
      </c>
      <c r="G489" s="17" t="s">
        <v>4261</v>
      </c>
      <c r="H489" s="18" t="s">
        <v>4262</v>
      </c>
      <c r="I489" s="16" t="s">
        <v>4263</v>
      </c>
      <c r="J489" s="16" t="s">
        <v>86</v>
      </c>
      <c r="K489" s="16" t="s">
        <v>269</v>
      </c>
      <c r="L489" s="16">
        <v>41112123</v>
      </c>
      <c r="M489" s="16">
        <v>474585808</v>
      </c>
      <c r="N489" s="16">
        <v>29004170102767</v>
      </c>
      <c r="O489" s="16" t="s">
        <v>4264</v>
      </c>
      <c r="P489" s="16" t="s">
        <v>4265</v>
      </c>
      <c r="Q489" s="16" t="s">
        <v>1815</v>
      </c>
      <c r="R489" s="16" t="s">
        <v>1882</v>
      </c>
      <c r="S489" s="19" t="s">
        <v>4266</v>
      </c>
      <c r="T489" s="20" t="s">
        <v>40</v>
      </c>
      <c r="U489" s="16" t="s">
        <v>2092</v>
      </c>
      <c r="V489" s="16" t="s">
        <v>4267</v>
      </c>
      <c r="W489" s="30" t="s">
        <v>4268</v>
      </c>
      <c r="X489" s="18" t="s">
        <v>542</v>
      </c>
      <c r="Y489" s="18" t="s">
        <v>98</v>
      </c>
      <c r="Z489" s="18" t="s">
        <v>1815</v>
      </c>
      <c r="AA489" s="16" t="s">
        <v>3066</v>
      </c>
      <c r="AB489" s="16" t="s">
        <v>3804</v>
      </c>
      <c r="AC489" s="16" t="s">
        <v>3805</v>
      </c>
      <c r="AD489" s="123" t="str">
        <f t="shared" si="7"/>
        <v>External Transfer-NBE</v>
      </c>
      <c r="AE489" s="123" t="str">
        <f>VLOOKUP(Table1[[#This Row],[Name of bank]],'اكواد البنوك'!$A$2:$B$34,2,0)</f>
        <v>NBEGEGCXXXX</v>
      </c>
      <c r="AF489" s="21" t="s">
        <v>4269</v>
      </c>
      <c r="AG489" s="15" t="s">
        <v>49</v>
      </c>
    </row>
    <row r="490" spans="1:33">
      <c r="A490" s="14">
        <v>489</v>
      </c>
      <c r="B490" s="14" t="str">
        <f>B489</f>
        <v>302A</v>
      </c>
      <c r="C490" s="14" t="s">
        <v>4177</v>
      </c>
      <c r="D490" s="15" t="s">
        <v>1839</v>
      </c>
      <c r="E490" s="16" t="s">
        <v>4270</v>
      </c>
      <c r="F490" s="32" t="s">
        <v>4271</v>
      </c>
      <c r="G490" s="17" t="s">
        <v>4272</v>
      </c>
      <c r="H490" s="18">
        <v>201090759083</v>
      </c>
      <c r="I490" s="16" t="s">
        <v>4233</v>
      </c>
      <c r="J490" s="16" t="s">
        <v>173</v>
      </c>
      <c r="K490" s="16" t="s">
        <v>148</v>
      </c>
      <c r="L490" s="16" t="s">
        <v>4273</v>
      </c>
      <c r="M490" s="16" t="s">
        <v>4273</v>
      </c>
      <c r="N490" s="16">
        <v>28302031701793</v>
      </c>
      <c r="O490" s="16" t="s">
        <v>4274</v>
      </c>
      <c r="P490" s="16" t="s">
        <v>4275</v>
      </c>
      <c r="Q490" s="16" t="s">
        <v>1815</v>
      </c>
      <c r="R490" s="16" t="s">
        <v>1882</v>
      </c>
      <c r="S490" s="95" t="s">
        <v>4270</v>
      </c>
      <c r="T490" s="96" t="s">
        <v>6292</v>
      </c>
      <c r="U490" s="96" t="s">
        <v>5261</v>
      </c>
      <c r="V490" s="73" t="s">
        <v>10328</v>
      </c>
      <c r="W490" s="74" t="s">
        <v>10361</v>
      </c>
      <c r="X490" s="18" t="s">
        <v>542</v>
      </c>
      <c r="Y490" s="18" t="s">
        <v>98</v>
      </c>
      <c r="Z490" s="18" t="s">
        <v>1815</v>
      </c>
      <c r="AA490" s="16" t="s">
        <v>3066</v>
      </c>
      <c r="AB490" s="16" t="s">
        <v>3804</v>
      </c>
      <c r="AC490" s="16" t="s">
        <v>3805</v>
      </c>
      <c r="AD490" s="123" t="str">
        <f t="shared" si="7"/>
        <v>External Transfer-Other banks</v>
      </c>
      <c r="AE490" s="127" t="s">
        <v>6296</v>
      </c>
      <c r="AF490" s="94" t="s">
        <v>3040</v>
      </c>
      <c r="AG490" s="15" t="s">
        <v>2681</v>
      </c>
    </row>
    <row r="491" spans="1:33">
      <c r="A491" s="14">
        <v>490</v>
      </c>
      <c r="B491" s="14" t="str">
        <f>B490</f>
        <v>302A</v>
      </c>
      <c r="C491" s="14" t="e">
        <v>#N/A</v>
      </c>
      <c r="D491" s="15" t="s">
        <v>1831</v>
      </c>
      <c r="E491" s="16" t="s">
        <v>4276</v>
      </c>
      <c r="F491" s="32" t="s">
        <v>4277</v>
      </c>
      <c r="G491" s="17" t="s">
        <v>4278</v>
      </c>
      <c r="H491" s="18" t="s">
        <v>4279</v>
      </c>
      <c r="I491" s="16"/>
      <c r="J491" s="16"/>
      <c r="K491" s="16" t="s">
        <v>1831</v>
      </c>
      <c r="L491" s="16" t="s">
        <v>1836</v>
      </c>
      <c r="M491" s="16">
        <v>82058538</v>
      </c>
      <c r="N491" s="16" t="s">
        <v>4280</v>
      </c>
      <c r="O491" s="16"/>
      <c r="P491" s="16"/>
      <c r="Q491" s="16"/>
      <c r="R491" s="16"/>
      <c r="S491" s="19"/>
      <c r="T491" s="20" t="s">
        <v>1837</v>
      </c>
      <c r="U491" s="16"/>
      <c r="V491" s="16"/>
      <c r="W491" s="30" t="s">
        <v>1838</v>
      </c>
      <c r="X491" s="18" t="s">
        <v>542</v>
      </c>
      <c r="Y491" s="18" t="s">
        <v>98</v>
      </c>
      <c r="Z491" s="18" t="s">
        <v>1815</v>
      </c>
      <c r="AA491" s="16" t="s">
        <v>3066</v>
      </c>
      <c r="AB491" s="16" t="s">
        <v>3804</v>
      </c>
      <c r="AC491" s="16" t="s">
        <v>3805</v>
      </c>
      <c r="AD491" s="123" t="str">
        <f t="shared" si="7"/>
        <v>FUE</v>
      </c>
      <c r="AE491" s="123" t="str">
        <f>VLOOKUP(Table1[[#This Row],[Name of bank]],'اكواد البنوك'!$A$2:$B$34,2,0)</f>
        <v>FUE</v>
      </c>
      <c r="AF491" s="21" t="s">
        <v>1838</v>
      </c>
      <c r="AG491" s="15" t="s">
        <v>49</v>
      </c>
    </row>
    <row r="492" spans="1:33">
      <c r="A492" s="14">
        <v>491</v>
      </c>
      <c r="B492" s="14" t="s">
        <v>4281</v>
      </c>
      <c r="C492" s="14" t="s">
        <v>4198</v>
      </c>
      <c r="D492" s="15" t="s">
        <v>1839</v>
      </c>
      <c r="E492" s="16" t="s">
        <v>4282</v>
      </c>
      <c r="F492" s="32" t="s">
        <v>10120</v>
      </c>
      <c r="G492" s="17" t="s">
        <v>4283</v>
      </c>
      <c r="H492" s="18">
        <v>201066951309</v>
      </c>
      <c r="I492" s="16" t="s">
        <v>4284</v>
      </c>
      <c r="J492" s="16" t="s">
        <v>173</v>
      </c>
      <c r="K492" s="16" t="s">
        <v>438</v>
      </c>
      <c r="L492" s="16" t="s">
        <v>136</v>
      </c>
      <c r="M492" s="16" t="s">
        <v>136</v>
      </c>
      <c r="N492" s="16">
        <v>28809271700155</v>
      </c>
      <c r="O492" s="16" t="s">
        <v>4285</v>
      </c>
      <c r="P492" s="16" t="s">
        <v>4286</v>
      </c>
      <c r="Q492" s="16" t="s">
        <v>1815</v>
      </c>
      <c r="R492" s="16" t="s">
        <v>1882</v>
      </c>
      <c r="S492" s="19" t="s">
        <v>4287</v>
      </c>
      <c r="T492" s="20" t="s">
        <v>993</v>
      </c>
      <c r="U492" s="16" t="s">
        <v>4288</v>
      </c>
      <c r="V492" s="16">
        <v>503055803001</v>
      </c>
      <c r="W492" s="113" t="s">
        <v>4289</v>
      </c>
      <c r="X492" s="18" t="s">
        <v>542</v>
      </c>
      <c r="Y492" s="18" t="s">
        <v>98</v>
      </c>
      <c r="Z492" s="18" t="s">
        <v>1815</v>
      </c>
      <c r="AA492" s="16" t="s">
        <v>3066</v>
      </c>
      <c r="AB492" s="16" t="s">
        <v>3804</v>
      </c>
      <c r="AC492" s="16" t="s">
        <v>3805</v>
      </c>
      <c r="AD492" s="123" t="str">
        <f t="shared" si="7"/>
        <v>External Transfer-Other banks</v>
      </c>
      <c r="AE492" s="123" t="str">
        <f>VLOOKUP(Table1[[#This Row],[Name of bank]],'اكواد البنوك'!$A$2:$B$34,2,0)</f>
        <v>ALEXEGCXXXX</v>
      </c>
      <c r="AF492" s="114" t="s">
        <v>10373</v>
      </c>
      <c r="AG492" s="15" t="s">
        <v>1073</v>
      </c>
    </row>
    <row r="493" spans="1:33">
      <c r="A493" s="14">
        <v>492</v>
      </c>
      <c r="B493" s="14" t="str">
        <f>B492</f>
        <v>303A</v>
      </c>
      <c r="C493" s="14" t="e">
        <v>#N/A</v>
      </c>
      <c r="D493" s="15" t="s">
        <v>1839</v>
      </c>
      <c r="E493" s="16" t="s">
        <v>4290</v>
      </c>
      <c r="F493" s="32" t="s">
        <v>4291</v>
      </c>
      <c r="G493" s="17" t="s">
        <v>4292</v>
      </c>
      <c r="H493" s="18" t="s">
        <v>4293</v>
      </c>
      <c r="I493" s="16" t="s">
        <v>4294</v>
      </c>
      <c r="J493" s="16" t="s">
        <v>86</v>
      </c>
      <c r="K493" s="16" t="s">
        <v>269</v>
      </c>
      <c r="L493" s="16">
        <v>38339763</v>
      </c>
      <c r="M493" s="16" t="s">
        <v>234</v>
      </c>
      <c r="N493" s="16">
        <v>28112140100402</v>
      </c>
      <c r="O493" s="16" t="s">
        <v>4295</v>
      </c>
      <c r="P493" s="16" t="s">
        <v>4296</v>
      </c>
      <c r="Q493" s="16" t="s">
        <v>1815</v>
      </c>
      <c r="R493" s="16" t="s">
        <v>1882</v>
      </c>
      <c r="S493" s="19" t="s">
        <v>4290</v>
      </c>
      <c r="T493" s="20" t="s">
        <v>40</v>
      </c>
      <c r="U493" s="16" t="s">
        <v>3125</v>
      </c>
      <c r="V493" s="16" t="s">
        <v>4297</v>
      </c>
      <c r="W493" s="30" t="s">
        <v>4298</v>
      </c>
      <c r="X493" s="18" t="s">
        <v>542</v>
      </c>
      <c r="Y493" s="18" t="s">
        <v>98</v>
      </c>
      <c r="Z493" s="18" t="s">
        <v>1815</v>
      </c>
      <c r="AA493" s="16" t="s">
        <v>3066</v>
      </c>
      <c r="AB493" s="16" t="s">
        <v>3804</v>
      </c>
      <c r="AC493" s="16" t="s">
        <v>3805</v>
      </c>
      <c r="AD493" s="123" t="str">
        <f t="shared" si="7"/>
        <v>External Transfer-NBE</v>
      </c>
      <c r="AE493" s="123" t="str">
        <f>VLOOKUP(Table1[[#This Row],[Name of bank]],'اكواد البنوك'!$A$2:$B$34,2,0)</f>
        <v>NBEGEGCXXXX</v>
      </c>
      <c r="AF493" s="21" t="s">
        <v>2015</v>
      </c>
      <c r="AG493" s="15" t="s">
        <v>49</v>
      </c>
    </row>
    <row r="494" spans="1:33">
      <c r="A494" s="14">
        <v>493</v>
      </c>
      <c r="B494" s="14" t="s">
        <v>4299</v>
      </c>
      <c r="C494" s="14" t="e">
        <v>#N/A</v>
      </c>
      <c r="D494" s="15" t="s">
        <v>1839</v>
      </c>
      <c r="E494" s="16" t="s">
        <v>4300</v>
      </c>
      <c r="F494" s="32" t="s">
        <v>4301</v>
      </c>
      <c r="G494" s="17" t="s">
        <v>4302</v>
      </c>
      <c r="H494" s="18" t="s">
        <v>4303</v>
      </c>
      <c r="I494" s="16" t="s">
        <v>4304</v>
      </c>
      <c r="J494" s="16" t="s">
        <v>86</v>
      </c>
      <c r="K494" s="16" t="s">
        <v>106</v>
      </c>
      <c r="L494" s="16">
        <v>14489406</v>
      </c>
      <c r="M494" s="16">
        <v>3389937</v>
      </c>
      <c r="N494" s="16">
        <v>27810282500209</v>
      </c>
      <c r="O494" s="16" t="s">
        <v>4305</v>
      </c>
      <c r="P494" s="16" t="s">
        <v>4306</v>
      </c>
      <c r="Q494" s="16" t="s">
        <v>1815</v>
      </c>
      <c r="R494" s="16" t="s">
        <v>1849</v>
      </c>
      <c r="S494" s="19" t="s">
        <v>4307</v>
      </c>
      <c r="T494" s="20" t="s">
        <v>40</v>
      </c>
      <c r="U494" s="16" t="s">
        <v>4308</v>
      </c>
      <c r="V494" s="16" t="s">
        <v>4309</v>
      </c>
      <c r="W494" s="30" t="s">
        <v>4310</v>
      </c>
      <c r="X494" s="18" t="s">
        <v>542</v>
      </c>
      <c r="Y494" s="18" t="s">
        <v>98</v>
      </c>
      <c r="Z494" s="18" t="s">
        <v>1815</v>
      </c>
      <c r="AA494" s="16" t="s">
        <v>3066</v>
      </c>
      <c r="AB494" s="16" t="s">
        <v>3804</v>
      </c>
      <c r="AC494" s="16" t="s">
        <v>3805</v>
      </c>
      <c r="AD494" s="123" t="str">
        <f t="shared" si="7"/>
        <v>External Transfer-NBE</v>
      </c>
      <c r="AE494" s="123" t="str">
        <f>VLOOKUP(Table1[[#This Row],[Name of bank]],'اكواد البنوك'!$A$2:$B$34,2,0)</f>
        <v>NBEGEGCXXXX</v>
      </c>
      <c r="AF494" s="21" t="s">
        <v>4311</v>
      </c>
      <c r="AG494" s="15" t="s">
        <v>49</v>
      </c>
    </row>
    <row r="495" spans="1:33">
      <c r="A495" s="14">
        <v>494</v>
      </c>
      <c r="B495" s="14" t="str">
        <f>B494</f>
        <v>304A</v>
      </c>
      <c r="C495" s="14" t="e">
        <v>#N/A</v>
      </c>
      <c r="D495" s="15" t="s">
        <v>1831</v>
      </c>
      <c r="E495" s="16" t="s">
        <v>4312</v>
      </c>
      <c r="F495" s="32" t="s">
        <v>10139</v>
      </c>
      <c r="G495" s="17" t="s">
        <v>4313</v>
      </c>
      <c r="H495" s="18" t="s">
        <v>4314</v>
      </c>
      <c r="I495" s="16"/>
      <c r="J495" s="16"/>
      <c r="K495" s="16" t="s">
        <v>1831</v>
      </c>
      <c r="L495" s="16" t="s">
        <v>1836</v>
      </c>
      <c r="M495" s="16" t="s">
        <v>1996</v>
      </c>
      <c r="N495" s="16">
        <v>38301120101213</v>
      </c>
      <c r="O495" s="16"/>
      <c r="P495" s="16"/>
      <c r="Q495" s="16"/>
      <c r="R495" s="16"/>
      <c r="S495" s="19"/>
      <c r="T495" s="20" t="s">
        <v>1837</v>
      </c>
      <c r="U495" s="16"/>
      <c r="V495" s="16"/>
      <c r="W495" s="30" t="s">
        <v>1838</v>
      </c>
      <c r="X495" s="18" t="s">
        <v>542</v>
      </c>
      <c r="Y495" s="18" t="s">
        <v>98</v>
      </c>
      <c r="Z495" s="18" t="s">
        <v>1815</v>
      </c>
      <c r="AA495" s="16" t="s">
        <v>3066</v>
      </c>
      <c r="AB495" s="16" t="s">
        <v>3804</v>
      </c>
      <c r="AC495" s="16" t="s">
        <v>3805</v>
      </c>
      <c r="AD495" s="123" t="str">
        <f t="shared" si="7"/>
        <v>FUE</v>
      </c>
      <c r="AE495" s="123" t="str">
        <f>VLOOKUP(Table1[[#This Row],[Name of bank]],'اكواد البنوك'!$A$2:$B$34,2,0)</f>
        <v>FUE</v>
      </c>
      <c r="AF495" s="21" t="s">
        <v>1838</v>
      </c>
      <c r="AG495" s="15" t="s">
        <v>49</v>
      </c>
    </row>
    <row r="496" spans="1:33">
      <c r="A496" s="14">
        <v>495</v>
      </c>
      <c r="B496" s="14" t="s">
        <v>4315</v>
      </c>
      <c r="C496" s="14" t="e">
        <v>#N/A</v>
      </c>
      <c r="D496" s="15" t="s">
        <v>1839</v>
      </c>
      <c r="E496" s="16" t="s">
        <v>4316</v>
      </c>
      <c r="F496" s="32" t="s">
        <v>4317</v>
      </c>
      <c r="G496" s="17" t="s">
        <v>4318</v>
      </c>
      <c r="H496" s="18" t="s">
        <v>4319</v>
      </c>
      <c r="I496" s="16" t="s">
        <v>1951</v>
      </c>
      <c r="J496" s="16" t="s">
        <v>86</v>
      </c>
      <c r="K496" s="16" t="s">
        <v>2927</v>
      </c>
      <c r="L496" s="16" t="s">
        <v>4320</v>
      </c>
      <c r="M496" s="16" t="s">
        <v>2744</v>
      </c>
      <c r="N496" s="16">
        <v>29104060103746</v>
      </c>
      <c r="O496" s="16" t="s">
        <v>4321</v>
      </c>
      <c r="P496" s="16" t="s">
        <v>4322</v>
      </c>
      <c r="Q496" s="16" t="s">
        <v>1815</v>
      </c>
      <c r="R496" s="16" t="s">
        <v>1849</v>
      </c>
      <c r="S496" s="19" t="s">
        <v>4317</v>
      </c>
      <c r="T496" s="20" t="s">
        <v>40</v>
      </c>
      <c r="U496" s="16" t="s">
        <v>3112</v>
      </c>
      <c r="V496" s="16" t="s">
        <v>4323</v>
      </c>
      <c r="W496" s="30" t="s">
        <v>4324</v>
      </c>
      <c r="X496" s="18" t="s">
        <v>542</v>
      </c>
      <c r="Y496" s="18" t="s">
        <v>98</v>
      </c>
      <c r="Z496" s="18" t="s">
        <v>1815</v>
      </c>
      <c r="AA496" s="16" t="s">
        <v>3066</v>
      </c>
      <c r="AB496" s="16" t="s">
        <v>3804</v>
      </c>
      <c r="AC496" s="16" t="s">
        <v>3805</v>
      </c>
      <c r="AD496" s="123" t="str">
        <f t="shared" si="7"/>
        <v>External Transfer-NBE</v>
      </c>
      <c r="AE496" s="123" t="str">
        <f>VLOOKUP(Table1[[#This Row],[Name of bank]],'اكواد البنوك'!$A$2:$B$34,2,0)</f>
        <v>NBEGEGCXXXX</v>
      </c>
      <c r="AF496" s="21" t="s">
        <v>3114</v>
      </c>
      <c r="AG496" s="15" t="s">
        <v>49</v>
      </c>
    </row>
    <row r="497" spans="1:33">
      <c r="A497" s="14">
        <v>496</v>
      </c>
      <c r="B497" s="14" t="str">
        <f>B496</f>
        <v>305A</v>
      </c>
      <c r="C497" s="14" t="e">
        <v>#N/A</v>
      </c>
      <c r="D497" s="15" t="s">
        <v>1839</v>
      </c>
      <c r="E497" s="16" t="s">
        <v>4325</v>
      </c>
      <c r="F497" s="32" t="s">
        <v>4326</v>
      </c>
      <c r="G497" s="17" t="s">
        <v>4327</v>
      </c>
      <c r="H497" s="18" t="s">
        <v>4328</v>
      </c>
      <c r="I497" s="16" t="s">
        <v>4329</v>
      </c>
      <c r="J497" s="16" t="s">
        <v>173</v>
      </c>
      <c r="K497" s="16" t="s">
        <v>4330</v>
      </c>
      <c r="L497" s="16">
        <v>40947253</v>
      </c>
      <c r="M497" s="16" t="s">
        <v>4331</v>
      </c>
      <c r="N497" s="16">
        <v>28207050105007</v>
      </c>
      <c r="O497" s="16" t="s">
        <v>4332</v>
      </c>
      <c r="P497" s="16" t="s">
        <v>4333</v>
      </c>
      <c r="Q497" s="16" t="s">
        <v>1815</v>
      </c>
      <c r="R497" s="16" t="s">
        <v>1849</v>
      </c>
      <c r="S497" s="19" t="s">
        <v>4325</v>
      </c>
      <c r="T497" s="20" t="s">
        <v>176</v>
      </c>
      <c r="U497" s="16" t="s">
        <v>2104</v>
      </c>
      <c r="V497" s="16" t="s">
        <v>4334</v>
      </c>
      <c r="W497" s="30" t="s">
        <v>4335</v>
      </c>
      <c r="X497" s="18" t="s">
        <v>542</v>
      </c>
      <c r="Y497" s="18" t="s">
        <v>98</v>
      </c>
      <c r="Z497" s="18" t="s">
        <v>1815</v>
      </c>
      <c r="AA497" s="16" t="s">
        <v>3066</v>
      </c>
      <c r="AB497" s="16" t="s">
        <v>3804</v>
      </c>
      <c r="AC497" s="16" t="s">
        <v>3805</v>
      </c>
      <c r="AD497" s="123" t="str">
        <f t="shared" si="7"/>
        <v>External Transfer-Other banks</v>
      </c>
      <c r="AE497" s="123" t="str">
        <f>VLOOKUP(Table1[[#This Row],[Name of bank]],'اكواد البنوك'!$A$2:$B$34,2,0)</f>
        <v>BMISEGCXXXX</v>
      </c>
      <c r="AF497" s="21" t="s">
        <v>4336</v>
      </c>
      <c r="AG497" s="15" t="s">
        <v>49</v>
      </c>
    </row>
    <row r="498" spans="1:33">
      <c r="A498" s="14">
        <v>497</v>
      </c>
      <c r="B498" s="14" t="s">
        <v>312</v>
      </c>
      <c r="C498" s="14" t="s">
        <v>206</v>
      </c>
      <c r="D498" s="15" t="s">
        <v>1703</v>
      </c>
      <c r="E498" s="16" t="s">
        <v>4337</v>
      </c>
      <c r="F498" s="32" t="s">
        <v>4338</v>
      </c>
      <c r="G498" s="17" t="s">
        <v>4339</v>
      </c>
      <c r="H498" s="18" t="s">
        <v>4340</v>
      </c>
      <c r="I498" s="16" t="s">
        <v>1703</v>
      </c>
      <c r="J498" s="16"/>
      <c r="K498" s="16"/>
      <c r="L498" s="16" t="s">
        <v>3065</v>
      </c>
      <c r="M498" s="16"/>
      <c r="N498" s="16"/>
      <c r="O498" s="16"/>
      <c r="P498" s="16"/>
      <c r="Q498" s="16"/>
      <c r="R498" s="16"/>
      <c r="S498" s="19"/>
      <c r="T498" s="20" t="s">
        <v>40</v>
      </c>
      <c r="U498" s="16"/>
      <c r="V498" s="16"/>
      <c r="W498" s="30">
        <v>38</v>
      </c>
      <c r="X498" s="18" t="s">
        <v>78</v>
      </c>
      <c r="Y498" s="18" t="s">
        <v>43</v>
      </c>
      <c r="Z498" s="18" t="s">
        <v>1815</v>
      </c>
      <c r="AA498" s="16" t="s">
        <v>3066</v>
      </c>
      <c r="AB498" s="16" t="s">
        <v>3804</v>
      </c>
      <c r="AC498" s="16" t="s">
        <v>3805</v>
      </c>
      <c r="AD498" s="123" t="str">
        <f t="shared" si="7"/>
        <v>Internal Transfer</v>
      </c>
      <c r="AE498" s="123" t="str">
        <f>VLOOKUP(Table1[[#This Row],[Name of bank]],'اكواد البنوك'!$A$2:$B$34,2,0)</f>
        <v>NBEGEGCXXXX</v>
      </c>
      <c r="AF498" s="30">
        <v>38</v>
      </c>
      <c r="AG498" s="15" t="s">
        <v>49</v>
      </c>
    </row>
    <row r="499" spans="1:33">
      <c r="A499" s="14">
        <v>498</v>
      </c>
      <c r="B499" s="14" t="str">
        <f>B498</f>
        <v>4th Floor</v>
      </c>
      <c r="C499" s="14">
        <v>502</v>
      </c>
      <c r="D499" s="15" t="s">
        <v>1839</v>
      </c>
      <c r="E499" s="16" t="s">
        <v>4341</v>
      </c>
      <c r="F499" s="32" t="s">
        <v>4342</v>
      </c>
      <c r="G499" s="17" t="s">
        <v>4343</v>
      </c>
      <c r="H499" s="18" t="s">
        <v>4344</v>
      </c>
      <c r="I499" s="16" t="s">
        <v>4345</v>
      </c>
      <c r="J499" s="16" t="s">
        <v>173</v>
      </c>
      <c r="K499" s="16" t="s">
        <v>269</v>
      </c>
      <c r="L499" s="16">
        <v>4083625</v>
      </c>
      <c r="M499" s="16" t="s">
        <v>136</v>
      </c>
      <c r="N499" s="16">
        <v>28610290103477</v>
      </c>
      <c r="O499" s="16" t="s">
        <v>4346</v>
      </c>
      <c r="P499" s="16" t="s">
        <v>4347</v>
      </c>
      <c r="Q499" s="16" t="s">
        <v>1815</v>
      </c>
      <c r="R499" s="16" t="s">
        <v>1849</v>
      </c>
      <c r="S499" s="19" t="s">
        <v>4342</v>
      </c>
      <c r="T499" s="20" t="s">
        <v>40</v>
      </c>
      <c r="U499" s="16" t="s">
        <v>4059</v>
      </c>
      <c r="V499" s="16" t="s">
        <v>4348</v>
      </c>
      <c r="W499" s="30" t="s">
        <v>4349</v>
      </c>
      <c r="X499" s="18" t="s">
        <v>97</v>
      </c>
      <c r="Y499" s="18" t="s">
        <v>98</v>
      </c>
      <c r="Z499" s="18" t="s">
        <v>1815</v>
      </c>
      <c r="AA499" s="16" t="s">
        <v>3066</v>
      </c>
      <c r="AB499" s="16" t="s">
        <v>3804</v>
      </c>
      <c r="AC499" s="16" t="s">
        <v>3805</v>
      </c>
      <c r="AD499" s="123" t="str">
        <f t="shared" si="7"/>
        <v>External Transfer-NBE</v>
      </c>
      <c r="AE499" s="123" t="str">
        <f>VLOOKUP(Table1[[#This Row],[Name of bank]],'اكواد البنوك'!$A$2:$B$34,2,0)</f>
        <v>NBEGEGCXXXX</v>
      </c>
      <c r="AF499" s="21" t="s">
        <v>4350</v>
      </c>
      <c r="AG499" s="15" t="s">
        <v>49</v>
      </c>
    </row>
    <row r="500" spans="1:33">
      <c r="A500" s="14">
        <v>499</v>
      </c>
      <c r="B500" s="14" t="str">
        <f>B499</f>
        <v>4th Floor</v>
      </c>
      <c r="C500" s="14" t="e">
        <v>#N/A</v>
      </c>
      <c r="D500" s="15" t="s">
        <v>1855</v>
      </c>
      <c r="E500" s="16" t="s">
        <v>4351</v>
      </c>
      <c r="F500" s="32" t="s">
        <v>10072</v>
      </c>
      <c r="G500" s="17" t="s">
        <v>4352</v>
      </c>
      <c r="H500" s="18">
        <v>201016577510</v>
      </c>
      <c r="I500" s="16" t="s">
        <v>1858</v>
      </c>
      <c r="J500" s="16" t="s">
        <v>1845</v>
      </c>
      <c r="K500" s="16" t="s">
        <v>1996</v>
      </c>
      <c r="L500" s="16" t="s">
        <v>1996</v>
      </c>
      <c r="M500" s="16" t="s">
        <v>1996</v>
      </c>
      <c r="N500" s="16" t="s">
        <v>1996</v>
      </c>
      <c r="O500" s="16" t="s">
        <v>4353</v>
      </c>
      <c r="P500" s="16" t="s">
        <v>4354</v>
      </c>
      <c r="Q500" s="16" t="s">
        <v>1815</v>
      </c>
      <c r="R500" s="16" t="s">
        <v>1849</v>
      </c>
      <c r="S500" s="19" t="s">
        <v>1861</v>
      </c>
      <c r="T500" s="20" t="s">
        <v>40</v>
      </c>
      <c r="U500" s="16" t="s">
        <v>10254</v>
      </c>
      <c r="V500" s="16"/>
      <c r="W500" s="30" t="s">
        <v>10359</v>
      </c>
      <c r="X500" s="18" t="s">
        <v>97</v>
      </c>
      <c r="Y500" s="18" t="s">
        <v>98</v>
      </c>
      <c r="Z500" s="18" t="s">
        <v>1815</v>
      </c>
      <c r="AA500" s="16" t="s">
        <v>3066</v>
      </c>
      <c r="AB500" s="16" t="s">
        <v>3804</v>
      </c>
      <c r="AC500" s="16" t="s">
        <v>3805</v>
      </c>
      <c r="AD500" s="123" t="str">
        <f t="shared" si="7"/>
        <v>External Transfer-NBE</v>
      </c>
      <c r="AE500" s="123" t="str">
        <f>VLOOKUP(Table1[[#This Row],[Name of bank]],'اكواد البنوك'!$A$2:$B$34,2,0)</f>
        <v>NBEGEGCXXXX</v>
      </c>
      <c r="AF500" s="21" t="s">
        <v>4224</v>
      </c>
      <c r="AG500" s="15" t="s">
        <v>1862</v>
      </c>
    </row>
    <row r="501" spans="1:33">
      <c r="A501" s="14">
        <v>500</v>
      </c>
      <c r="B501" s="14" t="s">
        <v>4355</v>
      </c>
      <c r="C501" s="14" t="e">
        <v>#N/A</v>
      </c>
      <c r="D501" s="15" t="s">
        <v>1831</v>
      </c>
      <c r="E501" s="16" t="s">
        <v>4356</v>
      </c>
      <c r="F501" s="32" t="s">
        <v>4357</v>
      </c>
      <c r="G501" s="17" t="s">
        <v>4358</v>
      </c>
      <c r="H501" s="18">
        <v>201141178533</v>
      </c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9"/>
      <c r="T501" s="20" t="s">
        <v>1837</v>
      </c>
      <c r="U501" s="16"/>
      <c r="V501" s="16"/>
      <c r="W501" s="30" t="s">
        <v>1838</v>
      </c>
      <c r="X501" s="18" t="s">
        <v>542</v>
      </c>
      <c r="Y501" s="18" t="s">
        <v>98</v>
      </c>
      <c r="Z501" s="18" t="s">
        <v>1815</v>
      </c>
      <c r="AA501" s="16" t="s">
        <v>3066</v>
      </c>
      <c r="AB501" s="16" t="s">
        <v>3804</v>
      </c>
      <c r="AC501" s="16" t="s">
        <v>3805</v>
      </c>
      <c r="AD501" s="123" t="str">
        <f t="shared" si="7"/>
        <v>FUE</v>
      </c>
      <c r="AE501" s="123" t="str">
        <f>VLOOKUP(Table1[[#This Row],[Name of bank]],'اكواد البنوك'!$A$2:$B$34,2,0)</f>
        <v>FUE</v>
      </c>
      <c r="AF501" s="21" t="s">
        <v>1838</v>
      </c>
      <c r="AG501" s="15" t="s">
        <v>1838</v>
      </c>
    </row>
    <row r="502" spans="1:33">
      <c r="A502" s="14">
        <v>501</v>
      </c>
      <c r="B502" s="14" t="str">
        <f>B501</f>
        <v>401A</v>
      </c>
      <c r="C502" s="14">
        <v>506</v>
      </c>
      <c r="D502" s="15" t="s">
        <v>1839</v>
      </c>
      <c r="E502" s="16" t="s">
        <v>4359</v>
      </c>
      <c r="F502" s="32" t="s">
        <v>10143</v>
      </c>
      <c r="G502" s="17" t="s">
        <v>4360</v>
      </c>
      <c r="H502" s="18">
        <v>201111302238</v>
      </c>
      <c r="I502" s="16" t="s">
        <v>4361</v>
      </c>
      <c r="J502" s="16" t="s">
        <v>173</v>
      </c>
      <c r="K502" s="16" t="s">
        <v>4362</v>
      </c>
      <c r="L502" s="16" t="s">
        <v>136</v>
      </c>
      <c r="M502" s="16" t="s">
        <v>136</v>
      </c>
      <c r="N502" s="16">
        <v>28110251703031</v>
      </c>
      <c r="O502" s="16" t="s">
        <v>4363</v>
      </c>
      <c r="P502" s="16" t="s">
        <v>4364</v>
      </c>
      <c r="Q502" s="16" t="s">
        <v>1815</v>
      </c>
      <c r="R502" s="16" t="s">
        <v>1882</v>
      </c>
      <c r="S502" s="96" t="s">
        <v>4359</v>
      </c>
      <c r="T502" s="96" t="s">
        <v>6292</v>
      </c>
      <c r="U502" s="96" t="s">
        <v>4365</v>
      </c>
      <c r="V502" s="73" t="s">
        <v>10329</v>
      </c>
      <c r="W502" s="74" t="s">
        <v>4366</v>
      </c>
      <c r="X502" s="18" t="s">
        <v>542</v>
      </c>
      <c r="Y502" s="18" t="s">
        <v>98</v>
      </c>
      <c r="Z502" s="18" t="s">
        <v>1815</v>
      </c>
      <c r="AA502" s="16" t="s">
        <v>3066</v>
      </c>
      <c r="AB502" s="16" t="s">
        <v>3804</v>
      </c>
      <c r="AC502" s="16" t="s">
        <v>3805</v>
      </c>
      <c r="AD502" s="123" t="str">
        <f t="shared" si="7"/>
        <v>External Transfer-Other banks</v>
      </c>
      <c r="AE502" s="127" t="s">
        <v>6296</v>
      </c>
      <c r="AF502" s="94" t="s">
        <v>3040</v>
      </c>
      <c r="AG502" s="15" t="s">
        <v>1073</v>
      </c>
    </row>
    <row r="503" spans="1:33">
      <c r="A503" s="14">
        <v>502</v>
      </c>
      <c r="B503" s="14" t="str">
        <f>B502</f>
        <v>401A</v>
      </c>
      <c r="C503" s="14" t="e">
        <v>#N/A</v>
      </c>
      <c r="D503" s="15" t="s">
        <v>1831</v>
      </c>
      <c r="E503" s="16" t="s">
        <v>4367</v>
      </c>
      <c r="F503" s="32" t="s">
        <v>4368</v>
      </c>
      <c r="G503" s="17" t="s">
        <v>4369</v>
      </c>
      <c r="H503" s="18" t="s">
        <v>4370</v>
      </c>
      <c r="I503" s="16" t="s">
        <v>1831</v>
      </c>
      <c r="J503" s="16"/>
      <c r="K503" s="16"/>
      <c r="L503" s="16" t="s">
        <v>1836</v>
      </c>
      <c r="M503" s="16" t="s">
        <v>4371</v>
      </c>
      <c r="N503" s="16" t="s">
        <v>4372</v>
      </c>
      <c r="O503" s="16"/>
      <c r="P503" s="16"/>
      <c r="Q503" s="16"/>
      <c r="R503" s="16"/>
      <c r="S503" s="19"/>
      <c r="T503" s="20" t="s">
        <v>1837</v>
      </c>
      <c r="U503" s="16"/>
      <c r="V503" s="16"/>
      <c r="W503" s="30" t="s">
        <v>1838</v>
      </c>
      <c r="X503" s="18" t="s">
        <v>542</v>
      </c>
      <c r="Y503" s="18" t="s">
        <v>98</v>
      </c>
      <c r="Z503" s="18" t="s">
        <v>1815</v>
      </c>
      <c r="AA503" s="16" t="s">
        <v>3066</v>
      </c>
      <c r="AB503" s="16" t="s">
        <v>3804</v>
      </c>
      <c r="AC503" s="16" t="s">
        <v>3805</v>
      </c>
      <c r="AD503" s="123" t="str">
        <f t="shared" si="7"/>
        <v>FUE</v>
      </c>
      <c r="AE503" s="123" t="str">
        <f>VLOOKUP(Table1[[#This Row],[Name of bank]],'اكواد البنوك'!$A$2:$B$34,2,0)</f>
        <v>FUE</v>
      </c>
      <c r="AF503" s="21" t="s">
        <v>1838</v>
      </c>
      <c r="AG503" s="15" t="s">
        <v>49</v>
      </c>
    </row>
    <row r="504" spans="1:33">
      <c r="A504" s="14">
        <v>503</v>
      </c>
      <c r="B504" s="14" t="s">
        <v>4373</v>
      </c>
      <c r="C504" s="14" t="e">
        <v>#N/A</v>
      </c>
      <c r="D504" s="15" t="s">
        <v>1839</v>
      </c>
      <c r="E504" s="16" t="s">
        <v>4374</v>
      </c>
      <c r="F504" s="32" t="s">
        <v>4375</v>
      </c>
      <c r="G504" s="17" t="s">
        <v>4376</v>
      </c>
      <c r="H504" s="18" t="s">
        <v>4377</v>
      </c>
      <c r="I504" s="16" t="s">
        <v>1868</v>
      </c>
      <c r="J504" s="16" t="s">
        <v>86</v>
      </c>
      <c r="K504" s="16" t="s">
        <v>904</v>
      </c>
      <c r="L504" s="16">
        <v>50406709</v>
      </c>
      <c r="M504" s="16">
        <v>484568809</v>
      </c>
      <c r="N504" s="16">
        <v>27502028800042</v>
      </c>
      <c r="O504" s="16" t="s">
        <v>4378</v>
      </c>
      <c r="P504" s="16" t="s">
        <v>4379</v>
      </c>
      <c r="Q504" s="16" t="s">
        <v>1815</v>
      </c>
      <c r="R504" s="16" t="s">
        <v>1849</v>
      </c>
      <c r="S504" s="19" t="s">
        <v>4380</v>
      </c>
      <c r="T504" s="20" t="s">
        <v>93</v>
      </c>
      <c r="U504" s="16" t="s">
        <v>2583</v>
      </c>
      <c r="V504" s="16" t="s">
        <v>4381</v>
      </c>
      <c r="W504" s="30" t="s">
        <v>4382</v>
      </c>
      <c r="X504" s="18" t="s">
        <v>542</v>
      </c>
      <c r="Y504" s="18" t="s">
        <v>98</v>
      </c>
      <c r="Z504" s="18" t="s">
        <v>1815</v>
      </c>
      <c r="AA504" s="16" t="s">
        <v>3066</v>
      </c>
      <c r="AB504" s="16" t="s">
        <v>3804</v>
      </c>
      <c r="AC504" s="16" t="s">
        <v>3805</v>
      </c>
      <c r="AD504" s="123" t="str">
        <f t="shared" si="7"/>
        <v>External Transfer-Other banks</v>
      </c>
      <c r="AE504" s="123" t="str">
        <f>VLOOKUP(Table1[[#This Row],[Name of bank]],'اكواد البنوك'!$A$2:$B$34,2,0)</f>
        <v>QNBAEGCXXXX</v>
      </c>
      <c r="AF504" s="21" t="s">
        <v>4383</v>
      </c>
      <c r="AG504" s="15" t="s">
        <v>49</v>
      </c>
    </row>
    <row r="505" spans="1:33">
      <c r="A505" s="14">
        <v>504</v>
      </c>
      <c r="B505" s="14" t="str">
        <f>B504</f>
        <v>402A</v>
      </c>
      <c r="C505" s="14" t="e">
        <v>#N/A</v>
      </c>
      <c r="D505" s="15" t="s">
        <v>1831</v>
      </c>
      <c r="E505" s="16" t="s">
        <v>4384</v>
      </c>
      <c r="F505" s="32" t="s">
        <v>4385</v>
      </c>
      <c r="G505" s="17" t="s">
        <v>4386</v>
      </c>
      <c r="H505" s="18" t="s">
        <v>4387</v>
      </c>
      <c r="I505" s="16"/>
      <c r="J505" s="16"/>
      <c r="K505" s="16" t="s">
        <v>1831</v>
      </c>
      <c r="L505" s="16" t="s">
        <v>1836</v>
      </c>
      <c r="M505" s="16" t="s">
        <v>4388</v>
      </c>
      <c r="N505" s="16">
        <v>28909142101592</v>
      </c>
      <c r="O505" s="16"/>
      <c r="P505" s="16"/>
      <c r="Q505" s="16"/>
      <c r="R505" s="16"/>
      <c r="S505" s="19"/>
      <c r="T505" s="20" t="s">
        <v>1837</v>
      </c>
      <c r="U505" s="16"/>
      <c r="V505" s="16"/>
      <c r="W505" s="30" t="s">
        <v>1838</v>
      </c>
      <c r="X505" s="18" t="s">
        <v>542</v>
      </c>
      <c r="Y505" s="18" t="s">
        <v>98</v>
      </c>
      <c r="Z505" s="18" t="s">
        <v>1815</v>
      </c>
      <c r="AA505" s="16" t="s">
        <v>3066</v>
      </c>
      <c r="AB505" s="16" t="s">
        <v>3804</v>
      </c>
      <c r="AC505" s="16" t="s">
        <v>3805</v>
      </c>
      <c r="AD505" s="123" t="str">
        <f t="shared" si="7"/>
        <v>FUE</v>
      </c>
      <c r="AE505" s="123" t="str">
        <f>VLOOKUP(Table1[[#This Row],[Name of bank]],'اكواد البنوك'!$A$2:$B$34,2,0)</f>
        <v>FUE</v>
      </c>
      <c r="AF505" s="21" t="s">
        <v>1838</v>
      </c>
      <c r="AG505" s="15" t="s">
        <v>49</v>
      </c>
    </row>
    <row r="506" spans="1:33">
      <c r="A506" s="14">
        <v>505</v>
      </c>
      <c r="B506" s="14" t="s">
        <v>4389</v>
      </c>
      <c r="C506" s="14" t="e">
        <v>#N/A</v>
      </c>
      <c r="D506" s="15" t="s">
        <v>1839</v>
      </c>
      <c r="E506" s="16" t="s">
        <v>4390</v>
      </c>
      <c r="F506" s="32" t="s">
        <v>10015</v>
      </c>
      <c r="G506" s="17" t="s">
        <v>4391</v>
      </c>
      <c r="H506" s="18" t="s">
        <v>4392</v>
      </c>
      <c r="I506" s="16" t="s">
        <v>4393</v>
      </c>
      <c r="J506" s="16" t="s">
        <v>86</v>
      </c>
      <c r="K506" s="16" t="s">
        <v>4394</v>
      </c>
      <c r="L506" s="16">
        <v>43786871</v>
      </c>
      <c r="M506" s="16" t="s">
        <v>136</v>
      </c>
      <c r="N506" s="16">
        <v>26511291700392</v>
      </c>
      <c r="O506" s="16" t="s">
        <v>4395</v>
      </c>
      <c r="P506" s="16" t="s">
        <v>4396</v>
      </c>
      <c r="Q506" s="16" t="s">
        <v>1815</v>
      </c>
      <c r="R506" s="16" t="s">
        <v>1849</v>
      </c>
      <c r="S506" s="19" t="s">
        <v>4390</v>
      </c>
      <c r="T506" s="20" t="s">
        <v>341</v>
      </c>
      <c r="U506" s="16" t="s">
        <v>4186</v>
      </c>
      <c r="V506" s="16" t="s">
        <v>4397</v>
      </c>
      <c r="W506" s="30" t="s">
        <v>4398</v>
      </c>
      <c r="X506" s="18" t="s">
        <v>542</v>
      </c>
      <c r="Y506" s="18" t="s">
        <v>98</v>
      </c>
      <c r="Z506" s="18" t="s">
        <v>1815</v>
      </c>
      <c r="AA506" s="16" t="s">
        <v>3066</v>
      </c>
      <c r="AB506" s="16" t="s">
        <v>3804</v>
      </c>
      <c r="AC506" s="16" t="s">
        <v>3805</v>
      </c>
      <c r="AD506" s="123" t="str">
        <f t="shared" si="7"/>
        <v>External Transfer-Other banks</v>
      </c>
      <c r="AE506" s="123" t="str">
        <f>VLOOKUP(Table1[[#This Row],[Name of bank]],'اكواد البنوك'!$A$2:$B$34,2,0)</f>
        <v>AGRIEGCXXXX</v>
      </c>
      <c r="AF506" s="21" t="s">
        <v>346</v>
      </c>
      <c r="AG506" s="15" t="s">
        <v>49</v>
      </c>
    </row>
    <row r="507" spans="1:33">
      <c r="A507" s="14">
        <v>506</v>
      </c>
      <c r="B507" s="14" t="str">
        <f>B506</f>
        <v>403A</v>
      </c>
      <c r="C507" s="14" t="e">
        <v>#N/A</v>
      </c>
      <c r="D507" s="15" t="s">
        <v>1831</v>
      </c>
      <c r="E507" s="16" t="s">
        <v>4399</v>
      </c>
      <c r="F507" s="32" t="s">
        <v>4400</v>
      </c>
      <c r="G507" s="17" t="s">
        <v>4401</v>
      </c>
      <c r="H507" s="18">
        <v>201222351930</v>
      </c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9"/>
      <c r="T507" s="20" t="s">
        <v>1837</v>
      </c>
      <c r="U507" s="16"/>
      <c r="V507" s="16"/>
      <c r="W507" s="30" t="s">
        <v>1838</v>
      </c>
      <c r="X507" s="18" t="s">
        <v>542</v>
      </c>
      <c r="Y507" s="18" t="s">
        <v>98</v>
      </c>
      <c r="Z507" s="18" t="s">
        <v>1815</v>
      </c>
      <c r="AA507" s="16" t="s">
        <v>3066</v>
      </c>
      <c r="AB507" s="16" t="s">
        <v>3804</v>
      </c>
      <c r="AC507" s="16" t="s">
        <v>3805</v>
      </c>
      <c r="AD507" s="123" t="str">
        <f t="shared" si="7"/>
        <v>FUE</v>
      </c>
      <c r="AE507" s="123" t="str">
        <f>VLOOKUP(Table1[[#This Row],[Name of bank]],'اكواد البنوك'!$A$2:$B$34,2,0)</f>
        <v>FUE</v>
      </c>
      <c r="AF507" s="21" t="s">
        <v>1838</v>
      </c>
      <c r="AG507" s="15" t="s">
        <v>1838</v>
      </c>
    </row>
    <row r="508" spans="1:33">
      <c r="A508" s="14">
        <v>507</v>
      </c>
      <c r="B508" s="14" t="s">
        <v>4402</v>
      </c>
      <c r="C508" s="14" t="e">
        <v>#N/A</v>
      </c>
      <c r="D508" s="15" t="s">
        <v>1839</v>
      </c>
      <c r="E508" s="16" t="s">
        <v>4403</v>
      </c>
      <c r="F508" s="32" t="s">
        <v>4404</v>
      </c>
      <c r="G508" s="17" t="s">
        <v>4405</v>
      </c>
      <c r="H508" s="18" t="s">
        <v>4406</v>
      </c>
      <c r="I508" s="16" t="s">
        <v>4407</v>
      </c>
      <c r="J508" s="16" t="s">
        <v>86</v>
      </c>
      <c r="K508" s="16" t="s">
        <v>4408</v>
      </c>
      <c r="L508" s="16" t="s">
        <v>234</v>
      </c>
      <c r="M508" s="16" t="s">
        <v>234</v>
      </c>
      <c r="N508" s="16">
        <v>26007030100665</v>
      </c>
      <c r="O508" s="16" t="s">
        <v>4409</v>
      </c>
      <c r="P508" s="16" t="s">
        <v>4410</v>
      </c>
      <c r="Q508" s="16" t="s">
        <v>1815</v>
      </c>
      <c r="R508" s="16" t="s">
        <v>1849</v>
      </c>
      <c r="S508" s="19" t="s">
        <v>4403</v>
      </c>
      <c r="T508" s="20" t="s">
        <v>176</v>
      </c>
      <c r="U508" s="16" t="s">
        <v>4411</v>
      </c>
      <c r="V508" s="16" t="s">
        <v>4412</v>
      </c>
      <c r="W508" s="30" t="s">
        <v>4413</v>
      </c>
      <c r="X508" s="18" t="s">
        <v>542</v>
      </c>
      <c r="Y508" s="18" t="s">
        <v>98</v>
      </c>
      <c r="Z508" s="18" t="s">
        <v>1815</v>
      </c>
      <c r="AA508" s="16" t="s">
        <v>3066</v>
      </c>
      <c r="AB508" s="16" t="s">
        <v>3804</v>
      </c>
      <c r="AC508" s="16" t="s">
        <v>3805</v>
      </c>
      <c r="AD508" s="123" t="str">
        <f t="shared" si="7"/>
        <v>External Transfer-Other banks</v>
      </c>
      <c r="AE508" s="123" t="str">
        <f>VLOOKUP(Table1[[#This Row],[Name of bank]],'اكواد البنوك'!$A$2:$B$34,2,0)</f>
        <v>BMISEGCXXXX</v>
      </c>
      <c r="AF508" s="21" t="s">
        <v>4414</v>
      </c>
      <c r="AG508" s="15" t="s">
        <v>49</v>
      </c>
    </row>
    <row r="509" spans="1:33">
      <c r="A509" s="14">
        <v>508</v>
      </c>
      <c r="B509" s="14" t="str">
        <f>B508</f>
        <v>404A</v>
      </c>
      <c r="C509" s="14" t="e">
        <v>#N/A</v>
      </c>
      <c r="D509" s="15" t="s">
        <v>1831</v>
      </c>
      <c r="E509" s="16" t="s">
        <v>4415</v>
      </c>
      <c r="F509" s="32" t="s">
        <v>4416</v>
      </c>
      <c r="G509" s="17" t="s">
        <v>4417</v>
      </c>
      <c r="H509" s="18" t="s">
        <v>4418</v>
      </c>
      <c r="I509" s="16"/>
      <c r="J509" s="16"/>
      <c r="K509" s="16" t="s">
        <v>1831</v>
      </c>
      <c r="L509" s="16" t="s">
        <v>1836</v>
      </c>
      <c r="M509" s="16" t="s">
        <v>1996</v>
      </c>
      <c r="N509" s="16">
        <v>28802100106307</v>
      </c>
      <c r="O509" s="16"/>
      <c r="P509" s="16"/>
      <c r="Q509" s="16"/>
      <c r="R509" s="16"/>
      <c r="S509" s="19"/>
      <c r="T509" s="20" t="s">
        <v>1837</v>
      </c>
      <c r="U509" s="16"/>
      <c r="V509" s="16"/>
      <c r="W509" s="30" t="s">
        <v>1838</v>
      </c>
      <c r="X509" s="18" t="s">
        <v>542</v>
      </c>
      <c r="Y509" s="18" t="s">
        <v>98</v>
      </c>
      <c r="Z509" s="18" t="s">
        <v>1815</v>
      </c>
      <c r="AA509" s="16" t="s">
        <v>3066</v>
      </c>
      <c r="AB509" s="16" t="s">
        <v>3804</v>
      </c>
      <c r="AC509" s="16" t="s">
        <v>3805</v>
      </c>
      <c r="AD509" s="123" t="str">
        <f t="shared" si="7"/>
        <v>FUE</v>
      </c>
      <c r="AE509" s="123" t="str">
        <f>VLOOKUP(Table1[[#This Row],[Name of bank]],'اكواد البنوك'!$A$2:$B$34,2,0)</f>
        <v>FUE</v>
      </c>
      <c r="AF509" s="21" t="s">
        <v>1838</v>
      </c>
      <c r="AG509" s="15" t="s">
        <v>49</v>
      </c>
    </row>
    <row r="510" spans="1:33">
      <c r="A510" s="14">
        <v>509</v>
      </c>
      <c r="B510" s="14" t="s">
        <v>4419</v>
      </c>
      <c r="C510" s="14">
        <v>402</v>
      </c>
      <c r="D510" s="15" t="s">
        <v>1839</v>
      </c>
      <c r="E510" s="16" t="s">
        <v>4420</v>
      </c>
      <c r="F510" s="32" t="s">
        <v>4421</v>
      </c>
      <c r="G510" s="17" t="s">
        <v>4422</v>
      </c>
      <c r="H510" s="18" t="s">
        <v>4423</v>
      </c>
      <c r="I510" s="16" t="s">
        <v>4424</v>
      </c>
      <c r="J510" s="16" t="s">
        <v>86</v>
      </c>
      <c r="K510" s="16" t="s">
        <v>553</v>
      </c>
      <c r="L510" s="16">
        <v>360</v>
      </c>
      <c r="M510" s="16" t="s">
        <v>4425</v>
      </c>
      <c r="N510" s="16">
        <v>29401030103487</v>
      </c>
      <c r="O510" s="16" t="s">
        <v>4426</v>
      </c>
      <c r="P510" s="16" t="s">
        <v>4427</v>
      </c>
      <c r="Q510" s="16" t="s">
        <v>1815</v>
      </c>
      <c r="R510" s="16" t="s">
        <v>1882</v>
      </c>
      <c r="S510" s="19" t="s">
        <v>4428</v>
      </c>
      <c r="T510" s="20" t="s">
        <v>176</v>
      </c>
      <c r="U510" s="16" t="s">
        <v>4429</v>
      </c>
      <c r="V510" s="16" t="s">
        <v>4430</v>
      </c>
      <c r="W510" s="30" t="s">
        <v>4431</v>
      </c>
      <c r="X510" s="18" t="s">
        <v>542</v>
      </c>
      <c r="Y510" s="18" t="s">
        <v>98</v>
      </c>
      <c r="Z510" s="18" t="s">
        <v>1815</v>
      </c>
      <c r="AA510" s="16" t="s">
        <v>3066</v>
      </c>
      <c r="AB510" s="16" t="s">
        <v>3804</v>
      </c>
      <c r="AC510" s="16" t="s">
        <v>3805</v>
      </c>
      <c r="AD510" s="123" t="str">
        <f t="shared" si="7"/>
        <v>External Transfer-Other banks</v>
      </c>
      <c r="AE510" s="123" t="str">
        <f>VLOOKUP(Table1[[#This Row],[Name of bank]],'اكواد البنوك'!$A$2:$B$34,2,0)</f>
        <v>BMISEGCXXXX</v>
      </c>
      <c r="AF510" s="21" t="s">
        <v>4224</v>
      </c>
      <c r="AG510" s="15" t="s">
        <v>49</v>
      </c>
    </row>
    <row r="511" spans="1:33">
      <c r="A511" s="14">
        <v>510</v>
      </c>
      <c r="B511" s="14" t="str">
        <f>B510</f>
        <v>405A</v>
      </c>
      <c r="C511" s="14" t="e">
        <v>#N/A</v>
      </c>
      <c r="D511" s="15" t="s">
        <v>1855</v>
      </c>
      <c r="E511" s="16" t="s">
        <v>4432</v>
      </c>
      <c r="F511" s="32" t="s">
        <v>4433</v>
      </c>
      <c r="G511" s="17" t="s">
        <v>4434</v>
      </c>
      <c r="H511" s="18">
        <v>201226992592</v>
      </c>
      <c r="I511" s="16" t="s">
        <v>3587</v>
      </c>
      <c r="J511" s="16" t="s">
        <v>1845</v>
      </c>
      <c r="K511" s="16" t="s">
        <v>3084</v>
      </c>
      <c r="L511" s="16" t="s">
        <v>136</v>
      </c>
      <c r="M511" s="16" t="s">
        <v>977</v>
      </c>
      <c r="N511" s="16">
        <v>30105110100745</v>
      </c>
      <c r="O511" s="16" t="s">
        <v>4435</v>
      </c>
      <c r="P511" s="16" t="s">
        <v>4436</v>
      </c>
      <c r="Q511" s="16" t="s">
        <v>1815</v>
      </c>
      <c r="R511" s="16" t="s">
        <v>1849</v>
      </c>
      <c r="S511" s="19" t="s">
        <v>1861</v>
      </c>
      <c r="T511" s="20" t="s">
        <v>176</v>
      </c>
      <c r="U511" s="16" t="s">
        <v>10239</v>
      </c>
      <c r="V511" s="16"/>
      <c r="W511" s="30" t="s">
        <v>10240</v>
      </c>
      <c r="X511" s="18" t="s">
        <v>542</v>
      </c>
      <c r="Y511" s="18" t="s">
        <v>98</v>
      </c>
      <c r="Z511" s="18" t="s">
        <v>1815</v>
      </c>
      <c r="AA511" s="16" t="s">
        <v>3066</v>
      </c>
      <c r="AB511" s="16" t="s">
        <v>3804</v>
      </c>
      <c r="AC511" s="16" t="s">
        <v>3805</v>
      </c>
      <c r="AD511" s="123" t="str">
        <f t="shared" si="7"/>
        <v>External Transfer-Other banks</v>
      </c>
      <c r="AE511" s="123" t="str">
        <f>VLOOKUP(Table1[[#This Row],[Name of bank]],'اكواد البنوك'!$A$2:$B$34,2,0)</f>
        <v>BMISEGCXXXX</v>
      </c>
      <c r="AF511" s="21" t="s">
        <v>3539</v>
      </c>
      <c r="AG511" s="15" t="s">
        <v>1862</v>
      </c>
    </row>
    <row r="512" spans="1:33">
      <c r="A512" s="14">
        <v>511</v>
      </c>
      <c r="B512" s="14" t="s">
        <v>409</v>
      </c>
      <c r="C512" s="14" t="s">
        <v>409</v>
      </c>
      <c r="D512" s="15" t="s">
        <v>1831</v>
      </c>
      <c r="E512" s="16" t="s">
        <v>4437</v>
      </c>
      <c r="F512" s="32" t="s">
        <v>4438</v>
      </c>
      <c r="G512" s="17" t="s">
        <v>4439</v>
      </c>
      <c r="H512" s="18" t="s">
        <v>4440</v>
      </c>
      <c r="I512" s="16" t="s">
        <v>1831</v>
      </c>
      <c r="J512" s="16"/>
      <c r="K512" s="16"/>
      <c r="L512" s="16" t="s">
        <v>1836</v>
      </c>
      <c r="M512" s="16">
        <v>57191937</v>
      </c>
      <c r="N512" s="16" t="s">
        <v>4441</v>
      </c>
      <c r="O512" s="16"/>
      <c r="P512" s="16"/>
      <c r="Q512" s="16"/>
      <c r="R512" s="16"/>
      <c r="S512" s="19"/>
      <c r="T512" s="20" t="s">
        <v>1837</v>
      </c>
      <c r="U512" s="16"/>
      <c r="V512" s="16"/>
      <c r="W512" s="30" t="s">
        <v>1838</v>
      </c>
      <c r="X512" s="18" t="s">
        <v>2096</v>
      </c>
      <c r="Y512" s="18" t="s">
        <v>98</v>
      </c>
      <c r="Z512" s="18" t="s">
        <v>1815</v>
      </c>
      <c r="AA512" s="16" t="s">
        <v>3066</v>
      </c>
      <c r="AB512" s="16" t="s">
        <v>3804</v>
      </c>
      <c r="AC512" s="16" t="s">
        <v>3805</v>
      </c>
      <c r="AD512" s="123" t="str">
        <f t="shared" si="7"/>
        <v>FUE</v>
      </c>
      <c r="AE512" s="123" t="str">
        <f>VLOOKUP(Table1[[#This Row],[Name of bank]],'اكواد البنوك'!$A$2:$B$34,2,0)</f>
        <v>FUE</v>
      </c>
      <c r="AF512" s="21" t="s">
        <v>1838</v>
      </c>
      <c r="AG512" s="15" t="s">
        <v>49</v>
      </c>
    </row>
    <row r="513" spans="1:33">
      <c r="A513" s="14">
        <v>512</v>
      </c>
      <c r="B513" s="14" t="str">
        <f>B512</f>
        <v>5th Floor</v>
      </c>
      <c r="C513" s="14" t="e">
        <v>#N/A</v>
      </c>
      <c r="D513" s="15" t="s">
        <v>1855</v>
      </c>
      <c r="E513" s="16" t="s">
        <v>4442</v>
      </c>
      <c r="F513" s="32" t="s">
        <v>4443</v>
      </c>
      <c r="G513" s="17" t="s">
        <v>4444</v>
      </c>
      <c r="H513" s="18">
        <v>201147270049</v>
      </c>
      <c r="I513" s="16" t="s">
        <v>3471</v>
      </c>
      <c r="J513" s="16" t="s">
        <v>1845</v>
      </c>
      <c r="K513" s="16" t="s">
        <v>3084</v>
      </c>
      <c r="L513" s="16" t="s">
        <v>136</v>
      </c>
      <c r="M513" s="16" t="s">
        <v>136</v>
      </c>
      <c r="N513" s="16">
        <v>30006070101249</v>
      </c>
      <c r="O513" s="16" t="s">
        <v>4445</v>
      </c>
      <c r="P513" s="16" t="s">
        <v>4446</v>
      </c>
      <c r="Q513" s="16" t="s">
        <v>1815</v>
      </c>
      <c r="R513" s="16" t="s">
        <v>1849</v>
      </c>
      <c r="S513" s="16" t="s">
        <v>4442</v>
      </c>
      <c r="T513" s="20" t="s">
        <v>307</v>
      </c>
      <c r="U513" s="16" t="s">
        <v>10233</v>
      </c>
      <c r="V513" s="83" t="s">
        <v>10341</v>
      </c>
      <c r="W513" s="40" t="s">
        <v>10234</v>
      </c>
      <c r="X513" s="18" t="s">
        <v>2096</v>
      </c>
      <c r="Y513" s="18" t="s">
        <v>98</v>
      </c>
      <c r="Z513" s="18" t="s">
        <v>1815</v>
      </c>
      <c r="AA513" s="16" t="s">
        <v>3066</v>
      </c>
      <c r="AB513" s="16" t="s">
        <v>3804</v>
      </c>
      <c r="AC513" s="16" t="s">
        <v>3805</v>
      </c>
      <c r="AD513" s="123" t="str">
        <f t="shared" si="7"/>
        <v>External Transfer-Other banks</v>
      </c>
      <c r="AE513" s="123" t="str">
        <f>VLOOKUP(Table1[[#This Row],[Name of bank]],'اكواد البنوك'!$A$2:$B$34,2,0)</f>
        <v>CIBEEGCXXXX</v>
      </c>
      <c r="AF513" s="21" t="s">
        <v>1983</v>
      </c>
      <c r="AG513" s="15" t="s">
        <v>1862</v>
      </c>
    </row>
    <row r="514" spans="1:33">
      <c r="A514" s="14">
        <v>513</v>
      </c>
      <c r="B514" s="14" t="s">
        <v>4447</v>
      </c>
      <c r="C514" s="14" t="e">
        <v>#N/A</v>
      </c>
      <c r="D514" s="15" t="s">
        <v>1839</v>
      </c>
      <c r="E514" s="16" t="s">
        <v>4448</v>
      </c>
      <c r="F514" s="32" t="s">
        <v>4449</v>
      </c>
      <c r="G514" s="17" t="s">
        <v>4450</v>
      </c>
      <c r="H514" s="18" t="s">
        <v>4451</v>
      </c>
      <c r="I514" s="16" t="s">
        <v>4452</v>
      </c>
      <c r="J514" s="16" t="s">
        <v>86</v>
      </c>
      <c r="K514" s="16" t="s">
        <v>3268</v>
      </c>
      <c r="L514" s="16">
        <v>70218550</v>
      </c>
      <c r="M514" s="16">
        <v>2712175</v>
      </c>
      <c r="N514" s="16">
        <v>29101151402411</v>
      </c>
      <c r="O514" s="16" t="s">
        <v>4453</v>
      </c>
      <c r="P514" s="16" t="s">
        <v>4454</v>
      </c>
      <c r="Q514" s="16" t="s">
        <v>1815</v>
      </c>
      <c r="R514" s="16" t="s">
        <v>1882</v>
      </c>
      <c r="S514" s="19" t="s">
        <v>4455</v>
      </c>
      <c r="T514" s="20" t="s">
        <v>307</v>
      </c>
      <c r="U514" s="16" t="s">
        <v>4456</v>
      </c>
      <c r="V514" s="83" t="s">
        <v>10342</v>
      </c>
      <c r="W514" s="30" t="s">
        <v>4457</v>
      </c>
      <c r="X514" s="18" t="s">
        <v>542</v>
      </c>
      <c r="Y514" s="18" t="s">
        <v>98</v>
      </c>
      <c r="Z514" s="18" t="s">
        <v>1815</v>
      </c>
      <c r="AA514" s="16" t="s">
        <v>3066</v>
      </c>
      <c r="AB514" s="16" t="s">
        <v>3804</v>
      </c>
      <c r="AC514" s="16" t="s">
        <v>3805</v>
      </c>
      <c r="AD514" s="123" t="str">
        <f t="shared" ref="AD514:AD577" si="8">IF(ISNUMBER(SEARCH("EXTERNAL CASH",T514)),
   "EXTERNAL CASH",
   IF(ISNUMBER(SEARCH("شيك من القاهرة",T514)),
      "FUE",
      IF(ISNUMBER(SEARCH("INTERNAL CASH",T514)),
         "INTRNAL CASH",
         IF(Y514="IP",
            "Internal Transfer",
            IF(ISNUMBER(SEARCH("National Bank of Egypt",T514)),
               "External Transfer-NBE",
               "External Transfer-Other banks"
            )
         )
      )
   )
)</f>
        <v>External Transfer-Other banks</v>
      </c>
      <c r="AE514" s="123" t="str">
        <f>VLOOKUP(Table1[[#This Row],[Name of bank]],'اكواد البنوك'!$A$2:$B$34,2,0)</f>
        <v>CIBEEGCXXXX</v>
      </c>
      <c r="AF514" s="21" t="s">
        <v>4458</v>
      </c>
      <c r="AG514" s="15" t="s">
        <v>49</v>
      </c>
    </row>
    <row r="515" spans="1:33">
      <c r="A515" s="14">
        <v>514</v>
      </c>
      <c r="B515" s="14" t="str">
        <f>B514</f>
        <v>502A</v>
      </c>
      <c r="C515" s="14" t="e">
        <v>#N/A</v>
      </c>
      <c r="D515" s="15" t="s">
        <v>1839</v>
      </c>
      <c r="E515" s="16" t="s">
        <v>4459</v>
      </c>
      <c r="F515" s="32" t="s">
        <v>4460</v>
      </c>
      <c r="G515" s="17" t="s">
        <v>4461</v>
      </c>
      <c r="H515" s="18" t="s">
        <v>4462</v>
      </c>
      <c r="I515" s="16" t="s">
        <v>4463</v>
      </c>
      <c r="J515" s="16" t="s">
        <v>173</v>
      </c>
      <c r="K515" s="16" t="s">
        <v>4464</v>
      </c>
      <c r="L515" s="16">
        <v>54563382</v>
      </c>
      <c r="M515" s="16" t="s">
        <v>136</v>
      </c>
      <c r="N515" s="16">
        <v>28104010105884</v>
      </c>
      <c r="O515" s="16" t="s">
        <v>4465</v>
      </c>
      <c r="P515" s="16" t="s">
        <v>4466</v>
      </c>
      <c r="Q515" s="16" t="s">
        <v>1815</v>
      </c>
      <c r="R515" s="16" t="s">
        <v>1882</v>
      </c>
      <c r="S515" s="19" t="s">
        <v>4460</v>
      </c>
      <c r="T515" s="20" t="s">
        <v>40</v>
      </c>
      <c r="U515" s="16" t="s">
        <v>4467</v>
      </c>
      <c r="V515" s="83" t="s">
        <v>10343</v>
      </c>
      <c r="W515" s="30" t="s">
        <v>4468</v>
      </c>
      <c r="X515" s="18" t="s">
        <v>542</v>
      </c>
      <c r="Y515" s="18" t="s">
        <v>98</v>
      </c>
      <c r="Z515" s="18" t="s">
        <v>1815</v>
      </c>
      <c r="AA515" s="16" t="s">
        <v>3066</v>
      </c>
      <c r="AB515" s="16" t="s">
        <v>3804</v>
      </c>
      <c r="AC515" s="16" t="s">
        <v>3805</v>
      </c>
      <c r="AD515" s="123" t="str">
        <f t="shared" si="8"/>
        <v>External Transfer-NBE</v>
      </c>
      <c r="AE515" s="123" t="str">
        <f>VLOOKUP(Table1[[#This Row],[Name of bank]],'اكواد البنوك'!$A$2:$B$34,2,0)</f>
        <v>NBEGEGCXXXX</v>
      </c>
      <c r="AF515" s="21" t="s">
        <v>4469</v>
      </c>
      <c r="AG515" s="15" t="s">
        <v>49</v>
      </c>
    </row>
    <row r="516" spans="1:33">
      <c r="A516" s="14">
        <v>515</v>
      </c>
      <c r="B516" s="14" t="str">
        <f>B515</f>
        <v>502A</v>
      </c>
      <c r="C516" s="14" t="e">
        <v>#N/A</v>
      </c>
      <c r="D516" s="15" t="s">
        <v>1831</v>
      </c>
      <c r="E516" s="16" t="s">
        <v>4470</v>
      </c>
      <c r="F516" s="32" t="s">
        <v>10152</v>
      </c>
      <c r="G516" s="17" t="s">
        <v>4471</v>
      </c>
      <c r="H516" s="18" t="s">
        <v>4472</v>
      </c>
      <c r="I516" s="16"/>
      <c r="J516" s="16"/>
      <c r="K516" s="16" t="s">
        <v>1831</v>
      </c>
      <c r="L516" s="16" t="s">
        <v>1836</v>
      </c>
      <c r="M516" s="16" t="s">
        <v>4473</v>
      </c>
      <c r="N516" s="16" t="s">
        <v>4474</v>
      </c>
      <c r="O516" s="16"/>
      <c r="P516" s="16"/>
      <c r="Q516" s="16"/>
      <c r="R516" s="16"/>
      <c r="S516" s="19"/>
      <c r="T516" s="20" t="s">
        <v>1837</v>
      </c>
      <c r="U516" s="16"/>
      <c r="V516" s="16"/>
      <c r="W516" s="30" t="s">
        <v>1838</v>
      </c>
      <c r="X516" s="18" t="s">
        <v>542</v>
      </c>
      <c r="Y516" s="18" t="s">
        <v>98</v>
      </c>
      <c r="Z516" s="18" t="s">
        <v>1815</v>
      </c>
      <c r="AA516" s="16" t="s">
        <v>3066</v>
      </c>
      <c r="AB516" s="16" t="s">
        <v>3804</v>
      </c>
      <c r="AC516" s="16" t="s">
        <v>3805</v>
      </c>
      <c r="AD516" s="123" t="str">
        <f t="shared" si="8"/>
        <v>FUE</v>
      </c>
      <c r="AE516" s="123" t="str">
        <f>VLOOKUP(Table1[[#This Row],[Name of bank]],'اكواد البنوك'!$A$2:$B$34,2,0)</f>
        <v>FUE</v>
      </c>
      <c r="AF516" s="21" t="s">
        <v>1838</v>
      </c>
      <c r="AG516" s="15" t="s">
        <v>49</v>
      </c>
    </row>
    <row r="517" spans="1:33">
      <c r="A517" s="14">
        <v>516</v>
      </c>
      <c r="B517" s="14" t="s">
        <v>4475</v>
      </c>
      <c r="C517" s="14" t="s">
        <v>4299</v>
      </c>
      <c r="D517" s="15" t="s">
        <v>1831</v>
      </c>
      <c r="E517" s="16" t="s">
        <v>4476</v>
      </c>
      <c r="F517" s="32" t="s">
        <v>4477</v>
      </c>
      <c r="G517" s="17" t="s">
        <v>4478</v>
      </c>
      <c r="H517" s="18" t="s">
        <v>4479</v>
      </c>
      <c r="I517" s="16"/>
      <c r="J517" s="16"/>
      <c r="K517" s="16" t="s">
        <v>1831</v>
      </c>
      <c r="L517" s="16" t="s">
        <v>1836</v>
      </c>
      <c r="M517" s="16">
        <v>19855366</v>
      </c>
      <c r="N517" s="16" t="s">
        <v>4480</v>
      </c>
      <c r="O517" s="16"/>
      <c r="P517" s="16"/>
      <c r="Q517" s="16"/>
      <c r="R517" s="16"/>
      <c r="S517" s="19"/>
      <c r="T517" s="20" t="s">
        <v>1837</v>
      </c>
      <c r="U517" s="16"/>
      <c r="V517" s="16"/>
      <c r="W517" s="30" t="s">
        <v>1838</v>
      </c>
      <c r="X517" s="18" t="s">
        <v>542</v>
      </c>
      <c r="Y517" s="18" t="s">
        <v>98</v>
      </c>
      <c r="Z517" s="18" t="s">
        <v>1815</v>
      </c>
      <c r="AA517" s="16" t="s">
        <v>3066</v>
      </c>
      <c r="AB517" s="16" t="s">
        <v>3804</v>
      </c>
      <c r="AC517" s="16" t="s">
        <v>3805</v>
      </c>
      <c r="AD517" s="123" t="str">
        <f t="shared" si="8"/>
        <v>FUE</v>
      </c>
      <c r="AE517" s="123" t="str">
        <f>VLOOKUP(Table1[[#This Row],[Name of bank]],'اكواد البنوك'!$A$2:$B$34,2,0)</f>
        <v>FUE</v>
      </c>
      <c r="AF517" s="21" t="s">
        <v>1838</v>
      </c>
      <c r="AG517" s="15" t="s">
        <v>49</v>
      </c>
    </row>
    <row r="518" spans="1:33">
      <c r="A518" s="14">
        <v>517</v>
      </c>
      <c r="B518" s="14" t="str">
        <f>B517</f>
        <v>503A</v>
      </c>
      <c r="C518" s="14" t="e">
        <v>#N/A</v>
      </c>
      <c r="D518" s="15" t="s">
        <v>1839</v>
      </c>
      <c r="E518" s="16" t="s">
        <v>4481</v>
      </c>
      <c r="F518" s="32" t="s">
        <v>4482</v>
      </c>
      <c r="G518" s="17" t="s">
        <v>4483</v>
      </c>
      <c r="H518" s="18" t="s">
        <v>4484</v>
      </c>
      <c r="I518" s="16" t="s">
        <v>4485</v>
      </c>
      <c r="J518" s="16" t="s">
        <v>86</v>
      </c>
      <c r="K518" s="16" t="s">
        <v>269</v>
      </c>
      <c r="L518" s="16">
        <v>63210324</v>
      </c>
      <c r="M518" s="16" t="s">
        <v>136</v>
      </c>
      <c r="N518" s="16">
        <v>29306220100082</v>
      </c>
      <c r="O518" s="16" t="s">
        <v>4486</v>
      </c>
      <c r="P518" s="16" t="s">
        <v>4487</v>
      </c>
      <c r="Q518" s="16" t="s">
        <v>1815</v>
      </c>
      <c r="R518" s="16" t="s">
        <v>1849</v>
      </c>
      <c r="S518" s="19" t="s">
        <v>4488</v>
      </c>
      <c r="T518" s="20" t="s">
        <v>307</v>
      </c>
      <c r="U518" s="16" t="s">
        <v>4003</v>
      </c>
      <c r="V518" s="16" t="s">
        <v>4489</v>
      </c>
      <c r="W518" s="30" t="s">
        <v>4490</v>
      </c>
      <c r="X518" s="18" t="s">
        <v>542</v>
      </c>
      <c r="Y518" s="18" t="s">
        <v>98</v>
      </c>
      <c r="Z518" s="18" t="s">
        <v>1815</v>
      </c>
      <c r="AA518" s="16" t="s">
        <v>3066</v>
      </c>
      <c r="AB518" s="16" t="s">
        <v>3804</v>
      </c>
      <c r="AC518" s="16" t="s">
        <v>3805</v>
      </c>
      <c r="AD518" s="123" t="str">
        <f t="shared" si="8"/>
        <v>External Transfer-Other banks</v>
      </c>
      <c r="AE518" s="123" t="str">
        <f>VLOOKUP(Table1[[#This Row],[Name of bank]],'اكواد البنوك'!$A$2:$B$34,2,0)</f>
        <v>CIBEEGCXXXX</v>
      </c>
      <c r="AF518" s="21" t="s">
        <v>2586</v>
      </c>
      <c r="AG518" s="15" t="s">
        <v>49</v>
      </c>
    </row>
    <row r="519" spans="1:33">
      <c r="A519" s="14">
        <v>518</v>
      </c>
      <c r="B519" s="14" t="s">
        <v>4491</v>
      </c>
      <c r="C519" s="14" t="e">
        <v>#N/A</v>
      </c>
      <c r="D519" s="15" t="s">
        <v>1839</v>
      </c>
      <c r="E519" s="16" t="s">
        <v>4492</v>
      </c>
      <c r="F519" s="32" t="s">
        <v>4493</v>
      </c>
      <c r="G519" s="17" t="s">
        <v>4494</v>
      </c>
      <c r="H519" s="18" t="s">
        <v>4495</v>
      </c>
      <c r="I519" s="16" t="s">
        <v>4496</v>
      </c>
      <c r="J519" s="16" t="s">
        <v>86</v>
      </c>
      <c r="K519" s="16" t="s">
        <v>269</v>
      </c>
      <c r="L519" s="16">
        <v>79525659</v>
      </c>
      <c r="M519" s="16" t="s">
        <v>234</v>
      </c>
      <c r="N519" s="16">
        <v>29708210103131</v>
      </c>
      <c r="O519" s="16" t="s">
        <v>4497</v>
      </c>
      <c r="P519" s="16" t="s">
        <v>4498</v>
      </c>
      <c r="Q519" s="16" t="s">
        <v>1815</v>
      </c>
      <c r="R519" s="16" t="s">
        <v>1849</v>
      </c>
      <c r="S519" s="19" t="s">
        <v>4492</v>
      </c>
      <c r="T519" s="20" t="s">
        <v>341</v>
      </c>
      <c r="U519" s="16" t="s">
        <v>4499</v>
      </c>
      <c r="V519" s="16" t="s">
        <v>4500</v>
      </c>
      <c r="W519" s="30" t="s">
        <v>4501</v>
      </c>
      <c r="X519" s="18" t="s">
        <v>542</v>
      </c>
      <c r="Y519" s="18" t="s">
        <v>98</v>
      </c>
      <c r="Z519" s="18" t="s">
        <v>1815</v>
      </c>
      <c r="AA519" s="16" t="s">
        <v>3066</v>
      </c>
      <c r="AB519" s="16" t="s">
        <v>3804</v>
      </c>
      <c r="AC519" s="16" t="s">
        <v>3805</v>
      </c>
      <c r="AD519" s="123" t="str">
        <f t="shared" si="8"/>
        <v>External Transfer-Other banks</v>
      </c>
      <c r="AE519" s="123" t="str">
        <f>VLOOKUP(Table1[[#This Row],[Name of bank]],'اكواد البنوك'!$A$2:$B$34,2,0)</f>
        <v>AGRIEGCXXXX</v>
      </c>
      <c r="AF519" s="21" t="s">
        <v>346</v>
      </c>
      <c r="AG519" s="15" t="s">
        <v>49</v>
      </c>
    </row>
    <row r="520" spans="1:33">
      <c r="A520" s="14">
        <v>519</v>
      </c>
      <c r="B520" s="14" t="str">
        <f>B519</f>
        <v>504A</v>
      </c>
      <c r="C520" s="14" t="e">
        <v>#N/A</v>
      </c>
      <c r="D520" s="15" t="s">
        <v>1831</v>
      </c>
      <c r="E520" s="16" t="s">
        <v>4502</v>
      </c>
      <c r="F520" s="32" t="s">
        <v>10041</v>
      </c>
      <c r="G520" s="17" t="s">
        <v>4503</v>
      </c>
      <c r="H520" s="18" t="s">
        <v>4504</v>
      </c>
      <c r="I520" s="16"/>
      <c r="J520" s="16"/>
      <c r="K520" s="16" t="s">
        <v>1831</v>
      </c>
      <c r="L520" s="16" t="s">
        <v>1836</v>
      </c>
      <c r="M520" s="16" t="s">
        <v>4505</v>
      </c>
      <c r="N520" s="16" t="s">
        <v>4506</v>
      </c>
      <c r="O520" s="16"/>
      <c r="P520" s="16"/>
      <c r="Q520" s="16"/>
      <c r="R520" s="16"/>
      <c r="S520" s="19"/>
      <c r="T520" s="20" t="s">
        <v>1837</v>
      </c>
      <c r="U520" s="16"/>
      <c r="V520" s="16"/>
      <c r="W520" s="30" t="s">
        <v>1838</v>
      </c>
      <c r="X520" s="18" t="s">
        <v>542</v>
      </c>
      <c r="Y520" s="18" t="s">
        <v>98</v>
      </c>
      <c r="Z520" s="18" t="s">
        <v>1815</v>
      </c>
      <c r="AA520" s="16" t="s">
        <v>3066</v>
      </c>
      <c r="AB520" s="16" t="s">
        <v>3804</v>
      </c>
      <c r="AC520" s="16" t="s">
        <v>3805</v>
      </c>
      <c r="AD520" s="123" t="str">
        <f t="shared" si="8"/>
        <v>FUE</v>
      </c>
      <c r="AE520" s="123" t="str">
        <f>VLOOKUP(Table1[[#This Row],[Name of bank]],'اكواد البنوك'!$A$2:$B$34,2,0)</f>
        <v>FUE</v>
      </c>
      <c r="AF520" s="21" t="s">
        <v>1838</v>
      </c>
      <c r="AG520" s="15" t="s">
        <v>49</v>
      </c>
    </row>
    <row r="521" spans="1:33">
      <c r="A521" s="14">
        <v>520</v>
      </c>
      <c r="B521" s="14"/>
      <c r="C521" s="14">
        <v>0</v>
      </c>
      <c r="D521" s="15" t="s">
        <v>1703</v>
      </c>
      <c r="E521" s="16" t="s">
        <v>4507</v>
      </c>
      <c r="F521" s="32" t="s">
        <v>4508</v>
      </c>
      <c r="G521" s="17"/>
      <c r="H521" s="18" t="s">
        <v>4509</v>
      </c>
      <c r="I521" s="16" t="s">
        <v>1703</v>
      </c>
      <c r="J521" s="16"/>
      <c r="K521" s="16"/>
      <c r="L521" s="16"/>
      <c r="M521" s="16"/>
      <c r="N521" s="16"/>
      <c r="O521" s="16"/>
      <c r="P521" s="16"/>
      <c r="Q521" s="16"/>
      <c r="R521" s="16"/>
      <c r="S521" s="19"/>
      <c r="T521" s="20" t="s">
        <v>40</v>
      </c>
      <c r="U521" s="16"/>
      <c r="V521" s="16"/>
      <c r="W521" s="30">
        <v>32</v>
      </c>
      <c r="X521" s="18" t="s">
        <v>1434</v>
      </c>
      <c r="Y521" s="18" t="s">
        <v>43</v>
      </c>
      <c r="Z521" s="18" t="s">
        <v>1815</v>
      </c>
      <c r="AA521" s="16" t="s">
        <v>3066</v>
      </c>
      <c r="AB521" s="16" t="s">
        <v>3804</v>
      </c>
      <c r="AC521" s="16" t="s">
        <v>3805</v>
      </c>
      <c r="AD521" s="123" t="str">
        <f t="shared" si="8"/>
        <v>Internal Transfer</v>
      </c>
      <c r="AE521" s="123" t="str">
        <f>VLOOKUP(Table1[[#This Row],[Name of bank]],'اكواد البنوك'!$A$2:$B$34,2,0)</f>
        <v>NBEGEGCXXXX</v>
      </c>
      <c r="AF521" s="21" t="s">
        <v>4510</v>
      </c>
      <c r="AG521" s="15" t="s">
        <v>49</v>
      </c>
    </row>
    <row r="522" spans="1:33">
      <c r="A522" s="14">
        <v>521</v>
      </c>
      <c r="B522" s="14"/>
      <c r="C522" s="14">
        <v>0</v>
      </c>
      <c r="D522" s="15" t="s">
        <v>1718</v>
      </c>
      <c r="E522" s="16" t="s">
        <v>4511</v>
      </c>
      <c r="F522" s="32" t="s">
        <v>4512</v>
      </c>
      <c r="G522" s="17"/>
      <c r="H522" s="18"/>
      <c r="I522" s="16" t="s">
        <v>1718</v>
      </c>
      <c r="J522" s="16"/>
      <c r="K522" s="16"/>
      <c r="L522" s="16"/>
      <c r="M522" s="16"/>
      <c r="N522" s="16"/>
      <c r="O522" s="16"/>
      <c r="P522" s="16"/>
      <c r="Q522" s="16"/>
      <c r="R522" s="16"/>
      <c r="S522" s="19"/>
      <c r="T522" s="20" t="s">
        <v>40</v>
      </c>
      <c r="U522" s="16"/>
      <c r="V522" s="16"/>
      <c r="W522" s="30" t="s">
        <v>1718</v>
      </c>
      <c r="X522" s="18" t="s">
        <v>1434</v>
      </c>
      <c r="Y522" s="18" t="s">
        <v>43</v>
      </c>
      <c r="Z522" s="18" t="s">
        <v>1815</v>
      </c>
      <c r="AA522" s="16" t="s">
        <v>3066</v>
      </c>
      <c r="AB522" s="16" t="s">
        <v>3804</v>
      </c>
      <c r="AC522" s="16" t="s">
        <v>3805</v>
      </c>
      <c r="AD522" s="123" t="str">
        <f t="shared" si="8"/>
        <v>Internal Transfer</v>
      </c>
      <c r="AE522" s="123" t="str">
        <f>VLOOKUP(Table1[[#This Row],[Name of bank]],'اكواد البنوك'!$A$2:$B$34,2,0)</f>
        <v>NBEGEGCXXXX</v>
      </c>
      <c r="AF522" s="30" t="s">
        <v>1718</v>
      </c>
      <c r="AG522" s="15" t="s">
        <v>49</v>
      </c>
    </row>
    <row r="523" spans="1:33">
      <c r="A523" s="14">
        <v>522</v>
      </c>
      <c r="B523" s="14"/>
      <c r="C523" s="14">
        <v>0</v>
      </c>
      <c r="D523" s="15" t="s">
        <v>1718</v>
      </c>
      <c r="E523" s="16" t="s">
        <v>4513</v>
      </c>
      <c r="F523" s="32" t="s">
        <v>4514</v>
      </c>
      <c r="G523" s="17"/>
      <c r="H523" s="18" t="s">
        <v>4515</v>
      </c>
      <c r="I523" s="16" t="s">
        <v>1718</v>
      </c>
      <c r="J523" s="16"/>
      <c r="K523" s="16"/>
      <c r="L523" s="16"/>
      <c r="M523" s="16"/>
      <c r="N523" s="16"/>
      <c r="O523" s="16"/>
      <c r="P523" s="16"/>
      <c r="Q523" s="16"/>
      <c r="R523" s="16"/>
      <c r="S523" s="19"/>
      <c r="T523" s="20" t="s">
        <v>40</v>
      </c>
      <c r="U523" s="16"/>
      <c r="V523" s="16"/>
      <c r="W523" s="30" t="s">
        <v>1718</v>
      </c>
      <c r="X523" s="18" t="s">
        <v>1434</v>
      </c>
      <c r="Y523" s="18" t="s">
        <v>43</v>
      </c>
      <c r="Z523" s="18" t="s">
        <v>1815</v>
      </c>
      <c r="AA523" s="16" t="s">
        <v>3066</v>
      </c>
      <c r="AB523" s="16" t="s">
        <v>3804</v>
      </c>
      <c r="AC523" s="16" t="s">
        <v>3805</v>
      </c>
      <c r="AD523" s="123" t="str">
        <f t="shared" si="8"/>
        <v>Internal Transfer</v>
      </c>
      <c r="AE523" s="123" t="str">
        <f>VLOOKUP(Table1[[#This Row],[Name of bank]],'اكواد البنوك'!$A$2:$B$34,2,0)</f>
        <v>NBEGEGCXXXX</v>
      </c>
      <c r="AF523" s="30" t="s">
        <v>1718</v>
      </c>
      <c r="AG523" s="15" t="s">
        <v>49</v>
      </c>
    </row>
    <row r="524" spans="1:33">
      <c r="A524" s="14">
        <v>523</v>
      </c>
      <c r="B524" s="14"/>
      <c r="C524" s="14">
        <v>0</v>
      </c>
      <c r="D524" s="15" t="s">
        <v>1718</v>
      </c>
      <c r="E524" s="16" t="s">
        <v>4516</v>
      </c>
      <c r="F524" s="32" t="s">
        <v>4517</v>
      </c>
      <c r="G524" s="17"/>
      <c r="H524" s="18" t="s">
        <v>4518</v>
      </c>
      <c r="I524" s="16" t="s">
        <v>1718</v>
      </c>
      <c r="J524" s="16"/>
      <c r="K524" s="16"/>
      <c r="L524" s="16"/>
      <c r="M524" s="16"/>
      <c r="N524" s="16"/>
      <c r="O524" s="16"/>
      <c r="P524" s="16"/>
      <c r="Q524" s="16"/>
      <c r="R524" s="16"/>
      <c r="S524" s="19"/>
      <c r="T524" s="20" t="s">
        <v>40</v>
      </c>
      <c r="U524" s="16"/>
      <c r="V524" s="16"/>
      <c r="W524" s="30" t="s">
        <v>1718</v>
      </c>
      <c r="X524" s="18" t="s">
        <v>1434</v>
      </c>
      <c r="Y524" s="18" t="s">
        <v>43</v>
      </c>
      <c r="Z524" s="18" t="s">
        <v>1815</v>
      </c>
      <c r="AA524" s="16" t="s">
        <v>3066</v>
      </c>
      <c r="AB524" s="16" t="s">
        <v>3804</v>
      </c>
      <c r="AC524" s="16" t="s">
        <v>3805</v>
      </c>
      <c r="AD524" s="123" t="str">
        <f t="shared" si="8"/>
        <v>Internal Transfer</v>
      </c>
      <c r="AE524" s="123" t="str">
        <f>VLOOKUP(Table1[[#This Row],[Name of bank]],'اكواد البنوك'!$A$2:$B$34,2,0)</f>
        <v>NBEGEGCXXXX</v>
      </c>
      <c r="AF524" s="30" t="s">
        <v>1718</v>
      </c>
      <c r="AG524" s="15" t="s">
        <v>49</v>
      </c>
    </row>
    <row r="525" spans="1:33">
      <c r="A525" s="14">
        <v>524</v>
      </c>
      <c r="B525" s="14" t="s">
        <v>4519</v>
      </c>
      <c r="C525" s="14" t="s">
        <v>1838</v>
      </c>
      <c r="D525" s="15" t="s">
        <v>1703</v>
      </c>
      <c r="E525" s="16" t="s">
        <v>4520</v>
      </c>
      <c r="F525" s="32" t="s">
        <v>10086</v>
      </c>
      <c r="G525" s="17" t="s">
        <v>4521</v>
      </c>
      <c r="H525" s="18" t="s">
        <v>4522</v>
      </c>
      <c r="I525" s="16" t="s">
        <v>1703</v>
      </c>
      <c r="J525" s="16" t="s">
        <v>43</v>
      </c>
      <c r="K525" s="16"/>
      <c r="L525" s="16"/>
      <c r="M525" s="16"/>
      <c r="N525" s="16"/>
      <c r="O525" s="16" t="s">
        <v>4523</v>
      </c>
      <c r="P525" s="16"/>
      <c r="Q525" s="16"/>
      <c r="R525" s="16"/>
      <c r="S525" s="19"/>
      <c r="T525" s="20" t="s">
        <v>40</v>
      </c>
      <c r="U525" s="16"/>
      <c r="V525" s="16"/>
      <c r="W525" s="30">
        <v>145</v>
      </c>
      <c r="X525" s="18" t="s">
        <v>4524</v>
      </c>
      <c r="Y525" s="18" t="s">
        <v>43</v>
      </c>
      <c r="Z525" s="18" t="s">
        <v>1815</v>
      </c>
      <c r="AA525" s="16" t="s">
        <v>4525</v>
      </c>
      <c r="AB525" s="16" t="s">
        <v>4526</v>
      </c>
      <c r="AC525" s="16" t="s">
        <v>4527</v>
      </c>
      <c r="AD525" s="123" t="str">
        <f t="shared" si="8"/>
        <v>Internal Transfer</v>
      </c>
      <c r="AE525" s="123" t="str">
        <f>VLOOKUP(Table1[[#This Row],[Name of bank]],'اكواد البنوك'!$A$2:$B$34,2,0)</f>
        <v>NBEGEGCXXXX</v>
      </c>
      <c r="AF525" s="21" t="s">
        <v>4528</v>
      </c>
      <c r="AG525" s="15" t="s">
        <v>49</v>
      </c>
    </row>
    <row r="526" spans="1:33">
      <c r="A526" s="14">
        <v>525</v>
      </c>
      <c r="B526" s="14" t="s">
        <v>4519</v>
      </c>
      <c r="C526" s="14" t="s">
        <v>1838</v>
      </c>
      <c r="D526" s="15" t="s">
        <v>1703</v>
      </c>
      <c r="E526" s="16" t="s">
        <v>4529</v>
      </c>
      <c r="F526" s="32" t="s">
        <v>4530</v>
      </c>
      <c r="G526" s="17" t="s">
        <v>4531</v>
      </c>
      <c r="H526" s="18" t="s">
        <v>4532</v>
      </c>
      <c r="I526" s="16" t="s">
        <v>1703</v>
      </c>
      <c r="J526" s="16" t="s">
        <v>43</v>
      </c>
      <c r="K526" s="16"/>
      <c r="L526" s="16"/>
      <c r="M526" s="16"/>
      <c r="N526" s="16"/>
      <c r="O526" s="16" t="s">
        <v>4523</v>
      </c>
      <c r="P526" s="16"/>
      <c r="Q526" s="16"/>
      <c r="R526" s="16"/>
      <c r="S526" s="19"/>
      <c r="T526" s="20" t="s">
        <v>40</v>
      </c>
      <c r="U526" s="16"/>
      <c r="V526" s="16"/>
      <c r="W526" s="30">
        <v>1</v>
      </c>
      <c r="X526" s="18" t="s">
        <v>4533</v>
      </c>
      <c r="Y526" s="18" t="s">
        <v>43</v>
      </c>
      <c r="Z526" s="18" t="s">
        <v>1815</v>
      </c>
      <c r="AA526" s="16" t="s">
        <v>4525</v>
      </c>
      <c r="AB526" s="16" t="s">
        <v>4526</v>
      </c>
      <c r="AC526" s="16" t="s">
        <v>4527</v>
      </c>
      <c r="AD526" s="123" t="str">
        <f t="shared" si="8"/>
        <v>Internal Transfer</v>
      </c>
      <c r="AE526" s="123" t="str">
        <f>VLOOKUP(Table1[[#This Row],[Name of bank]],'اكواد البنوك'!$A$2:$B$34,2,0)</f>
        <v>NBEGEGCXXXX</v>
      </c>
      <c r="AF526" s="21" t="s">
        <v>4534</v>
      </c>
      <c r="AG526" s="15" t="s">
        <v>49</v>
      </c>
    </row>
    <row r="527" spans="1:33">
      <c r="A527" s="14">
        <v>526</v>
      </c>
      <c r="B527" s="14" t="s">
        <v>4535</v>
      </c>
      <c r="C527" s="14" t="s">
        <v>206</v>
      </c>
      <c r="D527" s="15" t="s">
        <v>1703</v>
      </c>
      <c r="E527" s="16" t="s">
        <v>4536</v>
      </c>
      <c r="F527" s="32" t="s">
        <v>4537</v>
      </c>
      <c r="G527" s="17" t="s">
        <v>4538</v>
      </c>
      <c r="H527" s="18" t="s">
        <v>4539</v>
      </c>
      <c r="I527" s="16" t="s">
        <v>1703</v>
      </c>
      <c r="J527" s="16" t="e">
        <v>#N/A</v>
      </c>
      <c r="K527" s="16" t="e">
        <v>#N/A</v>
      </c>
      <c r="L527" s="16" t="e">
        <v>#N/A</v>
      </c>
      <c r="M527" s="16" t="e">
        <v>#N/A</v>
      </c>
      <c r="N527" s="16"/>
      <c r="O527" s="16" t="s">
        <v>3065</v>
      </c>
      <c r="P527" s="16"/>
      <c r="Q527" s="16"/>
      <c r="R527" s="16"/>
      <c r="S527" s="19"/>
      <c r="T527" s="20" t="s">
        <v>40</v>
      </c>
      <c r="U527" s="16"/>
      <c r="V527" s="16"/>
      <c r="W527" s="30">
        <v>23</v>
      </c>
      <c r="X527" s="18" t="s">
        <v>31</v>
      </c>
      <c r="Y527" s="18" t="s">
        <v>43</v>
      </c>
      <c r="Z527" s="18" t="s">
        <v>1815</v>
      </c>
      <c r="AA527" s="16" t="s">
        <v>4525</v>
      </c>
      <c r="AB527" s="16" t="s">
        <v>4540</v>
      </c>
      <c r="AC527" s="16" t="s">
        <v>4527</v>
      </c>
      <c r="AD527" s="123" t="str">
        <f t="shared" si="8"/>
        <v>Internal Transfer</v>
      </c>
      <c r="AE527" s="123" t="str">
        <f>VLOOKUP(Table1[[#This Row],[Name of bank]],'اكواد البنوك'!$A$2:$B$34,2,0)</f>
        <v>NBEGEGCXXXX</v>
      </c>
      <c r="AF527" s="21" t="s">
        <v>4541</v>
      </c>
      <c r="AG527" s="15" t="s">
        <v>3069</v>
      </c>
    </row>
    <row r="528" spans="1:33">
      <c r="A528" s="14">
        <v>527</v>
      </c>
      <c r="B528" s="14" t="s">
        <v>4535</v>
      </c>
      <c r="C528" s="14" t="s">
        <v>4935</v>
      </c>
      <c r="D528" s="15" t="s">
        <v>1855</v>
      </c>
      <c r="E528" s="16" t="s">
        <v>4542</v>
      </c>
      <c r="F528" s="32" t="s">
        <v>4543</v>
      </c>
      <c r="G528" s="17" t="s">
        <v>4544</v>
      </c>
      <c r="H528" s="18" t="s">
        <v>4545</v>
      </c>
      <c r="I528" s="16" t="s">
        <v>4032</v>
      </c>
      <c r="J528" s="16" t="s">
        <v>1845</v>
      </c>
      <c r="K528" s="16" t="s">
        <v>148</v>
      </c>
      <c r="L528" s="16" t="s">
        <v>136</v>
      </c>
      <c r="M528" s="16" t="s">
        <v>136</v>
      </c>
      <c r="N528" s="16">
        <v>28905112300625</v>
      </c>
      <c r="O528" s="16" t="s">
        <v>4546</v>
      </c>
      <c r="P528" s="16" t="s">
        <v>4547</v>
      </c>
      <c r="Q528" s="16" t="s">
        <v>1815</v>
      </c>
      <c r="R528" s="16" t="s">
        <v>3598</v>
      </c>
      <c r="S528" s="19" t="s">
        <v>136</v>
      </c>
      <c r="T528" s="20" t="s">
        <v>734</v>
      </c>
      <c r="U528" s="16" t="s">
        <v>10236</v>
      </c>
      <c r="V528" s="16" t="s">
        <v>136</v>
      </c>
      <c r="W528" s="30" t="s">
        <v>10245</v>
      </c>
      <c r="X528" s="18" t="s">
        <v>66</v>
      </c>
      <c r="Y528" s="18" t="s">
        <v>98</v>
      </c>
      <c r="Z528" s="18" t="s">
        <v>1815</v>
      </c>
      <c r="AA528" s="16" t="s">
        <v>4525</v>
      </c>
      <c r="AB528" s="16" t="s">
        <v>4540</v>
      </c>
      <c r="AC528" s="16" t="s">
        <v>4527</v>
      </c>
      <c r="AD528" s="123" t="str">
        <f t="shared" si="8"/>
        <v>External Transfer-Other banks</v>
      </c>
      <c r="AE528" s="123" t="str">
        <f>VLOOKUP(Table1[[#This Row],[Name of bank]],'اكواد البنوك'!$A$2:$B$34,2,0)</f>
        <v>BDACEGCAXXX</v>
      </c>
      <c r="AF528" s="21">
        <v>2113</v>
      </c>
      <c r="AG528" s="15" t="s">
        <v>2202</v>
      </c>
    </row>
    <row r="529" spans="1:33">
      <c r="A529" s="14">
        <v>528</v>
      </c>
      <c r="B529" s="14" t="s">
        <v>4535</v>
      </c>
      <c r="C529" s="14" t="s">
        <v>639</v>
      </c>
      <c r="D529" s="15" t="s">
        <v>1718</v>
      </c>
      <c r="E529" s="16" t="s">
        <v>4548</v>
      </c>
      <c r="F529" s="32" t="s">
        <v>4549</v>
      </c>
      <c r="G529" s="17" t="s">
        <v>4550</v>
      </c>
      <c r="H529" s="18" t="s">
        <v>4551</v>
      </c>
      <c r="I529" s="16" t="s">
        <v>1718</v>
      </c>
      <c r="J529" s="16" t="e">
        <v>#N/A</v>
      </c>
      <c r="K529" s="16" t="e">
        <v>#N/A</v>
      </c>
      <c r="L529" s="16" t="e">
        <v>#N/A</v>
      </c>
      <c r="M529" s="16" t="s">
        <v>1718</v>
      </c>
      <c r="N529" s="16"/>
      <c r="O529" s="16"/>
      <c r="P529" s="16"/>
      <c r="Q529" s="16"/>
      <c r="R529" s="16"/>
      <c r="S529" s="19"/>
      <c r="T529" s="20" t="s">
        <v>40</v>
      </c>
      <c r="U529" s="16"/>
      <c r="V529" s="16"/>
      <c r="W529" s="30" t="s">
        <v>1718</v>
      </c>
      <c r="X529" s="18" t="s">
        <v>66</v>
      </c>
      <c r="Y529" s="18" t="s">
        <v>43</v>
      </c>
      <c r="Z529" s="18" t="s">
        <v>1815</v>
      </c>
      <c r="AA529" s="16" t="s">
        <v>4525</v>
      </c>
      <c r="AB529" s="16" t="s">
        <v>4540</v>
      </c>
      <c r="AC529" s="16" t="s">
        <v>4527</v>
      </c>
      <c r="AD529" s="123" t="str">
        <f t="shared" si="8"/>
        <v>Internal Transfer</v>
      </c>
      <c r="AE529" s="123" t="str">
        <f>VLOOKUP(Table1[[#This Row],[Name of bank]],'اكواد البنوك'!$A$2:$B$34,2,0)</f>
        <v>NBEGEGCXXXX</v>
      </c>
      <c r="AF529" s="30" t="s">
        <v>1718</v>
      </c>
      <c r="AG529" s="15" t="s">
        <v>3069</v>
      </c>
    </row>
    <row r="530" spans="1:33">
      <c r="A530" s="14">
        <v>529</v>
      </c>
      <c r="B530" s="14" t="s">
        <v>2446</v>
      </c>
      <c r="C530" s="14" t="s">
        <v>2446</v>
      </c>
      <c r="D530" s="15" t="s">
        <v>1718</v>
      </c>
      <c r="E530" s="16" t="s">
        <v>4552</v>
      </c>
      <c r="F530" s="32" t="s">
        <v>4553</v>
      </c>
      <c r="G530" s="17" t="s">
        <v>4554</v>
      </c>
      <c r="H530" s="18" t="s">
        <v>4555</v>
      </c>
      <c r="I530" s="16" t="s">
        <v>1703</v>
      </c>
      <c r="J530" s="16" t="e">
        <v>#N/A</v>
      </c>
      <c r="K530" s="16" t="e">
        <v>#N/A</v>
      </c>
      <c r="L530" s="16" t="e">
        <v>#N/A</v>
      </c>
      <c r="M530" s="16" t="s">
        <v>3065</v>
      </c>
      <c r="N530" s="16" t="e">
        <v>#N/A</v>
      </c>
      <c r="O530" s="16" t="s">
        <v>3065</v>
      </c>
      <c r="P530" s="16"/>
      <c r="Q530" s="16"/>
      <c r="R530" s="16"/>
      <c r="S530" s="19"/>
      <c r="T530" s="20" t="s">
        <v>40</v>
      </c>
      <c r="U530" s="16"/>
      <c r="V530" s="16"/>
      <c r="W530" s="30" t="s">
        <v>1718</v>
      </c>
      <c r="X530" s="18" t="s">
        <v>78</v>
      </c>
      <c r="Y530" s="18" t="s">
        <v>43</v>
      </c>
      <c r="Z530" s="18" t="s">
        <v>1815</v>
      </c>
      <c r="AA530" s="16" t="s">
        <v>4525</v>
      </c>
      <c r="AB530" s="16" t="s">
        <v>4540</v>
      </c>
      <c r="AC530" s="16" t="s">
        <v>4527</v>
      </c>
      <c r="AD530" s="123" t="str">
        <f t="shared" si="8"/>
        <v>Internal Transfer</v>
      </c>
      <c r="AE530" s="123" t="str">
        <f>VLOOKUP(Table1[[#This Row],[Name of bank]],'اكواد البنوك'!$A$2:$B$34,2,0)</f>
        <v>NBEGEGCXXXX</v>
      </c>
      <c r="AF530" s="30" t="s">
        <v>1718</v>
      </c>
      <c r="AG530" s="15" t="s">
        <v>3069</v>
      </c>
    </row>
    <row r="531" spans="1:33">
      <c r="A531" s="14">
        <v>530</v>
      </c>
      <c r="B531" s="14" t="s">
        <v>2446</v>
      </c>
      <c r="C531" s="14" t="e">
        <v>#N/A</v>
      </c>
      <c r="D531" s="15" t="s">
        <v>1839</v>
      </c>
      <c r="E531" s="16" t="s">
        <v>4556</v>
      </c>
      <c r="F531" s="32" t="s">
        <v>10188</v>
      </c>
      <c r="G531" s="17" t="s">
        <v>4557</v>
      </c>
      <c r="H531" s="18">
        <v>201141094920</v>
      </c>
      <c r="I531" s="16" t="s">
        <v>4558</v>
      </c>
      <c r="J531" s="16" t="s">
        <v>86</v>
      </c>
      <c r="K531" s="16" t="s">
        <v>4559</v>
      </c>
      <c r="L531" s="16" t="s">
        <v>4560</v>
      </c>
      <c r="M531" s="16" t="s">
        <v>977</v>
      </c>
      <c r="N531" s="16" t="s">
        <v>4561</v>
      </c>
      <c r="O531" s="16" t="s">
        <v>4562</v>
      </c>
      <c r="P531" s="16" t="s">
        <v>4563</v>
      </c>
      <c r="Q531" s="16" t="s">
        <v>1815</v>
      </c>
      <c r="R531" s="16" t="s">
        <v>3598</v>
      </c>
      <c r="S531" s="19" t="s">
        <v>4556</v>
      </c>
      <c r="T531" s="20" t="s">
        <v>307</v>
      </c>
      <c r="U531" s="16" t="s">
        <v>3872</v>
      </c>
      <c r="V531" s="16" t="s">
        <v>4564</v>
      </c>
      <c r="W531" s="30" t="s">
        <v>4565</v>
      </c>
      <c r="X531" s="18" t="s">
        <v>97</v>
      </c>
      <c r="Y531" s="18" t="s">
        <v>98</v>
      </c>
      <c r="Z531" s="18" t="s">
        <v>1815</v>
      </c>
      <c r="AA531" s="16" t="s">
        <v>4525</v>
      </c>
      <c r="AB531" s="16" t="s">
        <v>4540</v>
      </c>
      <c r="AC531" s="16" t="s">
        <v>4527</v>
      </c>
      <c r="AD531" s="123" t="str">
        <f t="shared" si="8"/>
        <v>External Transfer-Other banks</v>
      </c>
      <c r="AE531" s="123" t="str">
        <f>VLOOKUP(Table1[[#This Row],[Name of bank]],'اكواد البنوك'!$A$2:$B$34,2,0)</f>
        <v>CIBEEGCXXXX</v>
      </c>
      <c r="AF531" s="21" t="s">
        <v>4566</v>
      </c>
      <c r="AG531" s="15" t="s">
        <v>3069</v>
      </c>
    </row>
    <row r="532" spans="1:33">
      <c r="A532" s="14">
        <v>531</v>
      </c>
      <c r="B532" s="14" t="s">
        <v>4567</v>
      </c>
      <c r="C532" s="14" t="s">
        <v>5796</v>
      </c>
      <c r="D532" s="15" t="s">
        <v>1839</v>
      </c>
      <c r="E532" s="16" t="s">
        <v>4568</v>
      </c>
      <c r="F532" s="32" t="s">
        <v>4569</v>
      </c>
      <c r="G532" s="17" t="s">
        <v>4570</v>
      </c>
      <c r="H532" s="18" t="s">
        <v>4571</v>
      </c>
      <c r="I532" s="16" t="s">
        <v>2882</v>
      </c>
      <c r="J532" s="16" t="s">
        <v>86</v>
      </c>
      <c r="K532" s="16" t="s">
        <v>506</v>
      </c>
      <c r="L532" s="16" t="s">
        <v>4572</v>
      </c>
      <c r="M532" s="16" t="s">
        <v>136</v>
      </c>
      <c r="N532" s="16" t="s">
        <v>4573</v>
      </c>
      <c r="O532" s="16" t="s">
        <v>4574</v>
      </c>
      <c r="P532" s="16" t="s">
        <v>4575</v>
      </c>
      <c r="Q532" s="16" t="s">
        <v>1815</v>
      </c>
      <c r="R532" s="16" t="s">
        <v>3598</v>
      </c>
      <c r="S532" s="19" t="s">
        <v>4576</v>
      </c>
      <c r="T532" s="20" t="s">
        <v>176</v>
      </c>
      <c r="U532" s="16" t="s">
        <v>4577</v>
      </c>
      <c r="V532" s="16" t="s">
        <v>4578</v>
      </c>
      <c r="W532" s="30" t="s">
        <v>4579</v>
      </c>
      <c r="X532" s="18" t="s">
        <v>542</v>
      </c>
      <c r="Y532" s="18" t="s">
        <v>98</v>
      </c>
      <c r="Z532" s="18" t="s">
        <v>1815</v>
      </c>
      <c r="AA532" s="16" t="s">
        <v>4525</v>
      </c>
      <c r="AB532" s="16" t="s">
        <v>4540</v>
      </c>
      <c r="AC532" s="16" t="s">
        <v>4527</v>
      </c>
      <c r="AD532" s="123" t="str">
        <f t="shared" si="8"/>
        <v>External Transfer-Other banks</v>
      </c>
      <c r="AE532" s="123" t="str">
        <f>VLOOKUP(Table1[[#This Row],[Name of bank]],'اكواد البنوك'!$A$2:$B$34,2,0)</f>
        <v>BMISEGCXXXX</v>
      </c>
      <c r="AF532" s="21" t="s">
        <v>2347</v>
      </c>
      <c r="AG532" s="15" t="s">
        <v>10381</v>
      </c>
    </row>
    <row r="533" spans="1:33">
      <c r="A533" s="14">
        <v>532</v>
      </c>
      <c r="B533" s="14" t="s">
        <v>4567</v>
      </c>
      <c r="C533" s="14" t="s">
        <v>5163</v>
      </c>
      <c r="D533" s="15" t="s">
        <v>1839</v>
      </c>
      <c r="E533" s="16" t="s">
        <v>4580</v>
      </c>
      <c r="F533" s="32" t="s">
        <v>10061</v>
      </c>
      <c r="G533" s="17" t="s">
        <v>4581</v>
      </c>
      <c r="H533" s="18" t="s">
        <v>4582</v>
      </c>
      <c r="I533" s="16" t="s">
        <v>4583</v>
      </c>
      <c r="J533" s="16" t="s">
        <v>1845</v>
      </c>
      <c r="K533" s="16" t="s">
        <v>4584</v>
      </c>
      <c r="L533" s="16" t="s">
        <v>4585</v>
      </c>
      <c r="M533" s="16" t="s">
        <v>136</v>
      </c>
      <c r="N533" s="16" t="s">
        <v>4586</v>
      </c>
      <c r="O533" s="16" t="s">
        <v>4587</v>
      </c>
      <c r="P533" s="16" t="s">
        <v>4588</v>
      </c>
      <c r="Q533" s="16" t="s">
        <v>1815</v>
      </c>
      <c r="R533" s="16" t="s">
        <v>3598</v>
      </c>
      <c r="S533" s="19" t="s">
        <v>4589</v>
      </c>
      <c r="T533" s="20" t="s">
        <v>734</v>
      </c>
      <c r="U533" s="16" t="s">
        <v>4590</v>
      </c>
      <c r="V533" s="16" t="s">
        <v>4591</v>
      </c>
      <c r="W533" s="30" t="s">
        <v>4592</v>
      </c>
      <c r="X533" s="18" t="s">
        <v>542</v>
      </c>
      <c r="Y533" s="18" t="s">
        <v>98</v>
      </c>
      <c r="Z533" s="18" t="s">
        <v>1815</v>
      </c>
      <c r="AA533" s="16" t="s">
        <v>4525</v>
      </c>
      <c r="AB533" s="16" t="s">
        <v>4540</v>
      </c>
      <c r="AC533" s="16" t="s">
        <v>4527</v>
      </c>
      <c r="AD533" s="123" t="str">
        <f t="shared" si="8"/>
        <v>External Transfer-Other banks</v>
      </c>
      <c r="AE533" s="123" t="str">
        <f>VLOOKUP(Table1[[#This Row],[Name of bank]],'اكواد البنوك'!$A$2:$B$34,2,0)</f>
        <v>BDACEGCAXXX</v>
      </c>
      <c r="AF533" s="21" t="s">
        <v>4593</v>
      </c>
      <c r="AG533" s="15" t="s">
        <v>3069</v>
      </c>
    </row>
    <row r="534" spans="1:33">
      <c r="A534" s="14">
        <v>533</v>
      </c>
      <c r="B534" s="14" t="s">
        <v>4567</v>
      </c>
      <c r="C534" s="14" t="e">
        <v>#N/A</v>
      </c>
      <c r="D534" s="15" t="s">
        <v>1839</v>
      </c>
      <c r="E534" s="16" t="s">
        <v>4594</v>
      </c>
      <c r="F534" s="32" t="s">
        <v>10154</v>
      </c>
      <c r="G534" s="17" t="s">
        <v>4595</v>
      </c>
      <c r="H534" s="18" t="s">
        <v>4596</v>
      </c>
      <c r="I534" s="16" t="s">
        <v>4597</v>
      </c>
      <c r="J534" s="16" t="s">
        <v>86</v>
      </c>
      <c r="K534" s="16" t="s">
        <v>4598</v>
      </c>
      <c r="L534" s="16" t="s">
        <v>4599</v>
      </c>
      <c r="M534" s="16" t="s">
        <v>4600</v>
      </c>
      <c r="N534" s="16" t="s">
        <v>4601</v>
      </c>
      <c r="O534" s="16" t="s">
        <v>4602</v>
      </c>
      <c r="P534" s="16" t="s">
        <v>4603</v>
      </c>
      <c r="Q534" s="16" t="s">
        <v>1815</v>
      </c>
      <c r="R534" s="16" t="s">
        <v>3598</v>
      </c>
      <c r="S534" s="19" t="s">
        <v>4604</v>
      </c>
      <c r="T534" s="20" t="s">
        <v>40</v>
      </c>
      <c r="U534" s="16" t="s">
        <v>4605</v>
      </c>
      <c r="V534" s="16" t="s">
        <v>9833</v>
      </c>
      <c r="W534" s="30" t="s">
        <v>4606</v>
      </c>
      <c r="X534" s="18" t="s">
        <v>542</v>
      </c>
      <c r="Y534" s="18" t="s">
        <v>98</v>
      </c>
      <c r="Z534" s="18" t="s">
        <v>1815</v>
      </c>
      <c r="AA534" s="16" t="s">
        <v>4525</v>
      </c>
      <c r="AB534" s="16" t="s">
        <v>4540</v>
      </c>
      <c r="AC534" s="16" t="s">
        <v>4527</v>
      </c>
      <c r="AD534" s="123" t="str">
        <f t="shared" si="8"/>
        <v>External Transfer-NBE</v>
      </c>
      <c r="AE534" s="123" t="str">
        <f>VLOOKUP(Table1[[#This Row],[Name of bank]],'اكواد البنوك'!$A$2:$B$34,2,0)</f>
        <v>NBEGEGCXXXX</v>
      </c>
      <c r="AF534" s="21" t="s">
        <v>9834</v>
      </c>
      <c r="AG534" s="15" t="s">
        <v>167</v>
      </c>
    </row>
    <row r="535" spans="1:33">
      <c r="A535" s="14">
        <v>534</v>
      </c>
      <c r="B535" s="14" t="s">
        <v>4567</v>
      </c>
      <c r="C535" s="14" t="s">
        <v>6281</v>
      </c>
      <c r="D535" s="15" t="s">
        <v>1839</v>
      </c>
      <c r="E535" s="16" t="s">
        <v>4607</v>
      </c>
      <c r="F535" s="32" t="s">
        <v>4608</v>
      </c>
      <c r="G535" s="17" t="s">
        <v>4609</v>
      </c>
      <c r="H535" s="18" t="s">
        <v>4610</v>
      </c>
      <c r="I535" s="16" t="s">
        <v>4611</v>
      </c>
      <c r="J535" s="16" t="s">
        <v>86</v>
      </c>
      <c r="K535" s="16" t="s">
        <v>4612</v>
      </c>
      <c r="L535" s="16" t="s">
        <v>4613</v>
      </c>
      <c r="M535" s="16" t="s">
        <v>4614</v>
      </c>
      <c r="N535" s="16" t="s">
        <v>4615</v>
      </c>
      <c r="O535" s="16" t="s">
        <v>4616</v>
      </c>
      <c r="P535" s="16" t="s">
        <v>4617</v>
      </c>
      <c r="Q535" s="16" t="s">
        <v>1815</v>
      </c>
      <c r="R535" s="16" t="s">
        <v>3598</v>
      </c>
      <c r="S535" s="19" t="s">
        <v>4618</v>
      </c>
      <c r="T535" s="20" t="s">
        <v>307</v>
      </c>
      <c r="U535" s="16" t="s">
        <v>4619</v>
      </c>
      <c r="V535" s="16" t="s">
        <v>4620</v>
      </c>
      <c r="W535" s="30" t="s">
        <v>4621</v>
      </c>
      <c r="X535" s="18" t="s">
        <v>542</v>
      </c>
      <c r="Y535" s="18" t="s">
        <v>98</v>
      </c>
      <c r="Z535" s="18" t="s">
        <v>1815</v>
      </c>
      <c r="AA535" s="16" t="s">
        <v>4525</v>
      </c>
      <c r="AB535" s="16" t="s">
        <v>4540</v>
      </c>
      <c r="AC535" s="16" t="s">
        <v>4527</v>
      </c>
      <c r="AD535" s="123" t="str">
        <f t="shared" si="8"/>
        <v>External Transfer-Other banks</v>
      </c>
      <c r="AE535" s="123" t="str">
        <f>VLOOKUP(Table1[[#This Row],[Name of bank]],'اكواد البنوك'!$A$2:$B$34,2,0)</f>
        <v>CIBEEGCXXXX</v>
      </c>
      <c r="AF535" s="21" t="s">
        <v>4622</v>
      </c>
      <c r="AG535" s="15" t="s">
        <v>3069</v>
      </c>
    </row>
    <row r="536" spans="1:33">
      <c r="A536" s="14">
        <v>535</v>
      </c>
      <c r="B536" s="14" t="s">
        <v>4567</v>
      </c>
      <c r="C536" s="14" t="e">
        <v>#N/A</v>
      </c>
      <c r="D536" s="15" t="s">
        <v>1839</v>
      </c>
      <c r="E536" s="16" t="s">
        <v>4623</v>
      </c>
      <c r="F536" s="32" t="s">
        <v>4624</v>
      </c>
      <c r="G536" s="17" t="s">
        <v>4625</v>
      </c>
      <c r="H536" s="18" t="s">
        <v>4626</v>
      </c>
      <c r="I536" s="16" t="s">
        <v>4627</v>
      </c>
      <c r="J536" s="16" t="s">
        <v>86</v>
      </c>
      <c r="K536" s="16" t="s">
        <v>4628</v>
      </c>
      <c r="L536" s="16" t="s">
        <v>4629</v>
      </c>
      <c r="M536" s="16" t="s">
        <v>2744</v>
      </c>
      <c r="N536" s="16" t="s">
        <v>4630</v>
      </c>
      <c r="O536" s="16" t="s">
        <v>4631</v>
      </c>
      <c r="P536" s="16" t="s">
        <v>4632</v>
      </c>
      <c r="Q536" s="16" t="s">
        <v>1815</v>
      </c>
      <c r="R536" s="16" t="s">
        <v>3598</v>
      </c>
      <c r="S536" s="19" t="s">
        <v>4633</v>
      </c>
      <c r="T536" s="20" t="s">
        <v>307</v>
      </c>
      <c r="U536" s="16" t="s">
        <v>2583</v>
      </c>
      <c r="V536" s="16" t="s">
        <v>4634</v>
      </c>
      <c r="W536" s="30" t="s">
        <v>4635</v>
      </c>
      <c r="X536" s="18" t="s">
        <v>542</v>
      </c>
      <c r="Y536" s="18" t="s">
        <v>98</v>
      </c>
      <c r="Z536" s="18" t="s">
        <v>1815</v>
      </c>
      <c r="AA536" s="16" t="s">
        <v>4525</v>
      </c>
      <c r="AB536" s="16" t="s">
        <v>4540</v>
      </c>
      <c r="AC536" s="16" t="s">
        <v>4527</v>
      </c>
      <c r="AD536" s="123" t="str">
        <f t="shared" si="8"/>
        <v>External Transfer-Other banks</v>
      </c>
      <c r="AE536" s="123" t="str">
        <f>VLOOKUP(Table1[[#This Row],[Name of bank]],'اكواد البنوك'!$A$2:$B$34,2,0)</f>
        <v>CIBEEGCXXXX</v>
      </c>
      <c r="AF536" s="21" t="s">
        <v>2586</v>
      </c>
      <c r="AG536" s="15" t="s">
        <v>3069</v>
      </c>
    </row>
    <row r="537" spans="1:33">
      <c r="A537" s="14">
        <v>536</v>
      </c>
      <c r="B537" s="14" t="s">
        <v>4636</v>
      </c>
      <c r="C537" s="14" t="e">
        <v>#N/A</v>
      </c>
      <c r="D537" s="15" t="s">
        <v>1839</v>
      </c>
      <c r="E537" s="16" t="s">
        <v>4637</v>
      </c>
      <c r="F537" s="32" t="s">
        <v>4638</v>
      </c>
      <c r="G537" s="17" t="s">
        <v>4639</v>
      </c>
      <c r="H537" s="18" t="s">
        <v>4640</v>
      </c>
      <c r="I537" s="16" t="s">
        <v>4641</v>
      </c>
      <c r="J537" s="16" t="s">
        <v>173</v>
      </c>
      <c r="K537" s="16" t="s">
        <v>269</v>
      </c>
      <c r="L537" s="16" t="s">
        <v>4642</v>
      </c>
      <c r="M537" s="16" t="s">
        <v>136</v>
      </c>
      <c r="N537" s="16" t="s">
        <v>4643</v>
      </c>
      <c r="O537" s="16" t="s">
        <v>4644</v>
      </c>
      <c r="P537" s="16" t="s">
        <v>4645</v>
      </c>
      <c r="Q537" s="16" t="s">
        <v>1815</v>
      </c>
      <c r="R537" s="16" t="s">
        <v>3598</v>
      </c>
      <c r="S537" s="19" t="s">
        <v>4646</v>
      </c>
      <c r="T537" s="20" t="s">
        <v>93</v>
      </c>
      <c r="U537" s="16" t="s">
        <v>4647</v>
      </c>
      <c r="V537" s="16" t="s">
        <v>4648</v>
      </c>
      <c r="W537" s="30" t="s">
        <v>4649</v>
      </c>
      <c r="X537" s="18" t="s">
        <v>542</v>
      </c>
      <c r="Y537" s="18" t="s">
        <v>98</v>
      </c>
      <c r="Z537" s="18" t="s">
        <v>1815</v>
      </c>
      <c r="AA537" s="16" t="s">
        <v>4525</v>
      </c>
      <c r="AB537" s="16" t="s">
        <v>4540</v>
      </c>
      <c r="AC537" s="16" t="s">
        <v>4527</v>
      </c>
      <c r="AD537" s="123" t="str">
        <f t="shared" si="8"/>
        <v>External Transfer-Other banks</v>
      </c>
      <c r="AE537" s="123" t="str">
        <f>VLOOKUP(Table1[[#This Row],[Name of bank]],'اكواد البنوك'!$A$2:$B$34,2,0)</f>
        <v>QNBAEGCXXXX</v>
      </c>
      <c r="AF537" s="21" t="s">
        <v>560</v>
      </c>
      <c r="AG537" s="15" t="s">
        <v>3069</v>
      </c>
    </row>
    <row r="538" spans="1:33">
      <c r="A538" s="14">
        <v>537</v>
      </c>
      <c r="B538" s="14" t="s">
        <v>4636</v>
      </c>
      <c r="C538" s="14" t="s">
        <v>6069</v>
      </c>
      <c r="D538" s="15" t="s">
        <v>1839</v>
      </c>
      <c r="E538" s="16" t="s">
        <v>4650</v>
      </c>
      <c r="F538" s="32" t="s">
        <v>4651</v>
      </c>
      <c r="G538" s="17" t="s">
        <v>4652</v>
      </c>
      <c r="H538" s="18" t="s">
        <v>4653</v>
      </c>
      <c r="I538" s="16" t="s">
        <v>4654</v>
      </c>
      <c r="J538" s="16" t="s">
        <v>86</v>
      </c>
      <c r="K538" s="16" t="s">
        <v>269</v>
      </c>
      <c r="L538" s="16">
        <v>6862498</v>
      </c>
      <c r="M538" s="16" t="s">
        <v>4655</v>
      </c>
      <c r="N538" s="16">
        <v>28701220104358</v>
      </c>
      <c r="O538" s="16" t="s">
        <v>4656</v>
      </c>
      <c r="P538" s="16" t="s">
        <v>4657</v>
      </c>
      <c r="Q538" s="16" t="s">
        <v>1815</v>
      </c>
      <c r="R538" s="16" t="s">
        <v>3598</v>
      </c>
      <c r="S538" s="19" t="s">
        <v>4658</v>
      </c>
      <c r="T538" s="20" t="s">
        <v>307</v>
      </c>
      <c r="U538" s="16" t="s">
        <v>9835</v>
      </c>
      <c r="V538" s="16" t="s">
        <v>9836</v>
      </c>
      <c r="W538" s="30" t="s">
        <v>4659</v>
      </c>
      <c r="X538" s="18" t="s">
        <v>542</v>
      </c>
      <c r="Y538" s="18" t="s">
        <v>98</v>
      </c>
      <c r="Z538" s="18" t="s">
        <v>1815</v>
      </c>
      <c r="AA538" s="16" t="s">
        <v>4525</v>
      </c>
      <c r="AB538" s="16" t="s">
        <v>4540</v>
      </c>
      <c r="AC538" s="16" t="s">
        <v>4527</v>
      </c>
      <c r="AD538" s="123" t="str">
        <f t="shared" si="8"/>
        <v>External Transfer-Other banks</v>
      </c>
      <c r="AE538" s="123" t="str">
        <f>VLOOKUP(Table1[[#This Row],[Name of bank]],'اكواد البنوك'!$A$2:$B$34,2,0)</f>
        <v>CIBEEGCXXXX</v>
      </c>
      <c r="AF538" s="21" t="s">
        <v>7018</v>
      </c>
      <c r="AG538" s="15" t="s">
        <v>167</v>
      </c>
    </row>
    <row r="539" spans="1:33">
      <c r="A539" s="14">
        <v>538</v>
      </c>
      <c r="B539" s="14" t="s">
        <v>4636</v>
      </c>
      <c r="C539" s="14" t="s">
        <v>6021</v>
      </c>
      <c r="D539" s="15" t="s">
        <v>1839</v>
      </c>
      <c r="E539" s="16" t="s">
        <v>4660</v>
      </c>
      <c r="F539" s="32" t="s">
        <v>10137</v>
      </c>
      <c r="G539" s="17" t="s">
        <v>4661</v>
      </c>
      <c r="H539" s="18" t="s">
        <v>4662</v>
      </c>
      <c r="I539" s="16" t="s">
        <v>4663</v>
      </c>
      <c r="J539" s="16" t="s">
        <v>86</v>
      </c>
      <c r="K539" s="16" t="s">
        <v>1910</v>
      </c>
      <c r="L539" s="16" t="s">
        <v>4664</v>
      </c>
      <c r="M539" s="16" t="s">
        <v>427</v>
      </c>
      <c r="N539" s="16" t="s">
        <v>4665</v>
      </c>
      <c r="O539" s="16" t="s">
        <v>4666</v>
      </c>
      <c r="P539" s="16" t="s">
        <v>4667</v>
      </c>
      <c r="Q539" s="16" t="s">
        <v>1815</v>
      </c>
      <c r="R539" s="16" t="s">
        <v>3598</v>
      </c>
      <c r="S539" s="19" t="s">
        <v>4668</v>
      </c>
      <c r="T539" s="20" t="s">
        <v>176</v>
      </c>
      <c r="U539" s="16" t="s">
        <v>4669</v>
      </c>
      <c r="V539" s="16" t="s">
        <v>4670</v>
      </c>
      <c r="W539" s="30" t="s">
        <v>4671</v>
      </c>
      <c r="X539" s="18" t="s">
        <v>542</v>
      </c>
      <c r="Y539" s="18" t="s">
        <v>98</v>
      </c>
      <c r="Z539" s="18" t="s">
        <v>1815</v>
      </c>
      <c r="AA539" s="16" t="s">
        <v>4525</v>
      </c>
      <c r="AB539" s="16" t="s">
        <v>4540</v>
      </c>
      <c r="AC539" s="16" t="s">
        <v>4527</v>
      </c>
      <c r="AD539" s="123" t="str">
        <f t="shared" si="8"/>
        <v>External Transfer-Other banks</v>
      </c>
      <c r="AE539" s="123" t="str">
        <f>VLOOKUP(Table1[[#This Row],[Name of bank]],'اكواد البنوك'!$A$2:$B$34,2,0)</f>
        <v>BMISEGCXXXX</v>
      </c>
      <c r="AF539" s="21" t="s">
        <v>4672</v>
      </c>
      <c r="AG539" s="15" t="s">
        <v>3069</v>
      </c>
    </row>
    <row r="540" spans="1:33">
      <c r="A540" s="14">
        <v>539</v>
      </c>
      <c r="B540" s="14" t="s">
        <v>4636</v>
      </c>
      <c r="C540" s="14" t="s">
        <v>5960</v>
      </c>
      <c r="D540" s="15" t="s">
        <v>1839</v>
      </c>
      <c r="E540" s="16" t="s">
        <v>4673</v>
      </c>
      <c r="F540" s="32" t="s">
        <v>4674</v>
      </c>
      <c r="G540" s="17" t="s">
        <v>4675</v>
      </c>
      <c r="H540" s="18" t="s">
        <v>4676</v>
      </c>
      <c r="I540" s="16" t="s">
        <v>4677</v>
      </c>
      <c r="J540" s="16" t="s">
        <v>86</v>
      </c>
      <c r="K540" s="16" t="s">
        <v>4678</v>
      </c>
      <c r="L540" s="16" t="s">
        <v>4679</v>
      </c>
      <c r="M540" s="16" t="s">
        <v>136</v>
      </c>
      <c r="N540" s="16" t="s">
        <v>4680</v>
      </c>
      <c r="O540" s="16" t="s">
        <v>4681</v>
      </c>
      <c r="P540" s="16" t="s">
        <v>4682</v>
      </c>
      <c r="Q540" s="16" t="s">
        <v>1815</v>
      </c>
      <c r="R540" s="16" t="s">
        <v>3598</v>
      </c>
      <c r="S540" s="19" t="s">
        <v>4683</v>
      </c>
      <c r="T540" s="20" t="s">
        <v>176</v>
      </c>
      <c r="U540" s="16" t="s">
        <v>4577</v>
      </c>
      <c r="V540" s="16" t="s">
        <v>4684</v>
      </c>
      <c r="W540" s="30" t="s">
        <v>4685</v>
      </c>
      <c r="X540" s="18" t="s">
        <v>542</v>
      </c>
      <c r="Y540" s="18" t="s">
        <v>98</v>
      </c>
      <c r="Z540" s="18" t="s">
        <v>1815</v>
      </c>
      <c r="AA540" s="16" t="s">
        <v>4525</v>
      </c>
      <c r="AB540" s="16" t="s">
        <v>4540</v>
      </c>
      <c r="AC540" s="16" t="s">
        <v>4527</v>
      </c>
      <c r="AD540" s="123" t="str">
        <f t="shared" si="8"/>
        <v>External Transfer-Other banks</v>
      </c>
      <c r="AE540" s="123" t="str">
        <f>VLOOKUP(Table1[[#This Row],[Name of bank]],'اكواد البنوك'!$A$2:$B$34,2,0)</f>
        <v>BMISEGCXXXX</v>
      </c>
      <c r="AF540" s="21" t="s">
        <v>2347</v>
      </c>
      <c r="AG540" s="15" t="s">
        <v>3069</v>
      </c>
    </row>
    <row r="541" spans="1:33">
      <c r="A541" s="14">
        <v>540</v>
      </c>
      <c r="B541" s="14" t="s">
        <v>639</v>
      </c>
      <c r="C541" s="14" t="s">
        <v>639</v>
      </c>
      <c r="D541" s="15" t="s">
        <v>1839</v>
      </c>
      <c r="E541" s="16" t="s">
        <v>4686</v>
      </c>
      <c r="F541" s="32" t="s">
        <v>4687</v>
      </c>
      <c r="G541" s="17" t="s">
        <v>4688</v>
      </c>
      <c r="H541" s="18">
        <v>201284920685</v>
      </c>
      <c r="I541" s="16" t="s">
        <v>4689</v>
      </c>
      <c r="J541" s="16" t="s">
        <v>86</v>
      </c>
      <c r="K541" s="16" t="s">
        <v>4690</v>
      </c>
      <c r="L541" s="16" t="s">
        <v>4691</v>
      </c>
      <c r="M541" s="16" t="s">
        <v>136</v>
      </c>
      <c r="N541" s="16" t="s">
        <v>4692</v>
      </c>
      <c r="O541" s="16" t="s">
        <v>4693</v>
      </c>
      <c r="P541" s="16" t="s">
        <v>4694</v>
      </c>
      <c r="Q541" s="16" t="s">
        <v>1815</v>
      </c>
      <c r="R541" s="16" t="s">
        <v>3598</v>
      </c>
      <c r="S541" s="19" t="s">
        <v>4695</v>
      </c>
      <c r="T541" s="20" t="s">
        <v>93</v>
      </c>
      <c r="U541" s="16" t="s">
        <v>4696</v>
      </c>
      <c r="V541" s="16" t="s">
        <v>4697</v>
      </c>
      <c r="W541" s="30" t="s">
        <v>4698</v>
      </c>
      <c r="X541" s="18" t="s">
        <v>2096</v>
      </c>
      <c r="Y541" s="18" t="s">
        <v>98</v>
      </c>
      <c r="Z541" s="18" t="s">
        <v>1815</v>
      </c>
      <c r="AA541" s="16" t="s">
        <v>4525</v>
      </c>
      <c r="AB541" s="16" t="s">
        <v>4540</v>
      </c>
      <c r="AC541" s="16" t="s">
        <v>4527</v>
      </c>
      <c r="AD541" s="123" t="str">
        <f t="shared" si="8"/>
        <v>External Transfer-Other banks</v>
      </c>
      <c r="AE541" s="123" t="str">
        <f>VLOOKUP(Table1[[#This Row],[Name of bank]],'اكواد البنوك'!$A$2:$B$34,2,0)</f>
        <v>QNBAEGCXXXX</v>
      </c>
      <c r="AF541" s="21" t="s">
        <v>3614</v>
      </c>
      <c r="AG541" s="15" t="s">
        <v>3069</v>
      </c>
    </row>
    <row r="542" spans="1:33">
      <c r="A542" s="14">
        <v>541</v>
      </c>
      <c r="B542" s="14" t="s">
        <v>4699</v>
      </c>
      <c r="C542" s="14" t="e">
        <v>#N/A</v>
      </c>
      <c r="D542" s="15" t="s">
        <v>1855</v>
      </c>
      <c r="E542" s="16" t="s">
        <v>4700</v>
      </c>
      <c r="F542" s="32" t="s">
        <v>4701</v>
      </c>
      <c r="G542" s="17" t="s">
        <v>4702</v>
      </c>
      <c r="H542" s="18" t="s">
        <v>4703</v>
      </c>
      <c r="I542" s="16" t="s">
        <v>4704</v>
      </c>
      <c r="J542" s="16" t="s">
        <v>173</v>
      </c>
      <c r="K542" s="16" t="s">
        <v>3522</v>
      </c>
      <c r="L542" s="16" t="s">
        <v>136</v>
      </c>
      <c r="M542" s="16" t="s">
        <v>136</v>
      </c>
      <c r="N542" s="16">
        <v>30006130102622</v>
      </c>
      <c r="O542" s="16" t="s">
        <v>4705</v>
      </c>
      <c r="P542" s="16" t="s">
        <v>4706</v>
      </c>
      <c r="Q542" s="16" t="s">
        <v>1815</v>
      </c>
      <c r="R542" s="16" t="s">
        <v>3598</v>
      </c>
      <c r="S542" s="19" t="s">
        <v>10337</v>
      </c>
      <c r="T542" s="20" t="s">
        <v>307</v>
      </c>
      <c r="U542" s="16" t="s">
        <v>10338</v>
      </c>
      <c r="V542" s="16">
        <v>7460383000006080</v>
      </c>
      <c r="W542" s="30" t="s">
        <v>10340</v>
      </c>
      <c r="X542" s="18"/>
      <c r="Y542" s="18" t="s">
        <v>98</v>
      </c>
      <c r="Z542" s="18"/>
      <c r="AA542" s="16"/>
      <c r="AB542" s="16"/>
      <c r="AC542" s="16"/>
      <c r="AD542" s="123" t="str">
        <f t="shared" si="8"/>
        <v>External Transfer-Other banks</v>
      </c>
      <c r="AE542" s="123" t="s">
        <v>153</v>
      </c>
      <c r="AF542" s="21" t="s">
        <v>6791</v>
      </c>
      <c r="AG542" s="15" t="s">
        <v>167</v>
      </c>
    </row>
    <row r="543" spans="1:33">
      <c r="A543" s="14">
        <v>542</v>
      </c>
      <c r="B543" s="14" t="s">
        <v>4699</v>
      </c>
      <c r="C543" s="14" t="e">
        <v>#N/A</v>
      </c>
      <c r="D543" s="15" t="s">
        <v>1839</v>
      </c>
      <c r="E543" s="16" t="s">
        <v>4708</v>
      </c>
      <c r="F543" s="32" t="s">
        <v>4709</v>
      </c>
      <c r="G543" s="17" t="s">
        <v>4710</v>
      </c>
      <c r="H543" s="18" t="s">
        <v>4711</v>
      </c>
      <c r="I543" s="16" t="s">
        <v>4712</v>
      </c>
      <c r="J543" s="16" t="s">
        <v>173</v>
      </c>
      <c r="K543" s="16" t="s">
        <v>4524</v>
      </c>
      <c r="L543" s="16" t="s">
        <v>4713</v>
      </c>
      <c r="M543" s="16" t="s">
        <v>136</v>
      </c>
      <c r="N543" s="16" t="s">
        <v>4714</v>
      </c>
      <c r="O543" s="16" t="s">
        <v>4715</v>
      </c>
      <c r="P543" s="16" t="s">
        <v>4716</v>
      </c>
      <c r="Q543" s="16" t="s">
        <v>1815</v>
      </c>
      <c r="R543" s="16" t="s">
        <v>3598</v>
      </c>
      <c r="S543" s="19" t="s">
        <v>4717</v>
      </c>
      <c r="T543" s="20" t="s">
        <v>40</v>
      </c>
      <c r="U543" s="16" t="s">
        <v>4718</v>
      </c>
      <c r="V543" s="16" t="s">
        <v>4719</v>
      </c>
      <c r="W543" s="30" t="s">
        <v>4720</v>
      </c>
      <c r="X543" s="18" t="s">
        <v>542</v>
      </c>
      <c r="Y543" s="18" t="s">
        <v>98</v>
      </c>
      <c r="Z543" s="18" t="s">
        <v>1815</v>
      </c>
      <c r="AA543" s="16" t="s">
        <v>4525</v>
      </c>
      <c r="AB543" s="16" t="s">
        <v>4540</v>
      </c>
      <c r="AC543" s="16" t="s">
        <v>4527</v>
      </c>
      <c r="AD543" s="123" t="str">
        <f t="shared" si="8"/>
        <v>External Transfer-NBE</v>
      </c>
      <c r="AE543" s="123" t="str">
        <f>VLOOKUP(Table1[[#This Row],[Name of bank]],'اكواد البنوك'!$A$2:$B$34,2,0)</f>
        <v>NBEGEGCXXXX</v>
      </c>
      <c r="AF543" s="21" t="s">
        <v>4721</v>
      </c>
      <c r="AG543" s="15" t="s">
        <v>3069</v>
      </c>
    </row>
    <row r="544" spans="1:33">
      <c r="A544" s="14">
        <v>543</v>
      </c>
      <c r="B544" s="14" t="s">
        <v>4699</v>
      </c>
      <c r="C544" s="14" t="e">
        <v>#N/A</v>
      </c>
      <c r="D544" s="15" t="s">
        <v>1839</v>
      </c>
      <c r="E544" s="16" t="s">
        <v>4722</v>
      </c>
      <c r="F544" s="32" t="s">
        <v>10123</v>
      </c>
      <c r="G544" s="17" t="s">
        <v>4724</v>
      </c>
      <c r="H544" s="18" t="s">
        <v>4725</v>
      </c>
      <c r="I544" s="16" t="s">
        <v>3350</v>
      </c>
      <c r="J544" s="16" t="s">
        <v>1845</v>
      </c>
      <c r="K544" s="16" t="s">
        <v>4726</v>
      </c>
      <c r="L544" s="16" t="s">
        <v>4727</v>
      </c>
      <c r="M544" s="16" t="s">
        <v>136</v>
      </c>
      <c r="N544" s="16" t="s">
        <v>4728</v>
      </c>
      <c r="O544" s="16" t="s">
        <v>4729</v>
      </c>
      <c r="P544" s="16" t="s">
        <v>4730</v>
      </c>
      <c r="Q544" s="16" t="s">
        <v>1815</v>
      </c>
      <c r="R544" s="16" t="s">
        <v>3598</v>
      </c>
      <c r="S544" s="19" t="s">
        <v>4723</v>
      </c>
      <c r="T544" s="20" t="s">
        <v>40</v>
      </c>
      <c r="U544" s="16" t="s">
        <v>4731</v>
      </c>
      <c r="V544" s="16" t="s">
        <v>4732</v>
      </c>
      <c r="W544" s="30" t="s">
        <v>4733</v>
      </c>
      <c r="X544" s="18" t="s">
        <v>542</v>
      </c>
      <c r="Y544" s="18" t="s">
        <v>98</v>
      </c>
      <c r="Z544" s="18" t="s">
        <v>1815</v>
      </c>
      <c r="AA544" s="16" t="s">
        <v>4525</v>
      </c>
      <c r="AB544" s="16" t="s">
        <v>4540</v>
      </c>
      <c r="AC544" s="16" t="s">
        <v>4527</v>
      </c>
      <c r="AD544" s="123" t="str">
        <f t="shared" si="8"/>
        <v>External Transfer-NBE</v>
      </c>
      <c r="AE544" s="123" t="str">
        <f>VLOOKUP(Table1[[#This Row],[Name of bank]],'اكواد البنوك'!$A$2:$B$34,2,0)</f>
        <v>NBEGEGCXXXX</v>
      </c>
      <c r="AF544" s="21" t="s">
        <v>3507</v>
      </c>
      <c r="AG544" s="15" t="s">
        <v>3069</v>
      </c>
    </row>
    <row r="545" spans="1:33">
      <c r="A545" s="14">
        <v>544</v>
      </c>
      <c r="B545" s="14" t="s">
        <v>4699</v>
      </c>
      <c r="C545" s="14" t="s">
        <v>9989</v>
      </c>
      <c r="D545" s="15" t="s">
        <v>1839</v>
      </c>
      <c r="E545" s="16" t="s">
        <v>4734</v>
      </c>
      <c r="F545" s="32" t="s">
        <v>4735</v>
      </c>
      <c r="G545" s="17" t="s">
        <v>4736</v>
      </c>
      <c r="H545" s="18" t="s">
        <v>4737</v>
      </c>
      <c r="I545" s="16" t="s">
        <v>4738</v>
      </c>
      <c r="J545" s="16" t="s">
        <v>173</v>
      </c>
      <c r="K545" s="16" t="s">
        <v>904</v>
      </c>
      <c r="L545" s="16" t="s">
        <v>4739</v>
      </c>
      <c r="M545" s="16" t="s">
        <v>136</v>
      </c>
      <c r="N545" s="16" t="s">
        <v>4740</v>
      </c>
      <c r="O545" s="16" t="s">
        <v>4741</v>
      </c>
      <c r="P545" s="16" t="s">
        <v>4742</v>
      </c>
      <c r="Q545" s="16" t="s">
        <v>1815</v>
      </c>
      <c r="R545" s="16" t="s">
        <v>3598</v>
      </c>
      <c r="S545" s="19" t="s">
        <v>4743</v>
      </c>
      <c r="T545" s="20" t="s">
        <v>40</v>
      </c>
      <c r="U545" s="16" t="s">
        <v>4744</v>
      </c>
      <c r="V545" s="16" t="s">
        <v>4745</v>
      </c>
      <c r="W545" s="30" t="s">
        <v>4746</v>
      </c>
      <c r="X545" s="18" t="s">
        <v>542</v>
      </c>
      <c r="Y545" s="18" t="s">
        <v>98</v>
      </c>
      <c r="Z545" s="18" t="s">
        <v>1815</v>
      </c>
      <c r="AA545" s="16" t="s">
        <v>4525</v>
      </c>
      <c r="AB545" s="16" t="s">
        <v>4540</v>
      </c>
      <c r="AC545" s="16" t="s">
        <v>4527</v>
      </c>
      <c r="AD545" s="123" t="str">
        <f t="shared" si="8"/>
        <v>External Transfer-NBE</v>
      </c>
      <c r="AE545" s="123" t="str">
        <f>VLOOKUP(Table1[[#This Row],[Name of bank]],'اكواد البنوك'!$A$2:$B$34,2,0)</f>
        <v>NBEGEGCXXXX</v>
      </c>
      <c r="AF545" s="21" t="s">
        <v>4189</v>
      </c>
      <c r="AG545" s="15" t="s">
        <v>3069</v>
      </c>
    </row>
    <row r="546" spans="1:33">
      <c r="A546" s="14">
        <v>545</v>
      </c>
      <c r="B546" s="14" t="s">
        <v>4699</v>
      </c>
      <c r="C546" s="14" t="s">
        <v>4950</v>
      </c>
      <c r="D546" s="15" t="s">
        <v>1839</v>
      </c>
      <c r="E546" s="16" t="s">
        <v>4747</v>
      </c>
      <c r="F546" s="32" t="s">
        <v>4748</v>
      </c>
      <c r="G546" s="17" t="s">
        <v>4749</v>
      </c>
      <c r="H546" s="18" t="s">
        <v>4750</v>
      </c>
      <c r="I546" s="16" t="s">
        <v>4751</v>
      </c>
      <c r="J546" s="16" t="s">
        <v>86</v>
      </c>
      <c r="K546" s="16" t="s">
        <v>4752</v>
      </c>
      <c r="L546" s="16" t="s">
        <v>4753</v>
      </c>
      <c r="M546" s="16" t="s">
        <v>4754</v>
      </c>
      <c r="N546" s="16" t="s">
        <v>4755</v>
      </c>
      <c r="O546" s="16" t="s">
        <v>4756</v>
      </c>
      <c r="P546" s="16" t="s">
        <v>4757</v>
      </c>
      <c r="Q546" s="16" t="s">
        <v>1815</v>
      </c>
      <c r="R546" s="16" t="s">
        <v>3598</v>
      </c>
      <c r="S546" s="19" t="s">
        <v>4758</v>
      </c>
      <c r="T546" s="20" t="s">
        <v>10005</v>
      </c>
      <c r="U546" s="16" t="s">
        <v>2173</v>
      </c>
      <c r="V546" s="16" t="s">
        <v>4759</v>
      </c>
      <c r="W546" s="30" t="s">
        <v>4760</v>
      </c>
      <c r="X546" s="18" t="s">
        <v>542</v>
      </c>
      <c r="Y546" s="18" t="s">
        <v>98</v>
      </c>
      <c r="Z546" s="18" t="s">
        <v>1815</v>
      </c>
      <c r="AA546" s="16" t="s">
        <v>4525</v>
      </c>
      <c r="AB546" s="16" t="s">
        <v>4540</v>
      </c>
      <c r="AC546" s="16" t="s">
        <v>4527</v>
      </c>
      <c r="AD546" s="123" t="str">
        <f t="shared" si="8"/>
        <v>External Transfer-Other banks</v>
      </c>
      <c r="AE546" s="123" t="str">
        <f>VLOOKUP(Table1[[#This Row],[Name of bank]],'اكواد البنوك'!$A$2:$B$34,2,0)</f>
        <v>DEIBEGCXXXX</v>
      </c>
      <c r="AF546" s="21" t="s">
        <v>4762</v>
      </c>
      <c r="AG546" s="15" t="s">
        <v>3069</v>
      </c>
    </row>
    <row r="547" spans="1:33">
      <c r="A547" s="14">
        <v>546</v>
      </c>
      <c r="B547" s="14" t="s">
        <v>4763</v>
      </c>
      <c r="C547" s="14" t="e">
        <v>#N/A</v>
      </c>
      <c r="D547" s="15" t="s">
        <v>1839</v>
      </c>
      <c r="E547" s="16" t="s">
        <v>4764</v>
      </c>
      <c r="F547" s="32" t="s">
        <v>4765</v>
      </c>
      <c r="G547" s="17" t="s">
        <v>4766</v>
      </c>
      <c r="H547" s="18" t="s">
        <v>4767</v>
      </c>
      <c r="I547" s="16" t="s">
        <v>4768</v>
      </c>
      <c r="J547" s="16" t="s">
        <v>173</v>
      </c>
      <c r="K547" s="16" t="s">
        <v>4769</v>
      </c>
      <c r="L547" s="16">
        <v>28844932</v>
      </c>
      <c r="M547" s="16" t="s">
        <v>136</v>
      </c>
      <c r="N547" s="16">
        <v>26303000000000</v>
      </c>
      <c r="O547" s="16" t="s">
        <v>4770</v>
      </c>
      <c r="P547" s="16" t="s">
        <v>4771</v>
      </c>
      <c r="Q547" s="16" t="s">
        <v>1815</v>
      </c>
      <c r="R547" s="16" t="s">
        <v>3598</v>
      </c>
      <c r="S547" s="19" t="s">
        <v>4772</v>
      </c>
      <c r="T547" s="20" t="s">
        <v>40</v>
      </c>
      <c r="U547" s="16" t="s">
        <v>3785</v>
      </c>
      <c r="V547" s="16" t="s">
        <v>9837</v>
      </c>
      <c r="W547" s="30" t="s">
        <v>9838</v>
      </c>
      <c r="X547" s="18" t="s">
        <v>542</v>
      </c>
      <c r="Y547" s="18" t="s">
        <v>98</v>
      </c>
      <c r="Z547" s="18" t="s">
        <v>1815</v>
      </c>
      <c r="AA547" s="16" t="s">
        <v>4525</v>
      </c>
      <c r="AB547" s="16" t="s">
        <v>4540</v>
      </c>
      <c r="AC547" s="16" t="s">
        <v>4527</v>
      </c>
      <c r="AD547" s="123" t="str">
        <f t="shared" si="8"/>
        <v>External Transfer-NBE</v>
      </c>
      <c r="AE547" s="123" t="str">
        <f>VLOOKUP(Table1[[#This Row],[Name of bank]],'اكواد البنوك'!$A$2:$B$34,2,0)</f>
        <v>NBEGEGCXXXX</v>
      </c>
      <c r="AF547" s="21" t="s">
        <v>2258</v>
      </c>
      <c r="AG547" s="15" t="s">
        <v>167</v>
      </c>
    </row>
    <row r="548" spans="1:33">
      <c r="A548" s="14">
        <v>547</v>
      </c>
      <c r="B548" s="14" t="s">
        <v>4763</v>
      </c>
      <c r="C548" s="14" t="e">
        <v>#N/A</v>
      </c>
      <c r="D548" s="15" t="s">
        <v>1839</v>
      </c>
      <c r="E548" s="16" t="s">
        <v>4773</v>
      </c>
      <c r="F548" s="32" t="s">
        <v>4774</v>
      </c>
      <c r="G548" s="17" t="s">
        <v>4775</v>
      </c>
      <c r="H548" s="18" t="s">
        <v>4776</v>
      </c>
      <c r="I548" s="16" t="s">
        <v>4777</v>
      </c>
      <c r="J548" s="16" t="s">
        <v>173</v>
      </c>
      <c r="K548" s="16" t="s">
        <v>553</v>
      </c>
      <c r="L548" s="16" t="s">
        <v>4778</v>
      </c>
      <c r="M548" s="16" t="s">
        <v>136</v>
      </c>
      <c r="N548" s="16" t="s">
        <v>4779</v>
      </c>
      <c r="O548" s="16" t="s">
        <v>4780</v>
      </c>
      <c r="P548" s="16" t="s">
        <v>4781</v>
      </c>
      <c r="Q548" s="16" t="s">
        <v>1815</v>
      </c>
      <c r="R548" s="16" t="s">
        <v>3598</v>
      </c>
      <c r="S548" s="19" t="s">
        <v>4782</v>
      </c>
      <c r="T548" s="20" t="s">
        <v>274</v>
      </c>
      <c r="U548" s="16" t="s">
        <v>4783</v>
      </c>
      <c r="V548" s="16" t="s">
        <v>4784</v>
      </c>
      <c r="W548" s="30" t="s">
        <v>4785</v>
      </c>
      <c r="X548" s="18" t="s">
        <v>542</v>
      </c>
      <c r="Y548" s="18" t="s">
        <v>98</v>
      </c>
      <c r="Z548" s="18" t="s">
        <v>1815</v>
      </c>
      <c r="AA548" s="16" t="s">
        <v>4525</v>
      </c>
      <c r="AB548" s="16" t="s">
        <v>4540</v>
      </c>
      <c r="AC548" s="16" t="s">
        <v>4527</v>
      </c>
      <c r="AD548" s="123" t="str">
        <f t="shared" si="8"/>
        <v>External Transfer-Other banks</v>
      </c>
      <c r="AE548" s="123" t="str">
        <f>VLOOKUP(Table1[[#This Row],[Name of bank]],'اكواد البنوك'!$A$2:$B$34,2,0)</f>
        <v>BCAIEGCXXXX</v>
      </c>
      <c r="AF548" s="21" t="s">
        <v>4786</v>
      </c>
      <c r="AG548" s="15" t="s">
        <v>3069</v>
      </c>
    </row>
    <row r="549" spans="1:33">
      <c r="A549" s="14">
        <v>548</v>
      </c>
      <c r="B549" s="14" t="s">
        <v>4763</v>
      </c>
      <c r="C549" s="14" t="s">
        <v>6135</v>
      </c>
      <c r="D549" s="15" t="s">
        <v>1839</v>
      </c>
      <c r="E549" s="16" t="s">
        <v>4787</v>
      </c>
      <c r="F549" s="32" t="s">
        <v>4788</v>
      </c>
      <c r="G549" s="17" t="s">
        <v>4789</v>
      </c>
      <c r="H549" s="18" t="s">
        <v>4790</v>
      </c>
      <c r="I549" s="16" t="s">
        <v>4791</v>
      </c>
      <c r="J549" s="16" t="s">
        <v>86</v>
      </c>
      <c r="K549" s="16" t="s">
        <v>4792</v>
      </c>
      <c r="L549" s="16" t="s">
        <v>4793</v>
      </c>
      <c r="M549" s="16" t="s">
        <v>234</v>
      </c>
      <c r="N549" s="16" t="s">
        <v>4794</v>
      </c>
      <c r="O549" s="16" t="s">
        <v>4795</v>
      </c>
      <c r="P549" s="16" t="s">
        <v>4796</v>
      </c>
      <c r="Q549" s="16" t="s">
        <v>1815</v>
      </c>
      <c r="R549" s="16" t="s">
        <v>3598</v>
      </c>
      <c r="S549" s="19" t="s">
        <v>4788</v>
      </c>
      <c r="T549" s="20" t="s">
        <v>40</v>
      </c>
      <c r="U549" s="16" t="s">
        <v>4797</v>
      </c>
      <c r="V549" s="16" t="s">
        <v>4798</v>
      </c>
      <c r="W549" s="30" t="s">
        <v>4799</v>
      </c>
      <c r="X549" s="18" t="s">
        <v>542</v>
      </c>
      <c r="Y549" s="18" t="s">
        <v>98</v>
      </c>
      <c r="Z549" s="18" t="s">
        <v>1815</v>
      </c>
      <c r="AA549" s="16" t="s">
        <v>4525</v>
      </c>
      <c r="AB549" s="16" t="s">
        <v>4540</v>
      </c>
      <c r="AC549" s="16" t="s">
        <v>4527</v>
      </c>
      <c r="AD549" s="123" t="str">
        <f t="shared" si="8"/>
        <v>External Transfer-NBE</v>
      </c>
      <c r="AE549" s="123" t="str">
        <f>VLOOKUP(Table1[[#This Row],[Name of bank]],'اكواد البنوك'!$A$2:$B$34,2,0)</f>
        <v>NBEGEGCXXXX</v>
      </c>
      <c r="AF549" s="21" t="s">
        <v>4800</v>
      </c>
      <c r="AG549" s="15" t="s">
        <v>3069</v>
      </c>
    </row>
    <row r="550" spans="1:33">
      <c r="A550" s="14">
        <v>549</v>
      </c>
      <c r="B550" s="14" t="s">
        <v>4763</v>
      </c>
      <c r="C550" s="14" t="s">
        <v>6160</v>
      </c>
      <c r="D550" s="15" t="s">
        <v>1839</v>
      </c>
      <c r="E550" s="16" t="s">
        <v>4801</v>
      </c>
      <c r="F550" s="32" t="s">
        <v>4802</v>
      </c>
      <c r="G550" s="17" t="s">
        <v>4803</v>
      </c>
      <c r="H550" s="18" t="s">
        <v>4804</v>
      </c>
      <c r="I550" s="16" t="s">
        <v>4805</v>
      </c>
      <c r="J550" s="16" t="s">
        <v>86</v>
      </c>
      <c r="K550" s="16" t="s">
        <v>3823</v>
      </c>
      <c r="L550" s="16" t="s">
        <v>136</v>
      </c>
      <c r="M550" s="16" t="s">
        <v>136</v>
      </c>
      <c r="N550" s="16" t="s">
        <v>4806</v>
      </c>
      <c r="O550" s="16" t="s">
        <v>4807</v>
      </c>
      <c r="P550" s="16" t="s">
        <v>4808</v>
      </c>
      <c r="Q550" s="16" t="s">
        <v>1815</v>
      </c>
      <c r="R550" s="16" t="s">
        <v>3598</v>
      </c>
      <c r="S550" s="19" t="s">
        <v>4801</v>
      </c>
      <c r="T550" s="20" t="s">
        <v>307</v>
      </c>
      <c r="U550" s="16" t="s">
        <v>4809</v>
      </c>
      <c r="V550" s="16" t="s">
        <v>4810</v>
      </c>
      <c r="W550" s="30" t="s">
        <v>4811</v>
      </c>
      <c r="X550" s="18" t="s">
        <v>542</v>
      </c>
      <c r="Y550" s="18" t="s">
        <v>98</v>
      </c>
      <c r="Z550" s="18" t="s">
        <v>1815</v>
      </c>
      <c r="AA550" s="16" t="s">
        <v>4525</v>
      </c>
      <c r="AB550" s="16" t="s">
        <v>4540</v>
      </c>
      <c r="AC550" s="16" t="s">
        <v>4527</v>
      </c>
      <c r="AD550" s="123" t="str">
        <f t="shared" si="8"/>
        <v>External Transfer-Other banks</v>
      </c>
      <c r="AE550" s="123" t="str">
        <f>VLOOKUP(Table1[[#This Row],[Name of bank]],'اكواد البنوك'!$A$2:$B$34,2,0)</f>
        <v>CIBEEGCXXXX</v>
      </c>
      <c r="AF550" s="21" t="s">
        <v>4812</v>
      </c>
      <c r="AG550" s="15" t="s">
        <v>3069</v>
      </c>
    </row>
    <row r="551" spans="1:33">
      <c r="A551" s="14">
        <v>550</v>
      </c>
      <c r="B551" s="14" t="s">
        <v>73</v>
      </c>
      <c r="C551" s="14" t="s">
        <v>206</v>
      </c>
      <c r="D551" s="15" t="s">
        <v>1718</v>
      </c>
      <c r="E551" s="16" t="s">
        <v>4813</v>
      </c>
      <c r="F551" s="32" t="s">
        <v>4814</v>
      </c>
      <c r="G551" s="17" t="s">
        <v>4815</v>
      </c>
      <c r="H551" s="18" t="s">
        <v>4816</v>
      </c>
      <c r="I551" s="16" t="s">
        <v>1718</v>
      </c>
      <c r="J551" s="16" t="e">
        <v>#N/A</v>
      </c>
      <c r="K551" s="16" t="e">
        <v>#N/A</v>
      </c>
      <c r="L551" s="16" t="e">
        <v>#N/A</v>
      </c>
      <c r="M551" s="16" t="s">
        <v>1718</v>
      </c>
      <c r="N551" s="16" t="s">
        <v>1718</v>
      </c>
      <c r="O551" s="16"/>
      <c r="P551" s="16"/>
      <c r="Q551" s="16"/>
      <c r="R551" s="16"/>
      <c r="S551" s="19"/>
      <c r="T551" s="20" t="s">
        <v>40</v>
      </c>
      <c r="U551" s="16"/>
      <c r="V551" s="16"/>
      <c r="W551" s="30" t="s">
        <v>1718</v>
      </c>
      <c r="X551" s="18" t="s">
        <v>78</v>
      </c>
      <c r="Y551" s="18" t="s">
        <v>43</v>
      </c>
      <c r="Z551" s="18" t="s">
        <v>1815</v>
      </c>
      <c r="AA551" s="16" t="s">
        <v>4525</v>
      </c>
      <c r="AB551" s="16" t="s">
        <v>4540</v>
      </c>
      <c r="AC551" s="16" t="s">
        <v>4527</v>
      </c>
      <c r="AD551" s="123" t="str">
        <f t="shared" si="8"/>
        <v>Internal Transfer</v>
      </c>
      <c r="AE551" s="123" t="str">
        <f>VLOOKUP(Table1[[#This Row],[Name of bank]],'اكواد البنوك'!$A$2:$B$34,2,0)</f>
        <v>NBEGEGCXXXX</v>
      </c>
      <c r="AF551" s="30" t="s">
        <v>1718</v>
      </c>
      <c r="AG551" s="15" t="s">
        <v>3069</v>
      </c>
    </row>
    <row r="552" spans="1:33">
      <c r="A552" s="14">
        <v>551</v>
      </c>
      <c r="B552" s="14" t="s">
        <v>73</v>
      </c>
      <c r="C552" s="14" t="e">
        <v>#N/A</v>
      </c>
      <c r="D552" s="15" t="s">
        <v>1839</v>
      </c>
      <c r="E552" s="16" t="s">
        <v>4817</v>
      </c>
      <c r="F552" s="32" t="s">
        <v>4818</v>
      </c>
      <c r="G552" s="17" t="s">
        <v>4819</v>
      </c>
      <c r="H552" s="18">
        <v>201120996974</v>
      </c>
      <c r="I552" s="16" t="s">
        <v>4820</v>
      </c>
      <c r="J552" s="16" t="s">
        <v>173</v>
      </c>
      <c r="K552" s="16" t="s">
        <v>553</v>
      </c>
      <c r="L552" s="16">
        <v>85005722</v>
      </c>
      <c r="M552" s="16" t="s">
        <v>136</v>
      </c>
      <c r="N552" s="16" t="s">
        <v>4821</v>
      </c>
      <c r="O552" s="16" t="s">
        <v>4822</v>
      </c>
      <c r="P552" s="16" t="s">
        <v>4823</v>
      </c>
      <c r="Q552" s="16" t="s">
        <v>1815</v>
      </c>
      <c r="R552" s="16" t="s">
        <v>3598</v>
      </c>
      <c r="S552" s="19" t="s">
        <v>4818</v>
      </c>
      <c r="T552" s="20" t="s">
        <v>176</v>
      </c>
      <c r="U552" s="16" t="s">
        <v>4824</v>
      </c>
      <c r="V552" s="16" t="s">
        <v>4825</v>
      </c>
      <c r="W552" s="30" t="s">
        <v>4826</v>
      </c>
      <c r="X552" s="18" t="s">
        <v>97</v>
      </c>
      <c r="Y552" s="18" t="s">
        <v>98</v>
      </c>
      <c r="Z552" s="18" t="s">
        <v>1815</v>
      </c>
      <c r="AA552" s="16" t="s">
        <v>4525</v>
      </c>
      <c r="AB552" s="16" t="s">
        <v>4540</v>
      </c>
      <c r="AC552" s="16" t="s">
        <v>4527</v>
      </c>
      <c r="AD552" s="123" t="str">
        <f t="shared" si="8"/>
        <v>External Transfer-Other banks</v>
      </c>
      <c r="AE552" s="123" t="str">
        <f>VLOOKUP(Table1[[#This Row],[Name of bank]],'اكواد البنوك'!$A$2:$B$34,2,0)</f>
        <v>BMISEGCXXXX</v>
      </c>
      <c r="AF552" s="21" t="s">
        <v>2291</v>
      </c>
      <c r="AG552" s="15" t="s">
        <v>3069</v>
      </c>
    </row>
    <row r="553" spans="1:33">
      <c r="A553" s="14">
        <v>552</v>
      </c>
      <c r="B553" s="14" t="s">
        <v>4827</v>
      </c>
      <c r="C553" s="14" t="e">
        <v>#N/A</v>
      </c>
      <c r="D553" s="15" t="s">
        <v>1855</v>
      </c>
      <c r="E553" s="16" t="s">
        <v>4828</v>
      </c>
      <c r="F553" s="32" t="s">
        <v>4829</v>
      </c>
      <c r="G553" s="17" t="s">
        <v>4830</v>
      </c>
      <c r="H553" s="18" t="s">
        <v>4831</v>
      </c>
      <c r="I553" s="16" t="s">
        <v>136</v>
      </c>
      <c r="J553" s="16" t="s">
        <v>1845</v>
      </c>
      <c r="K553" s="16" t="s">
        <v>136</v>
      </c>
      <c r="L553" s="16" t="s">
        <v>136</v>
      </c>
      <c r="M553" s="16" t="s">
        <v>136</v>
      </c>
      <c r="N553" s="16" t="s">
        <v>136</v>
      </c>
      <c r="O553" s="16" t="s">
        <v>4832</v>
      </c>
      <c r="P553" s="16" t="s">
        <v>4833</v>
      </c>
      <c r="Q553" s="16" t="s">
        <v>1815</v>
      </c>
      <c r="R553" s="16" t="s">
        <v>3598</v>
      </c>
      <c r="S553" s="19" t="s">
        <v>4834</v>
      </c>
      <c r="T553" s="20" t="s">
        <v>307</v>
      </c>
      <c r="U553" s="16" t="s">
        <v>4835</v>
      </c>
      <c r="V553" s="16">
        <v>100065886019</v>
      </c>
      <c r="W553" s="30" t="s">
        <v>4836</v>
      </c>
      <c r="X553" s="18" t="s">
        <v>542</v>
      </c>
      <c r="Y553" s="18" t="s">
        <v>98</v>
      </c>
      <c r="Z553" s="18" t="s">
        <v>1815</v>
      </c>
      <c r="AA553" s="16" t="s">
        <v>4525</v>
      </c>
      <c r="AB553" s="16" t="s">
        <v>4540</v>
      </c>
      <c r="AC553" s="16" t="s">
        <v>4527</v>
      </c>
      <c r="AD553" s="123" t="str">
        <f t="shared" si="8"/>
        <v>External Transfer-Other banks</v>
      </c>
      <c r="AE553" s="123" t="str">
        <f>VLOOKUP(Table1[[#This Row],[Name of bank]],'اكواد البنوك'!$A$2:$B$34,2,0)</f>
        <v>CIBEEGCXXXX</v>
      </c>
      <c r="AF553" s="21" t="s">
        <v>9845</v>
      </c>
      <c r="AG553" s="15" t="s">
        <v>10381</v>
      </c>
    </row>
    <row r="554" spans="1:33">
      <c r="A554" s="14">
        <v>553</v>
      </c>
      <c r="B554" s="14" t="s">
        <v>4827</v>
      </c>
      <c r="C554" s="14" t="s">
        <v>6069</v>
      </c>
      <c r="D554" s="15" t="s">
        <v>1839</v>
      </c>
      <c r="E554" s="16" t="s">
        <v>4837</v>
      </c>
      <c r="F554" s="32" t="s">
        <v>4838</v>
      </c>
      <c r="G554" s="17" t="s">
        <v>4839</v>
      </c>
      <c r="H554" s="18" t="s">
        <v>4840</v>
      </c>
      <c r="I554" s="16" t="s">
        <v>2420</v>
      </c>
      <c r="J554" s="16" t="s">
        <v>86</v>
      </c>
      <c r="K554" s="16" t="s">
        <v>269</v>
      </c>
      <c r="L554" s="16" t="s">
        <v>136</v>
      </c>
      <c r="M554" s="16" t="s">
        <v>136</v>
      </c>
      <c r="N554" s="16" t="s">
        <v>4841</v>
      </c>
      <c r="O554" s="16" t="s">
        <v>4842</v>
      </c>
      <c r="P554" s="16" t="s">
        <v>4843</v>
      </c>
      <c r="Q554" s="16" t="s">
        <v>1815</v>
      </c>
      <c r="R554" s="16" t="s">
        <v>3598</v>
      </c>
      <c r="S554" s="19" t="s">
        <v>4844</v>
      </c>
      <c r="T554" s="20" t="s">
        <v>307</v>
      </c>
      <c r="U554" s="16" t="s">
        <v>4845</v>
      </c>
      <c r="V554" s="16" t="s">
        <v>4846</v>
      </c>
      <c r="W554" s="30" t="s">
        <v>10375</v>
      </c>
      <c r="X554" s="18" t="s">
        <v>542</v>
      </c>
      <c r="Y554" s="18" t="s">
        <v>98</v>
      </c>
      <c r="Z554" s="18" t="s">
        <v>1815</v>
      </c>
      <c r="AA554" s="16" t="s">
        <v>4525</v>
      </c>
      <c r="AB554" s="16" t="s">
        <v>4540</v>
      </c>
      <c r="AC554" s="16" t="s">
        <v>4527</v>
      </c>
      <c r="AD554" s="123" t="str">
        <f t="shared" si="8"/>
        <v>External Transfer-Other banks</v>
      </c>
      <c r="AE554" s="123" t="str">
        <f>VLOOKUP(Table1[[#This Row],[Name of bank]],'اكواد البنوك'!$A$2:$B$34,2,0)</f>
        <v>CIBEEGCXXXX</v>
      </c>
      <c r="AF554" s="21" t="s">
        <v>2610</v>
      </c>
      <c r="AG554" s="15" t="s">
        <v>10381</v>
      </c>
    </row>
    <row r="555" spans="1:33">
      <c r="A555" s="14">
        <v>554</v>
      </c>
      <c r="B555" s="14" t="s">
        <v>4827</v>
      </c>
      <c r="C555" s="14" t="e">
        <v>#N/A</v>
      </c>
      <c r="D555" s="15" t="s">
        <v>1839</v>
      </c>
      <c r="E555" s="16" t="s">
        <v>4847</v>
      </c>
      <c r="F555" s="32" t="s">
        <v>10025</v>
      </c>
      <c r="G555" s="17" t="s">
        <v>4848</v>
      </c>
      <c r="H555" s="18" t="s">
        <v>4849</v>
      </c>
      <c r="I555" s="16" t="s">
        <v>4850</v>
      </c>
      <c r="J555" s="16" t="s">
        <v>86</v>
      </c>
      <c r="K555" s="16" t="s">
        <v>4851</v>
      </c>
      <c r="L555" s="16" t="s">
        <v>4852</v>
      </c>
      <c r="M555" s="16">
        <v>374333947</v>
      </c>
      <c r="N555" s="16" t="s">
        <v>4853</v>
      </c>
      <c r="O555" s="16" t="s">
        <v>4854</v>
      </c>
      <c r="P555" s="16" t="s">
        <v>4855</v>
      </c>
      <c r="Q555" s="16" t="s">
        <v>1815</v>
      </c>
      <c r="R555" s="16" t="s">
        <v>3598</v>
      </c>
      <c r="S555" s="19" t="s">
        <v>4847</v>
      </c>
      <c r="T555" s="20" t="s">
        <v>307</v>
      </c>
      <c r="U555" s="16" t="s">
        <v>4856</v>
      </c>
      <c r="V555" s="16" t="s">
        <v>4857</v>
      </c>
      <c r="W555" s="30" t="s">
        <v>4858</v>
      </c>
      <c r="X555" s="18" t="s">
        <v>542</v>
      </c>
      <c r="Y555" s="18" t="s">
        <v>98</v>
      </c>
      <c r="Z555" s="18" t="s">
        <v>1815</v>
      </c>
      <c r="AA555" s="16" t="s">
        <v>4525</v>
      </c>
      <c r="AB555" s="16" t="s">
        <v>4540</v>
      </c>
      <c r="AC555" s="16" t="s">
        <v>4527</v>
      </c>
      <c r="AD555" s="123" t="str">
        <f t="shared" si="8"/>
        <v>External Transfer-Other banks</v>
      </c>
      <c r="AE555" s="123" t="str">
        <f>VLOOKUP(Table1[[#This Row],[Name of bank]],'اكواد البنوك'!$A$2:$B$34,2,0)</f>
        <v>CIBEEGCXXXX</v>
      </c>
      <c r="AF555" s="21" t="s">
        <v>4566</v>
      </c>
      <c r="AG555" s="15" t="s">
        <v>3069</v>
      </c>
    </row>
    <row r="556" spans="1:33">
      <c r="A556" s="14">
        <v>555</v>
      </c>
      <c r="B556" s="14" t="s">
        <v>4827</v>
      </c>
      <c r="C556" s="14" t="e">
        <v>#N/A</v>
      </c>
      <c r="D556" s="15" t="s">
        <v>1839</v>
      </c>
      <c r="E556" s="16" t="s">
        <v>4859</v>
      </c>
      <c r="F556" s="32" t="s">
        <v>4860</v>
      </c>
      <c r="G556" s="17" t="s">
        <v>4861</v>
      </c>
      <c r="H556" s="18" t="s">
        <v>4862</v>
      </c>
      <c r="I556" s="16" t="s">
        <v>4863</v>
      </c>
      <c r="J556" s="16" t="s">
        <v>173</v>
      </c>
      <c r="K556" s="16" t="s">
        <v>384</v>
      </c>
      <c r="L556" s="16" t="s">
        <v>977</v>
      </c>
      <c r="M556" s="16" t="s">
        <v>977</v>
      </c>
      <c r="N556" s="16" t="s">
        <v>4864</v>
      </c>
      <c r="O556" s="16" t="s">
        <v>4865</v>
      </c>
      <c r="P556" s="16" t="s">
        <v>4866</v>
      </c>
      <c r="Q556" s="16" t="s">
        <v>1815</v>
      </c>
      <c r="R556" s="16" t="s">
        <v>3598</v>
      </c>
      <c r="S556" s="19" t="s">
        <v>4859</v>
      </c>
      <c r="T556" s="20" t="s">
        <v>40</v>
      </c>
      <c r="U556" s="16" t="s">
        <v>3232</v>
      </c>
      <c r="V556" s="16" t="s">
        <v>4867</v>
      </c>
      <c r="W556" s="30" t="s">
        <v>4868</v>
      </c>
      <c r="X556" s="18" t="s">
        <v>542</v>
      </c>
      <c r="Y556" s="18" t="s">
        <v>98</v>
      </c>
      <c r="Z556" s="18" t="s">
        <v>1815</v>
      </c>
      <c r="AA556" s="16" t="s">
        <v>4525</v>
      </c>
      <c r="AB556" s="16" t="s">
        <v>4540</v>
      </c>
      <c r="AC556" s="16" t="s">
        <v>4527</v>
      </c>
      <c r="AD556" s="123" t="str">
        <f t="shared" si="8"/>
        <v>External Transfer-NBE</v>
      </c>
      <c r="AE556" s="123" t="str">
        <f>VLOOKUP(Table1[[#This Row],[Name of bank]],'اكواد البنوك'!$A$2:$B$34,2,0)</f>
        <v>NBEGEGCXXXX</v>
      </c>
      <c r="AF556" s="21" t="s">
        <v>3235</v>
      </c>
      <c r="AG556" s="15" t="s">
        <v>3069</v>
      </c>
    </row>
    <row r="557" spans="1:33">
      <c r="A557" s="14">
        <v>556</v>
      </c>
      <c r="B557" s="14" t="s">
        <v>4827</v>
      </c>
      <c r="C557" s="14" t="s">
        <v>5307</v>
      </c>
      <c r="D557" s="15" t="s">
        <v>1839</v>
      </c>
      <c r="E557" s="16" t="s">
        <v>4869</v>
      </c>
      <c r="F557" s="32" t="s">
        <v>10181</v>
      </c>
      <c r="G557" s="17" t="s">
        <v>4870</v>
      </c>
      <c r="H557" s="18" t="s">
        <v>4871</v>
      </c>
      <c r="I557" s="16" t="s">
        <v>4872</v>
      </c>
      <c r="J557" s="16" t="s">
        <v>86</v>
      </c>
      <c r="K557" s="16" t="s">
        <v>4873</v>
      </c>
      <c r="L557" s="16" t="s">
        <v>4874</v>
      </c>
      <c r="M557" s="16" t="s">
        <v>234</v>
      </c>
      <c r="N557" s="16" t="s">
        <v>4875</v>
      </c>
      <c r="O557" s="16" t="s">
        <v>4876</v>
      </c>
      <c r="P557" s="16" t="s">
        <v>4877</v>
      </c>
      <c r="Q557" s="16" t="s">
        <v>1815</v>
      </c>
      <c r="R557" s="16" t="s">
        <v>3598</v>
      </c>
      <c r="S557" s="19" t="s">
        <v>4878</v>
      </c>
      <c r="T557" s="20" t="s">
        <v>40</v>
      </c>
      <c r="U557" s="16" t="s">
        <v>4879</v>
      </c>
      <c r="V557" s="16" t="s">
        <v>4880</v>
      </c>
      <c r="W557" s="30" t="s">
        <v>4881</v>
      </c>
      <c r="X557" s="18" t="s">
        <v>542</v>
      </c>
      <c r="Y557" s="18" t="s">
        <v>98</v>
      </c>
      <c r="Z557" s="18" t="s">
        <v>1815</v>
      </c>
      <c r="AA557" s="16" t="s">
        <v>4525</v>
      </c>
      <c r="AB557" s="16" t="s">
        <v>4540</v>
      </c>
      <c r="AC557" s="16" t="s">
        <v>4527</v>
      </c>
      <c r="AD557" s="123" t="str">
        <f t="shared" si="8"/>
        <v>External Transfer-NBE</v>
      </c>
      <c r="AE557" s="123" t="str">
        <f>VLOOKUP(Table1[[#This Row],[Name of bank]],'اكواد البنوك'!$A$2:$B$34,2,0)</f>
        <v>NBEGEGCXXXX</v>
      </c>
      <c r="AF557" s="21" t="s">
        <v>4882</v>
      </c>
      <c r="AG557" s="15" t="s">
        <v>3069</v>
      </c>
    </row>
    <row r="558" spans="1:33">
      <c r="A558" s="14">
        <v>557</v>
      </c>
      <c r="B558" s="14" t="s">
        <v>4883</v>
      </c>
      <c r="C558" s="14" t="s">
        <v>5264</v>
      </c>
      <c r="D558" s="15" t="s">
        <v>1839</v>
      </c>
      <c r="E558" s="16" t="s">
        <v>4884</v>
      </c>
      <c r="F558" s="32" t="s">
        <v>4885</v>
      </c>
      <c r="G558" s="17" t="s">
        <v>4886</v>
      </c>
      <c r="H558" s="18" t="s">
        <v>4887</v>
      </c>
      <c r="I558" s="16" t="s">
        <v>4888</v>
      </c>
      <c r="J558" s="16" t="s">
        <v>86</v>
      </c>
      <c r="K558" s="16" t="s">
        <v>506</v>
      </c>
      <c r="L558" s="16" t="s">
        <v>4889</v>
      </c>
      <c r="M558" s="16" t="s">
        <v>234</v>
      </c>
      <c r="N558" s="16" t="s">
        <v>4890</v>
      </c>
      <c r="O558" s="16" t="s">
        <v>4891</v>
      </c>
      <c r="P558" s="16" t="s">
        <v>4892</v>
      </c>
      <c r="Q558" s="16" t="s">
        <v>1815</v>
      </c>
      <c r="R558" s="16" t="s">
        <v>3598</v>
      </c>
      <c r="S558" s="19" t="s">
        <v>4893</v>
      </c>
      <c r="T558" s="20" t="s">
        <v>40</v>
      </c>
      <c r="U558" s="16" t="s">
        <v>2123</v>
      </c>
      <c r="V558" s="16" t="s">
        <v>4894</v>
      </c>
      <c r="W558" s="30" t="s">
        <v>4895</v>
      </c>
      <c r="X558" s="18" t="s">
        <v>542</v>
      </c>
      <c r="Y558" s="18" t="s">
        <v>98</v>
      </c>
      <c r="Z558" s="18" t="s">
        <v>1815</v>
      </c>
      <c r="AA558" s="16" t="s">
        <v>4525</v>
      </c>
      <c r="AB558" s="16" t="s">
        <v>4540</v>
      </c>
      <c r="AC558" s="16" t="s">
        <v>4527</v>
      </c>
      <c r="AD558" s="123" t="str">
        <f t="shared" si="8"/>
        <v>External Transfer-NBE</v>
      </c>
      <c r="AE558" s="123" t="str">
        <f>VLOOKUP(Table1[[#This Row],[Name of bank]],'اكواد البنوك'!$A$2:$B$34,2,0)</f>
        <v>NBEGEGCXXXX</v>
      </c>
      <c r="AF558" s="21" t="s">
        <v>2622</v>
      </c>
      <c r="AG558" s="15" t="s">
        <v>10381</v>
      </c>
    </row>
    <row r="559" spans="1:33">
      <c r="A559" s="14">
        <v>558</v>
      </c>
      <c r="B559" s="14" t="s">
        <v>4883</v>
      </c>
      <c r="C559" s="14" t="s">
        <v>5024</v>
      </c>
      <c r="D559" s="15" t="s">
        <v>1839</v>
      </c>
      <c r="E559" s="16" t="s">
        <v>4896</v>
      </c>
      <c r="F559" s="32" t="s">
        <v>10012</v>
      </c>
      <c r="G559" s="17" t="s">
        <v>4897</v>
      </c>
      <c r="H559" s="18" t="s">
        <v>4898</v>
      </c>
      <c r="I559" s="16" t="s">
        <v>4899</v>
      </c>
      <c r="J559" s="16" t="s">
        <v>86</v>
      </c>
      <c r="K559" s="16" t="s">
        <v>269</v>
      </c>
      <c r="L559" s="16" t="s">
        <v>4900</v>
      </c>
      <c r="M559" s="16" t="s">
        <v>136</v>
      </c>
      <c r="N559" s="16" t="s">
        <v>4901</v>
      </c>
      <c r="O559" s="16" t="s">
        <v>4902</v>
      </c>
      <c r="P559" s="16" t="s">
        <v>4903</v>
      </c>
      <c r="Q559" s="16" t="s">
        <v>1815</v>
      </c>
      <c r="R559" s="16" t="s">
        <v>3598</v>
      </c>
      <c r="S559" s="19" t="s">
        <v>4904</v>
      </c>
      <c r="T559" s="20" t="s">
        <v>307</v>
      </c>
      <c r="U559" s="16" t="s">
        <v>4905</v>
      </c>
      <c r="V559" s="16" t="s">
        <v>4906</v>
      </c>
      <c r="W559" s="30" t="s">
        <v>4907</v>
      </c>
      <c r="X559" s="18" t="s">
        <v>542</v>
      </c>
      <c r="Y559" s="18" t="s">
        <v>98</v>
      </c>
      <c r="Z559" s="18" t="s">
        <v>1815</v>
      </c>
      <c r="AA559" s="16" t="s">
        <v>4525</v>
      </c>
      <c r="AB559" s="16" t="s">
        <v>4540</v>
      </c>
      <c r="AC559" s="16" t="s">
        <v>4527</v>
      </c>
      <c r="AD559" s="123" t="str">
        <f t="shared" si="8"/>
        <v>External Transfer-Other banks</v>
      </c>
      <c r="AE559" s="123" t="str">
        <f>VLOOKUP(Table1[[#This Row],[Name of bank]],'اكواد البنوك'!$A$2:$B$34,2,0)</f>
        <v>CIBEEGCXXXX</v>
      </c>
      <c r="AF559" s="21" t="s">
        <v>455</v>
      </c>
      <c r="AG559" s="15" t="s">
        <v>3069</v>
      </c>
    </row>
    <row r="560" spans="1:33">
      <c r="A560" s="14">
        <v>559</v>
      </c>
      <c r="B560" s="14" t="s">
        <v>4883</v>
      </c>
      <c r="C560" s="14" t="s">
        <v>5235</v>
      </c>
      <c r="D560" s="15" t="s">
        <v>1839</v>
      </c>
      <c r="E560" s="16" t="s">
        <v>4908</v>
      </c>
      <c r="F560" s="32" t="s">
        <v>4909</v>
      </c>
      <c r="G560" s="17" t="s">
        <v>4910</v>
      </c>
      <c r="H560" s="18" t="s">
        <v>4911</v>
      </c>
      <c r="I560" s="16" t="s">
        <v>4912</v>
      </c>
      <c r="J560" s="16" t="s">
        <v>86</v>
      </c>
      <c r="K560" s="16" t="s">
        <v>4913</v>
      </c>
      <c r="L560" s="16" t="s">
        <v>4914</v>
      </c>
      <c r="M560" s="16" t="s">
        <v>4251</v>
      </c>
      <c r="N560" s="16" t="s">
        <v>4915</v>
      </c>
      <c r="O560" s="16" t="s">
        <v>4916</v>
      </c>
      <c r="P560" s="16" t="s">
        <v>4917</v>
      </c>
      <c r="Q560" s="16" t="s">
        <v>1815</v>
      </c>
      <c r="R560" s="16" t="s">
        <v>3598</v>
      </c>
      <c r="S560" s="19" t="s">
        <v>4909</v>
      </c>
      <c r="T560" s="20" t="s">
        <v>176</v>
      </c>
      <c r="U560" s="16" t="s">
        <v>4918</v>
      </c>
      <c r="V560" s="16" t="s">
        <v>4919</v>
      </c>
      <c r="W560" s="30" t="s">
        <v>4920</v>
      </c>
      <c r="X560" s="18" t="s">
        <v>542</v>
      </c>
      <c r="Y560" s="18" t="s">
        <v>98</v>
      </c>
      <c r="Z560" s="18" t="s">
        <v>1815</v>
      </c>
      <c r="AA560" s="16" t="s">
        <v>4525</v>
      </c>
      <c r="AB560" s="16" t="s">
        <v>4540</v>
      </c>
      <c r="AC560" s="16" t="s">
        <v>4527</v>
      </c>
      <c r="AD560" s="123" t="str">
        <f t="shared" si="8"/>
        <v>External Transfer-Other banks</v>
      </c>
      <c r="AE560" s="123" t="str">
        <f>VLOOKUP(Table1[[#This Row],[Name of bank]],'اكواد البنوك'!$A$2:$B$34,2,0)</f>
        <v>BMISEGCXXXX</v>
      </c>
      <c r="AF560" s="21" t="s">
        <v>4921</v>
      </c>
      <c r="AG560" s="15" t="s">
        <v>3069</v>
      </c>
    </row>
    <row r="561" spans="1:33">
      <c r="A561" s="14">
        <v>560</v>
      </c>
      <c r="B561" s="14" t="s">
        <v>4883</v>
      </c>
      <c r="C561" s="14" t="e">
        <v>#N/A</v>
      </c>
      <c r="D561" s="15" t="s">
        <v>1839</v>
      </c>
      <c r="E561" s="16" t="s">
        <v>4922</v>
      </c>
      <c r="F561" s="32" t="s">
        <v>4923</v>
      </c>
      <c r="G561" s="17" t="s">
        <v>4924</v>
      </c>
      <c r="H561" s="18" t="s">
        <v>4925</v>
      </c>
      <c r="I561" s="16" t="s">
        <v>4926</v>
      </c>
      <c r="J561" s="16" t="s">
        <v>173</v>
      </c>
      <c r="K561" s="16" t="s">
        <v>4927</v>
      </c>
      <c r="L561" s="16" t="s">
        <v>4928</v>
      </c>
      <c r="M561" s="16" t="s">
        <v>234</v>
      </c>
      <c r="N561" s="16" t="s">
        <v>4929</v>
      </c>
      <c r="O561" s="16" t="s">
        <v>4930</v>
      </c>
      <c r="P561" s="16" t="s">
        <v>4931</v>
      </c>
      <c r="Q561" s="16" t="s">
        <v>1815</v>
      </c>
      <c r="R561" s="16" t="s">
        <v>3598</v>
      </c>
      <c r="S561" s="19" t="s">
        <v>4923</v>
      </c>
      <c r="T561" s="20" t="s">
        <v>40</v>
      </c>
      <c r="U561" s="16" t="s">
        <v>4932</v>
      </c>
      <c r="V561" s="16" t="s">
        <v>4933</v>
      </c>
      <c r="W561" s="30" t="s">
        <v>4934</v>
      </c>
      <c r="X561" s="18" t="s">
        <v>542</v>
      </c>
      <c r="Y561" s="18" t="s">
        <v>98</v>
      </c>
      <c r="Z561" s="18" t="s">
        <v>1815</v>
      </c>
      <c r="AA561" s="16" t="s">
        <v>4525</v>
      </c>
      <c r="AB561" s="16" t="s">
        <v>4540</v>
      </c>
      <c r="AC561" s="16" t="s">
        <v>4527</v>
      </c>
      <c r="AD561" s="123" t="str">
        <f t="shared" si="8"/>
        <v>External Transfer-NBE</v>
      </c>
      <c r="AE561" s="123" t="str">
        <f>VLOOKUP(Table1[[#This Row],[Name of bank]],'اكواد البنوك'!$A$2:$B$34,2,0)</f>
        <v>NBEGEGCXXXX</v>
      </c>
      <c r="AF561" s="21" t="s">
        <v>4721</v>
      </c>
      <c r="AG561" s="15" t="s">
        <v>3069</v>
      </c>
    </row>
    <row r="562" spans="1:33">
      <c r="A562" s="14">
        <v>561</v>
      </c>
      <c r="B562" s="14" t="s">
        <v>4935</v>
      </c>
      <c r="C562" s="14" t="s">
        <v>2446</v>
      </c>
      <c r="D562" s="15" t="s">
        <v>1703</v>
      </c>
      <c r="E562" s="16" t="s">
        <v>4936</v>
      </c>
      <c r="F562" s="32" t="s">
        <v>10030</v>
      </c>
      <c r="G562" s="17" t="s">
        <v>4937</v>
      </c>
      <c r="H562" s="18" t="s">
        <v>4938</v>
      </c>
      <c r="I562" s="16" t="s">
        <v>1703</v>
      </c>
      <c r="J562" s="16"/>
      <c r="K562" s="16" t="s">
        <v>78</v>
      </c>
      <c r="L562" s="16"/>
      <c r="M562" s="16"/>
      <c r="N562" s="16"/>
      <c r="O562" s="16"/>
      <c r="P562" s="16"/>
      <c r="Q562" s="16"/>
      <c r="R562" s="16"/>
      <c r="S562" s="19"/>
      <c r="T562" s="20" t="s">
        <v>40</v>
      </c>
      <c r="U562" s="16"/>
      <c r="V562" s="16"/>
      <c r="W562" s="30">
        <v>18</v>
      </c>
      <c r="X562" s="18" t="s">
        <v>78</v>
      </c>
      <c r="Y562" s="18" t="s">
        <v>43</v>
      </c>
      <c r="Z562" s="18" t="s">
        <v>1815</v>
      </c>
      <c r="AA562" s="16" t="s">
        <v>4525</v>
      </c>
      <c r="AB562" s="16" t="s">
        <v>4939</v>
      </c>
      <c r="AC562" s="16" t="s">
        <v>4527</v>
      </c>
      <c r="AD562" s="123" t="str">
        <f t="shared" si="8"/>
        <v>Internal Transfer</v>
      </c>
      <c r="AE562" s="123" t="str">
        <f>VLOOKUP(Table1[[#This Row],[Name of bank]],'اكواد البنوك'!$A$2:$B$34,2,0)</f>
        <v>NBEGEGCXXXX</v>
      </c>
      <c r="AF562" s="21">
        <v>18</v>
      </c>
      <c r="AG562" s="15" t="s">
        <v>167</v>
      </c>
    </row>
    <row r="563" spans="1:33">
      <c r="A563" s="14">
        <v>562</v>
      </c>
      <c r="B563" s="14" t="s">
        <v>4935</v>
      </c>
      <c r="C563" s="14" t="e">
        <v>#N/A</v>
      </c>
      <c r="D563" s="15" t="s">
        <v>1839</v>
      </c>
      <c r="E563" s="16" t="s">
        <v>4940</v>
      </c>
      <c r="F563" s="32" t="s">
        <v>4941</v>
      </c>
      <c r="G563" s="17" t="s">
        <v>4942</v>
      </c>
      <c r="H563" s="18">
        <v>201091246008</v>
      </c>
      <c r="I563" s="16" t="s">
        <v>4943</v>
      </c>
      <c r="J563" s="16" t="s">
        <v>86</v>
      </c>
      <c r="K563" s="16" t="s">
        <v>4944</v>
      </c>
      <c r="L563" s="16">
        <v>62277637</v>
      </c>
      <c r="M563" s="16" t="s">
        <v>136</v>
      </c>
      <c r="N563" s="16" t="s">
        <v>4945</v>
      </c>
      <c r="O563" s="16" t="s">
        <v>4946</v>
      </c>
      <c r="P563" s="16" t="s">
        <v>4947</v>
      </c>
      <c r="Q563" s="16" t="s">
        <v>1815</v>
      </c>
      <c r="R563" s="16" t="s">
        <v>3598</v>
      </c>
      <c r="S563" s="19" t="s">
        <v>4941</v>
      </c>
      <c r="T563" s="20" t="s">
        <v>93</v>
      </c>
      <c r="U563" s="16" t="s">
        <v>4003</v>
      </c>
      <c r="V563" s="16" t="s">
        <v>4948</v>
      </c>
      <c r="W563" s="30" t="s">
        <v>4949</v>
      </c>
      <c r="X563" s="18" t="s">
        <v>97</v>
      </c>
      <c r="Y563" s="18" t="s">
        <v>98</v>
      </c>
      <c r="Z563" s="18" t="s">
        <v>1815</v>
      </c>
      <c r="AA563" s="16" t="s">
        <v>4525</v>
      </c>
      <c r="AB563" s="16" t="s">
        <v>4939</v>
      </c>
      <c r="AC563" s="16" t="s">
        <v>4527</v>
      </c>
      <c r="AD563" s="123" t="str">
        <f t="shared" si="8"/>
        <v>External Transfer-Other banks</v>
      </c>
      <c r="AE563" s="123" t="str">
        <f>VLOOKUP(Table1[[#This Row],[Name of bank]],'اكواد البنوك'!$A$2:$B$34,2,0)</f>
        <v>QNBAEGCXXXX</v>
      </c>
      <c r="AF563" s="21" t="s">
        <v>1885</v>
      </c>
      <c r="AG563" s="15" t="s">
        <v>3069</v>
      </c>
    </row>
    <row r="564" spans="1:33">
      <c r="A564" s="14">
        <v>563</v>
      </c>
      <c r="B564" s="14" t="s">
        <v>4950</v>
      </c>
      <c r="C564" s="14" t="s">
        <v>5635</v>
      </c>
      <c r="D564" s="15" t="s">
        <v>1839</v>
      </c>
      <c r="E564" s="16" t="s">
        <v>4951</v>
      </c>
      <c r="F564" s="32" t="s">
        <v>4952</v>
      </c>
      <c r="G564" s="17" t="s">
        <v>4953</v>
      </c>
      <c r="H564" s="18" t="s">
        <v>4954</v>
      </c>
      <c r="I564" s="16" t="s">
        <v>4955</v>
      </c>
      <c r="J564" s="16" t="s">
        <v>173</v>
      </c>
      <c r="K564" s="16" t="s">
        <v>2525</v>
      </c>
      <c r="L564" s="16" t="s">
        <v>4956</v>
      </c>
      <c r="M564" s="16" t="s">
        <v>4957</v>
      </c>
      <c r="N564" s="16" t="s">
        <v>4958</v>
      </c>
      <c r="O564" s="16" t="s">
        <v>4959</v>
      </c>
      <c r="P564" s="16" t="s">
        <v>4960</v>
      </c>
      <c r="Q564" s="16" t="s">
        <v>1815</v>
      </c>
      <c r="R564" s="16" t="s">
        <v>3598</v>
      </c>
      <c r="S564" s="19" t="s">
        <v>4961</v>
      </c>
      <c r="T564" s="20" t="s">
        <v>40</v>
      </c>
      <c r="U564" s="16" t="s">
        <v>4962</v>
      </c>
      <c r="V564" s="16" t="s">
        <v>4963</v>
      </c>
      <c r="W564" s="30" t="s">
        <v>4964</v>
      </c>
      <c r="X564" s="18" t="s">
        <v>542</v>
      </c>
      <c r="Y564" s="18" t="s">
        <v>98</v>
      </c>
      <c r="Z564" s="18" t="s">
        <v>1815</v>
      </c>
      <c r="AA564" s="16" t="s">
        <v>4525</v>
      </c>
      <c r="AB564" s="16" t="s">
        <v>4939</v>
      </c>
      <c r="AC564" s="16" t="s">
        <v>4527</v>
      </c>
      <c r="AD564" s="123" t="str">
        <f t="shared" si="8"/>
        <v>External Transfer-NBE</v>
      </c>
      <c r="AE564" s="123" t="str">
        <f>VLOOKUP(Table1[[#This Row],[Name of bank]],'اكواد البنوك'!$A$2:$B$34,2,0)</f>
        <v>NBEGEGCXXXX</v>
      </c>
      <c r="AF564" s="21" t="s">
        <v>4965</v>
      </c>
      <c r="AG564" s="15" t="s">
        <v>3069</v>
      </c>
    </row>
    <row r="565" spans="1:33">
      <c r="A565" s="14">
        <v>564</v>
      </c>
      <c r="B565" s="14" t="s">
        <v>4950</v>
      </c>
      <c r="C565" s="14" t="e">
        <v>#N/A</v>
      </c>
      <c r="D565" s="15" t="s">
        <v>1855</v>
      </c>
      <c r="E565" s="16" t="s">
        <v>4966</v>
      </c>
      <c r="F565" s="32" t="s">
        <v>4967</v>
      </c>
      <c r="G565" s="17" t="s">
        <v>4968</v>
      </c>
      <c r="H565" s="18" t="s">
        <v>4969</v>
      </c>
      <c r="I565" s="16" t="s">
        <v>4970</v>
      </c>
      <c r="J565" s="16" t="s">
        <v>1845</v>
      </c>
      <c r="K565" s="16" t="s">
        <v>4970</v>
      </c>
      <c r="L565" s="16" t="s">
        <v>234</v>
      </c>
      <c r="M565" s="16" t="s">
        <v>234</v>
      </c>
      <c r="N565" s="16">
        <v>30005051402819</v>
      </c>
      <c r="O565" s="16" t="s">
        <v>4971</v>
      </c>
      <c r="P565" s="16" t="s">
        <v>4972</v>
      </c>
      <c r="Q565" s="16" t="s">
        <v>1815</v>
      </c>
      <c r="R565" s="16" t="s">
        <v>3598</v>
      </c>
      <c r="S565" s="19" t="s">
        <v>4966</v>
      </c>
      <c r="T565" s="20" t="s">
        <v>307</v>
      </c>
      <c r="U565" s="16" t="s">
        <v>9839</v>
      </c>
      <c r="V565" s="16" t="s">
        <v>9840</v>
      </c>
      <c r="W565" s="30" t="s">
        <v>9841</v>
      </c>
      <c r="X565" s="18" t="s">
        <v>542</v>
      </c>
      <c r="Y565" s="18" t="s">
        <v>98</v>
      </c>
      <c r="Z565" s="18" t="s">
        <v>1815</v>
      </c>
      <c r="AA565" s="16" t="s">
        <v>4525</v>
      </c>
      <c r="AB565" s="16" t="s">
        <v>4939</v>
      </c>
      <c r="AC565" s="16" t="s">
        <v>4527</v>
      </c>
      <c r="AD565" s="123" t="str">
        <f t="shared" si="8"/>
        <v>External Transfer-Other banks</v>
      </c>
      <c r="AE565" s="123" t="str">
        <f>VLOOKUP(Table1[[#This Row],[Name of bank]],'اكواد البنوك'!$A$2:$B$34,2,0)</f>
        <v>CIBEEGCXXXX</v>
      </c>
      <c r="AF565" s="21" t="s">
        <v>3317</v>
      </c>
      <c r="AG565" s="15" t="s">
        <v>10381</v>
      </c>
    </row>
    <row r="566" spans="1:33">
      <c r="A566" s="14">
        <v>565</v>
      </c>
      <c r="B566" s="14" t="s">
        <v>4950</v>
      </c>
      <c r="C566" s="14" t="s">
        <v>5932</v>
      </c>
      <c r="D566" s="15" t="s">
        <v>1839</v>
      </c>
      <c r="E566" s="16" t="s">
        <v>4973</v>
      </c>
      <c r="F566" s="32" t="s">
        <v>4974</v>
      </c>
      <c r="G566" s="17" t="s">
        <v>4975</v>
      </c>
      <c r="H566" s="18" t="s">
        <v>4976</v>
      </c>
      <c r="I566" s="16" t="s">
        <v>4977</v>
      </c>
      <c r="J566" s="16" t="s">
        <v>86</v>
      </c>
      <c r="K566" s="16" t="s">
        <v>4978</v>
      </c>
      <c r="L566" s="16" t="s">
        <v>234</v>
      </c>
      <c r="M566" s="16" t="s">
        <v>234</v>
      </c>
      <c r="N566" s="16" t="s">
        <v>4979</v>
      </c>
      <c r="O566" s="16" t="s">
        <v>4980</v>
      </c>
      <c r="P566" s="16" t="s">
        <v>4981</v>
      </c>
      <c r="Q566" s="16" t="s">
        <v>1815</v>
      </c>
      <c r="R566" s="16" t="s">
        <v>1882</v>
      </c>
      <c r="S566" s="19" t="s">
        <v>4982</v>
      </c>
      <c r="T566" s="20" t="s">
        <v>341</v>
      </c>
      <c r="U566" s="16" t="s">
        <v>1872</v>
      </c>
      <c r="V566" s="16" t="s">
        <v>4983</v>
      </c>
      <c r="W566" s="30" t="s">
        <v>4984</v>
      </c>
      <c r="X566" s="18" t="s">
        <v>542</v>
      </c>
      <c r="Y566" s="18" t="s">
        <v>98</v>
      </c>
      <c r="Z566" s="18" t="s">
        <v>1815</v>
      </c>
      <c r="AA566" s="16" t="s">
        <v>4525</v>
      </c>
      <c r="AB566" s="16" t="s">
        <v>4939</v>
      </c>
      <c r="AC566" s="16" t="s">
        <v>4527</v>
      </c>
      <c r="AD566" s="123" t="str">
        <f t="shared" si="8"/>
        <v>External Transfer-Other banks</v>
      </c>
      <c r="AE566" s="123" t="str">
        <f>VLOOKUP(Table1[[#This Row],[Name of bank]],'اكواد البنوك'!$A$2:$B$34,2,0)</f>
        <v>AGRIEGCXXXX</v>
      </c>
      <c r="AF566" s="21" t="s">
        <v>346</v>
      </c>
      <c r="AG566" s="15" t="s">
        <v>3069</v>
      </c>
    </row>
    <row r="567" spans="1:33">
      <c r="A567" s="14">
        <v>566</v>
      </c>
      <c r="B567" s="14" t="s">
        <v>4950</v>
      </c>
      <c r="C567" s="14" t="s">
        <v>5709</v>
      </c>
      <c r="D567" s="15" t="s">
        <v>1839</v>
      </c>
      <c r="E567" s="16" t="s">
        <v>4985</v>
      </c>
      <c r="F567" s="32" t="s">
        <v>4986</v>
      </c>
      <c r="G567" s="17" t="s">
        <v>4987</v>
      </c>
      <c r="H567" s="18" t="s">
        <v>4988</v>
      </c>
      <c r="I567" s="16" t="s">
        <v>4989</v>
      </c>
      <c r="J567" s="16" t="s">
        <v>2035</v>
      </c>
      <c r="K567" s="16" t="s">
        <v>4990</v>
      </c>
      <c r="L567" s="16" t="s">
        <v>136</v>
      </c>
      <c r="M567" s="16" t="s">
        <v>136</v>
      </c>
      <c r="N567" s="16" t="s">
        <v>4991</v>
      </c>
      <c r="O567" s="16" t="s">
        <v>4992</v>
      </c>
      <c r="P567" s="16" t="s">
        <v>4993</v>
      </c>
      <c r="Q567" s="16" t="s">
        <v>1815</v>
      </c>
      <c r="R567" s="16" t="s">
        <v>3598</v>
      </c>
      <c r="S567" s="19" t="s">
        <v>4985</v>
      </c>
      <c r="T567" s="20" t="s">
        <v>40</v>
      </c>
      <c r="U567" s="16" t="s">
        <v>4994</v>
      </c>
      <c r="V567" s="16" t="s">
        <v>4995</v>
      </c>
      <c r="W567" s="30" t="s">
        <v>4996</v>
      </c>
      <c r="X567" s="18" t="s">
        <v>542</v>
      </c>
      <c r="Y567" s="18" t="s">
        <v>98</v>
      </c>
      <c r="Z567" s="18" t="s">
        <v>1815</v>
      </c>
      <c r="AA567" s="16" t="s">
        <v>4525</v>
      </c>
      <c r="AB567" s="16" t="s">
        <v>4939</v>
      </c>
      <c r="AC567" s="16" t="s">
        <v>4527</v>
      </c>
      <c r="AD567" s="123" t="str">
        <f t="shared" si="8"/>
        <v>External Transfer-NBE</v>
      </c>
      <c r="AE567" s="123" t="str">
        <f>VLOOKUP(Table1[[#This Row],[Name of bank]],'اكواد البنوك'!$A$2:$B$34,2,0)</f>
        <v>NBEGEGCXXXX</v>
      </c>
      <c r="AF567" s="21" t="s">
        <v>4997</v>
      </c>
      <c r="AG567" s="15" t="s">
        <v>3069</v>
      </c>
    </row>
    <row r="568" spans="1:33">
      <c r="A568" s="14">
        <v>567</v>
      </c>
      <c r="B568" s="14" t="s">
        <v>4950</v>
      </c>
      <c r="C568" s="14" t="s">
        <v>6184</v>
      </c>
      <c r="D568" s="15" t="s">
        <v>1839</v>
      </c>
      <c r="E568" s="16" t="s">
        <v>4998</v>
      </c>
      <c r="F568" s="32" t="s">
        <v>4999</v>
      </c>
      <c r="G568" s="17" t="s">
        <v>5000</v>
      </c>
      <c r="H568" s="18" t="s">
        <v>5001</v>
      </c>
      <c r="I568" s="16" t="s">
        <v>5002</v>
      </c>
      <c r="J568" s="16" t="s">
        <v>86</v>
      </c>
      <c r="K568" s="16" t="s">
        <v>1170</v>
      </c>
      <c r="L568" s="16" t="s">
        <v>5003</v>
      </c>
      <c r="M568" s="16" t="s">
        <v>977</v>
      </c>
      <c r="N568" s="16" t="s">
        <v>5004</v>
      </c>
      <c r="O568" s="16" t="s">
        <v>5005</v>
      </c>
      <c r="P568" s="16" t="s">
        <v>5006</v>
      </c>
      <c r="Q568" s="16" t="s">
        <v>1815</v>
      </c>
      <c r="R568" s="16" t="s">
        <v>3598</v>
      </c>
      <c r="S568" s="19" t="s">
        <v>4999</v>
      </c>
      <c r="T568" s="20" t="s">
        <v>176</v>
      </c>
      <c r="U568" s="16" t="s">
        <v>5007</v>
      </c>
      <c r="V568" s="16" t="s">
        <v>5008</v>
      </c>
      <c r="W568" s="30" t="s">
        <v>5009</v>
      </c>
      <c r="X568" s="18" t="s">
        <v>542</v>
      </c>
      <c r="Y568" s="18" t="s">
        <v>98</v>
      </c>
      <c r="Z568" s="18" t="s">
        <v>1815</v>
      </c>
      <c r="AA568" s="16" t="s">
        <v>4525</v>
      </c>
      <c r="AB568" s="16" t="s">
        <v>4939</v>
      </c>
      <c r="AC568" s="16" t="s">
        <v>4527</v>
      </c>
      <c r="AD568" s="123" t="str">
        <f t="shared" si="8"/>
        <v>External Transfer-Other banks</v>
      </c>
      <c r="AE568" s="123" t="str">
        <f>VLOOKUP(Table1[[#This Row],[Name of bank]],'اكواد البنوك'!$A$2:$B$34,2,0)</f>
        <v>BMISEGCXXXX</v>
      </c>
      <c r="AF568" s="21" t="s">
        <v>5010</v>
      </c>
      <c r="AG568" s="15" t="s">
        <v>3069</v>
      </c>
    </row>
    <row r="569" spans="1:33">
      <c r="A569" s="14">
        <v>568</v>
      </c>
      <c r="B569" s="14" t="s">
        <v>2446</v>
      </c>
      <c r="C569" s="14" t="s">
        <v>2446</v>
      </c>
      <c r="D569" s="15" t="s">
        <v>1839</v>
      </c>
      <c r="E569" s="16" t="s">
        <v>5011</v>
      </c>
      <c r="F569" s="32" t="s">
        <v>5012</v>
      </c>
      <c r="G569" s="17" t="s">
        <v>5013</v>
      </c>
      <c r="H569" s="18">
        <v>201226554771</v>
      </c>
      <c r="I569" s="16" t="s">
        <v>5014</v>
      </c>
      <c r="J569" s="16" t="s">
        <v>86</v>
      </c>
      <c r="K569" s="16" t="s">
        <v>5015</v>
      </c>
      <c r="L569" s="16">
        <v>34590810</v>
      </c>
      <c r="M569" s="16" t="s">
        <v>3782</v>
      </c>
      <c r="N569" s="16" t="s">
        <v>5016</v>
      </c>
      <c r="O569" s="16" t="s">
        <v>5017</v>
      </c>
      <c r="P569" s="16" t="s">
        <v>5018</v>
      </c>
      <c r="Q569" s="16" t="s">
        <v>1815</v>
      </c>
      <c r="R569" s="16" t="s">
        <v>3598</v>
      </c>
      <c r="S569" s="19" t="s">
        <v>5019</v>
      </c>
      <c r="T569" s="20" t="s">
        <v>40</v>
      </c>
      <c r="U569" s="16" t="s">
        <v>5020</v>
      </c>
      <c r="V569" s="16" t="s">
        <v>5021</v>
      </c>
      <c r="W569" s="30" t="s">
        <v>5022</v>
      </c>
      <c r="X569" s="18" t="s">
        <v>2096</v>
      </c>
      <c r="Y569" s="18" t="s">
        <v>98</v>
      </c>
      <c r="Z569" s="18" t="s">
        <v>1815</v>
      </c>
      <c r="AA569" s="16" t="s">
        <v>4525</v>
      </c>
      <c r="AB569" s="16" t="s">
        <v>4939</v>
      </c>
      <c r="AC569" s="16" t="s">
        <v>4527</v>
      </c>
      <c r="AD569" s="123" t="str">
        <f t="shared" si="8"/>
        <v>External Transfer-NBE</v>
      </c>
      <c r="AE569" s="123" t="str">
        <f>VLOOKUP(Table1[[#This Row],[Name of bank]],'اكواد البنوك'!$A$2:$B$34,2,0)</f>
        <v>NBEGEGCXXXX</v>
      </c>
      <c r="AF569" s="21" t="s">
        <v>5023</v>
      </c>
      <c r="AG569" s="15" t="s">
        <v>3069</v>
      </c>
    </row>
    <row r="570" spans="1:33">
      <c r="A570" s="14">
        <v>569</v>
      </c>
      <c r="B570" s="14" t="s">
        <v>5024</v>
      </c>
      <c r="C570" s="14" t="e">
        <v>#N/A</v>
      </c>
      <c r="D570" s="15" t="s">
        <v>1855</v>
      </c>
      <c r="E570" s="16" t="s">
        <v>5025</v>
      </c>
      <c r="F570" s="32" t="s">
        <v>5026</v>
      </c>
      <c r="G570" s="17" t="s">
        <v>5027</v>
      </c>
      <c r="H570" s="18" t="s">
        <v>5028</v>
      </c>
      <c r="I570" s="16" t="s">
        <v>3471</v>
      </c>
      <c r="J570" s="16" t="s">
        <v>1845</v>
      </c>
      <c r="K570" s="16" t="s">
        <v>3471</v>
      </c>
      <c r="L570" s="16" t="s">
        <v>5029</v>
      </c>
      <c r="M570" s="16" t="s">
        <v>5029</v>
      </c>
      <c r="N570" s="16">
        <v>29707230101944</v>
      </c>
      <c r="O570" s="16" t="s">
        <v>5030</v>
      </c>
      <c r="P570" s="16" t="s">
        <v>5031</v>
      </c>
      <c r="Q570" s="16" t="s">
        <v>1815</v>
      </c>
      <c r="R570" s="16" t="s">
        <v>3598</v>
      </c>
      <c r="S570" s="19" t="s">
        <v>427</v>
      </c>
      <c r="T570" s="20" t="s">
        <v>341</v>
      </c>
      <c r="U570" s="16" t="s">
        <v>10365</v>
      </c>
      <c r="V570" s="16" t="s">
        <v>427</v>
      </c>
      <c r="W570" s="30" t="s">
        <v>10364</v>
      </c>
      <c r="X570" s="18" t="s">
        <v>542</v>
      </c>
      <c r="Y570" s="18" t="s">
        <v>98</v>
      </c>
      <c r="Z570" s="18" t="s">
        <v>1815</v>
      </c>
      <c r="AA570" s="16" t="s">
        <v>4525</v>
      </c>
      <c r="AB570" s="16" t="s">
        <v>4939</v>
      </c>
      <c r="AC570" s="16" t="s">
        <v>4527</v>
      </c>
      <c r="AD570" s="123" t="str">
        <f t="shared" si="8"/>
        <v>External Transfer-Other banks</v>
      </c>
      <c r="AE570" s="123" t="str">
        <f>VLOOKUP(Table1[[#This Row],[Name of bank]],'اكواد البنوك'!$A$2:$B$34,2,0)</f>
        <v>AGRIEGCXXXX</v>
      </c>
      <c r="AF570" s="21" t="s">
        <v>10366</v>
      </c>
      <c r="AG570" s="15" t="s">
        <v>10381</v>
      </c>
    </row>
    <row r="571" spans="1:33">
      <c r="A571" s="14">
        <v>570</v>
      </c>
      <c r="B571" s="14" t="s">
        <v>5024</v>
      </c>
      <c r="C571" s="14" t="e">
        <v>#N/A</v>
      </c>
      <c r="D571" s="15" t="s">
        <v>1839</v>
      </c>
      <c r="E571" s="16" t="s">
        <v>5032</v>
      </c>
      <c r="F571" s="32" t="s">
        <v>5033</v>
      </c>
      <c r="G571" s="17" t="s">
        <v>5034</v>
      </c>
      <c r="H571" s="18" t="s">
        <v>5035</v>
      </c>
      <c r="I571" s="16" t="s">
        <v>5036</v>
      </c>
      <c r="J571" s="16" t="s">
        <v>86</v>
      </c>
      <c r="K571" s="16" t="s">
        <v>5037</v>
      </c>
      <c r="L571" s="16" t="s">
        <v>5038</v>
      </c>
      <c r="M571" s="16">
        <v>697131262</v>
      </c>
      <c r="N571" s="16" t="s">
        <v>5039</v>
      </c>
      <c r="O571" s="16" t="s">
        <v>5040</v>
      </c>
      <c r="P571" s="16" t="s">
        <v>5041</v>
      </c>
      <c r="Q571" s="16" t="s">
        <v>1815</v>
      </c>
      <c r="R571" s="16" t="s">
        <v>3598</v>
      </c>
      <c r="S571" s="19" t="s">
        <v>5042</v>
      </c>
      <c r="T571" s="20" t="s">
        <v>40</v>
      </c>
      <c r="U571" s="16" t="s">
        <v>3872</v>
      </c>
      <c r="V571" s="16" t="s">
        <v>5043</v>
      </c>
      <c r="W571" s="30" t="s">
        <v>5044</v>
      </c>
      <c r="X571" s="18" t="s">
        <v>542</v>
      </c>
      <c r="Y571" s="18" t="s">
        <v>98</v>
      </c>
      <c r="Z571" s="18" t="s">
        <v>1815</v>
      </c>
      <c r="AA571" s="16" t="s">
        <v>4525</v>
      </c>
      <c r="AB571" s="16" t="s">
        <v>4939</v>
      </c>
      <c r="AC571" s="16" t="s">
        <v>4527</v>
      </c>
      <c r="AD571" s="123" t="str">
        <f t="shared" si="8"/>
        <v>External Transfer-NBE</v>
      </c>
      <c r="AE571" s="123" t="str">
        <f>VLOOKUP(Table1[[#This Row],[Name of bank]],'اكواد البنوك'!$A$2:$B$34,2,0)</f>
        <v>NBEGEGCXXXX</v>
      </c>
      <c r="AF571" s="21" t="s">
        <v>2853</v>
      </c>
      <c r="AG571" s="15" t="s">
        <v>3069</v>
      </c>
    </row>
    <row r="572" spans="1:33">
      <c r="A572" s="14">
        <v>571</v>
      </c>
      <c r="B572" s="14" t="s">
        <v>5024</v>
      </c>
      <c r="C572" s="14" t="s">
        <v>5709</v>
      </c>
      <c r="D572" s="15" t="s">
        <v>1839</v>
      </c>
      <c r="E572" s="16" t="s">
        <v>5045</v>
      </c>
      <c r="F572" s="32" t="s">
        <v>5046</v>
      </c>
      <c r="G572" s="17" t="s">
        <v>5047</v>
      </c>
      <c r="H572" s="18" t="s">
        <v>5048</v>
      </c>
      <c r="I572" s="16" t="s">
        <v>5049</v>
      </c>
      <c r="J572" s="16" t="s">
        <v>86</v>
      </c>
      <c r="K572" s="16" t="s">
        <v>5050</v>
      </c>
      <c r="L572" s="16" t="s">
        <v>5051</v>
      </c>
      <c r="M572" s="16" t="s">
        <v>4273</v>
      </c>
      <c r="N572" s="16" t="s">
        <v>5052</v>
      </c>
      <c r="O572" s="16" t="s">
        <v>5053</v>
      </c>
      <c r="P572" s="16" t="s">
        <v>5054</v>
      </c>
      <c r="Q572" s="16" t="s">
        <v>1815</v>
      </c>
      <c r="R572" s="16" t="s">
        <v>3598</v>
      </c>
      <c r="S572" s="19" t="s">
        <v>5045</v>
      </c>
      <c r="T572" s="20" t="s">
        <v>40</v>
      </c>
      <c r="U572" s="16" t="s">
        <v>5055</v>
      </c>
      <c r="V572" s="16" t="s">
        <v>5056</v>
      </c>
      <c r="W572" s="30" t="s">
        <v>5057</v>
      </c>
      <c r="X572" s="18" t="s">
        <v>542</v>
      </c>
      <c r="Y572" s="18" t="s">
        <v>98</v>
      </c>
      <c r="Z572" s="18" t="s">
        <v>1815</v>
      </c>
      <c r="AA572" s="16" t="s">
        <v>4525</v>
      </c>
      <c r="AB572" s="16" t="s">
        <v>4939</v>
      </c>
      <c r="AC572" s="16" t="s">
        <v>4527</v>
      </c>
      <c r="AD572" s="123" t="str">
        <f t="shared" si="8"/>
        <v>External Transfer-NBE</v>
      </c>
      <c r="AE572" s="123" t="str">
        <f>VLOOKUP(Table1[[#This Row],[Name of bank]],'اكواد البنوك'!$A$2:$B$34,2,0)</f>
        <v>NBEGEGCXXXX</v>
      </c>
      <c r="AF572" s="21" t="s">
        <v>346</v>
      </c>
      <c r="AG572" s="15" t="s">
        <v>3069</v>
      </c>
    </row>
    <row r="573" spans="1:33">
      <c r="A573" s="14">
        <v>572</v>
      </c>
      <c r="B573" s="14" t="s">
        <v>5024</v>
      </c>
      <c r="C573" s="14" t="s">
        <v>5307</v>
      </c>
      <c r="D573" s="15" t="s">
        <v>1839</v>
      </c>
      <c r="E573" s="16" t="s">
        <v>5058</v>
      </c>
      <c r="F573" s="32" t="s">
        <v>5059</v>
      </c>
      <c r="G573" s="17" t="s">
        <v>5060</v>
      </c>
      <c r="H573" s="18" t="s">
        <v>5061</v>
      </c>
      <c r="I573" s="16" t="s">
        <v>5062</v>
      </c>
      <c r="J573" s="16" t="s">
        <v>86</v>
      </c>
      <c r="K573" s="16" t="s">
        <v>5063</v>
      </c>
      <c r="L573" s="16" t="s">
        <v>5064</v>
      </c>
      <c r="M573" s="16">
        <v>259698180</v>
      </c>
      <c r="N573" s="16" t="s">
        <v>5065</v>
      </c>
      <c r="O573" s="16" t="s">
        <v>5066</v>
      </c>
      <c r="P573" s="16" t="s">
        <v>5067</v>
      </c>
      <c r="Q573" s="16" t="s">
        <v>1815</v>
      </c>
      <c r="R573" s="16" t="s">
        <v>3598</v>
      </c>
      <c r="S573" s="19" t="s">
        <v>5068</v>
      </c>
      <c r="T573" s="20" t="s">
        <v>93</v>
      </c>
      <c r="U573" s="16" t="s">
        <v>5069</v>
      </c>
      <c r="V573" s="16" t="s">
        <v>5070</v>
      </c>
      <c r="W573" s="30" t="s">
        <v>5071</v>
      </c>
      <c r="X573" s="18" t="s">
        <v>542</v>
      </c>
      <c r="Y573" s="18" t="s">
        <v>98</v>
      </c>
      <c r="Z573" s="18" t="s">
        <v>1815</v>
      </c>
      <c r="AA573" s="16" t="s">
        <v>4525</v>
      </c>
      <c r="AB573" s="16" t="s">
        <v>4939</v>
      </c>
      <c r="AC573" s="16" t="s">
        <v>4527</v>
      </c>
      <c r="AD573" s="123" t="str">
        <f t="shared" si="8"/>
        <v>External Transfer-Other banks</v>
      </c>
      <c r="AE573" s="123" t="str">
        <f>VLOOKUP(Table1[[#This Row],[Name of bank]],'اكواد البنوك'!$A$2:$B$34,2,0)</f>
        <v>QNBAEGCXXXX</v>
      </c>
      <c r="AF573" s="21" t="s">
        <v>711</v>
      </c>
      <c r="AG573" s="15" t="s">
        <v>3069</v>
      </c>
    </row>
    <row r="574" spans="1:33">
      <c r="A574" s="14">
        <v>573</v>
      </c>
      <c r="B574" s="14" t="s">
        <v>639</v>
      </c>
      <c r="C574" s="14" t="e">
        <v>#N/A</v>
      </c>
      <c r="D574" s="15" t="s">
        <v>1839</v>
      </c>
      <c r="E574" s="16" t="s">
        <v>5072</v>
      </c>
      <c r="F574" s="32" t="s">
        <v>5073</v>
      </c>
      <c r="G574" s="17" t="s">
        <v>5074</v>
      </c>
      <c r="H574" s="18">
        <v>201009840266</v>
      </c>
      <c r="I574" s="16" t="s">
        <v>5075</v>
      </c>
      <c r="J574" s="16" t="s">
        <v>86</v>
      </c>
      <c r="K574" s="16" t="s">
        <v>106</v>
      </c>
      <c r="L574" s="16">
        <v>53523956</v>
      </c>
      <c r="M574" s="16" t="s">
        <v>5076</v>
      </c>
      <c r="N574" s="16" t="s">
        <v>5077</v>
      </c>
      <c r="O574" s="16" t="s">
        <v>5078</v>
      </c>
      <c r="P574" s="16" t="s">
        <v>5079</v>
      </c>
      <c r="Q574" s="16" t="s">
        <v>1815</v>
      </c>
      <c r="R574" s="16" t="s">
        <v>3598</v>
      </c>
      <c r="S574" s="19" t="s">
        <v>5072</v>
      </c>
      <c r="T574" s="20" t="s">
        <v>908</v>
      </c>
      <c r="U574" s="16" t="s">
        <v>5080</v>
      </c>
      <c r="V574" s="16" t="s">
        <v>5081</v>
      </c>
      <c r="W574" s="30" t="s">
        <v>5082</v>
      </c>
      <c r="X574" s="18" t="s">
        <v>2096</v>
      </c>
      <c r="Y574" s="18" t="s">
        <v>98</v>
      </c>
      <c r="Z574" s="18" t="s">
        <v>1815</v>
      </c>
      <c r="AA574" s="16" t="s">
        <v>4525</v>
      </c>
      <c r="AB574" s="16" t="s">
        <v>4939</v>
      </c>
      <c r="AC574" s="16" t="s">
        <v>4527</v>
      </c>
      <c r="AD574" s="123" t="str">
        <f t="shared" si="8"/>
        <v>External Transfer-Other banks</v>
      </c>
      <c r="AE574" s="123" t="str">
        <f>VLOOKUP(Table1[[#This Row],[Name of bank]],'اكواد البنوك'!$A$2:$B$34,2,0)</f>
        <v>ARAIEGCXXXX</v>
      </c>
      <c r="AF574" s="21" t="s">
        <v>1022</v>
      </c>
      <c r="AG574" s="15" t="s">
        <v>3069</v>
      </c>
    </row>
    <row r="575" spans="1:33">
      <c r="A575" s="14">
        <v>574</v>
      </c>
      <c r="B575" s="14" t="s">
        <v>5083</v>
      </c>
      <c r="C575" s="14" t="e">
        <v>#N/A</v>
      </c>
      <c r="D575" s="15" t="s">
        <v>1839</v>
      </c>
      <c r="E575" s="16" t="s">
        <v>5084</v>
      </c>
      <c r="F575" s="32" t="s">
        <v>5085</v>
      </c>
      <c r="G575" s="17" t="s">
        <v>5086</v>
      </c>
      <c r="H575" s="18" t="s">
        <v>5087</v>
      </c>
      <c r="I575" s="16" t="s">
        <v>5088</v>
      </c>
      <c r="J575" s="16" t="s">
        <v>86</v>
      </c>
      <c r="K575" s="16" t="s">
        <v>5089</v>
      </c>
      <c r="L575" s="16" t="s">
        <v>5090</v>
      </c>
      <c r="M575" s="16" t="s">
        <v>136</v>
      </c>
      <c r="N575" s="16" t="s">
        <v>5091</v>
      </c>
      <c r="O575" s="16" t="s">
        <v>5092</v>
      </c>
      <c r="P575" s="16" t="s">
        <v>5093</v>
      </c>
      <c r="Q575" s="16" t="s">
        <v>1815</v>
      </c>
      <c r="R575" s="16" t="s">
        <v>3598</v>
      </c>
      <c r="S575" s="19" t="s">
        <v>5094</v>
      </c>
      <c r="T575" s="20" t="s">
        <v>307</v>
      </c>
      <c r="U575" s="16" t="s">
        <v>2068</v>
      </c>
      <c r="V575" s="16" t="s">
        <v>5095</v>
      </c>
      <c r="W575" s="30" t="s">
        <v>5096</v>
      </c>
      <c r="X575" s="18" t="s">
        <v>542</v>
      </c>
      <c r="Y575" s="18" t="s">
        <v>98</v>
      </c>
      <c r="Z575" s="18" t="s">
        <v>1815</v>
      </c>
      <c r="AA575" s="16" t="s">
        <v>4525</v>
      </c>
      <c r="AB575" s="16" t="s">
        <v>4939</v>
      </c>
      <c r="AC575" s="16" t="s">
        <v>4527</v>
      </c>
      <c r="AD575" s="123" t="str">
        <f t="shared" si="8"/>
        <v>External Transfer-Other banks</v>
      </c>
      <c r="AE575" s="123" t="str">
        <f>VLOOKUP(Table1[[#This Row],[Name of bank]],'اكواد البنوك'!$A$2:$B$34,2,0)</f>
        <v>CIBEEGCXXXX</v>
      </c>
      <c r="AF575" s="21" t="s">
        <v>5097</v>
      </c>
      <c r="AG575" s="15" t="s">
        <v>10381</v>
      </c>
    </row>
    <row r="576" spans="1:33">
      <c r="A576" s="14">
        <v>575</v>
      </c>
      <c r="B576" s="14" t="s">
        <v>5083</v>
      </c>
      <c r="C576" s="14" t="s">
        <v>6309</v>
      </c>
      <c r="D576" s="15" t="s">
        <v>1839</v>
      </c>
      <c r="E576" s="16" t="s">
        <v>5098</v>
      </c>
      <c r="F576" s="32" t="s">
        <v>5099</v>
      </c>
      <c r="G576" s="17" t="s">
        <v>5100</v>
      </c>
      <c r="H576" s="18" t="s">
        <v>5101</v>
      </c>
      <c r="I576" s="16" t="s">
        <v>5102</v>
      </c>
      <c r="J576" s="16" t="s">
        <v>2035</v>
      </c>
      <c r="K576" s="16" t="s">
        <v>1206</v>
      </c>
      <c r="L576" s="16" t="s">
        <v>5103</v>
      </c>
      <c r="M576" s="16" t="s">
        <v>136</v>
      </c>
      <c r="N576" s="16" t="s">
        <v>5104</v>
      </c>
      <c r="O576" s="16" t="s">
        <v>5105</v>
      </c>
      <c r="P576" s="16" t="s">
        <v>5106</v>
      </c>
      <c r="Q576" s="16" t="s">
        <v>1815</v>
      </c>
      <c r="R576" s="16" t="s">
        <v>3598</v>
      </c>
      <c r="S576" s="19" t="s">
        <v>5107</v>
      </c>
      <c r="T576" s="20" t="s">
        <v>176</v>
      </c>
      <c r="U576" s="16" t="s">
        <v>4824</v>
      </c>
      <c r="V576" s="16" t="s">
        <v>5108</v>
      </c>
      <c r="W576" s="30" t="s">
        <v>5109</v>
      </c>
      <c r="X576" s="18" t="s">
        <v>542</v>
      </c>
      <c r="Y576" s="18" t="s">
        <v>98</v>
      </c>
      <c r="Z576" s="18" t="s">
        <v>1815</v>
      </c>
      <c r="AA576" s="16" t="s">
        <v>4525</v>
      </c>
      <c r="AB576" s="16" t="s">
        <v>4939</v>
      </c>
      <c r="AC576" s="16" t="s">
        <v>4527</v>
      </c>
      <c r="AD576" s="123" t="str">
        <f t="shared" si="8"/>
        <v>External Transfer-Other banks</v>
      </c>
      <c r="AE576" s="123" t="str">
        <f>VLOOKUP(Table1[[#This Row],[Name of bank]],'اكواد البنوك'!$A$2:$B$34,2,0)</f>
        <v>BMISEGCXXXX</v>
      </c>
      <c r="AF576" s="21" t="s">
        <v>5110</v>
      </c>
      <c r="AG576" s="15" t="s">
        <v>3069</v>
      </c>
    </row>
    <row r="577" spans="1:33">
      <c r="A577" s="14">
        <v>576</v>
      </c>
      <c r="B577" s="14" t="s">
        <v>5083</v>
      </c>
      <c r="C577" s="14" t="e">
        <v>#N/A</v>
      </c>
      <c r="D577" s="15" t="s">
        <v>1839</v>
      </c>
      <c r="E577" s="16" t="s">
        <v>5111</v>
      </c>
      <c r="F577" s="32" t="s">
        <v>10076</v>
      </c>
      <c r="G577" s="17" t="s">
        <v>5112</v>
      </c>
      <c r="H577" s="18" t="s">
        <v>5113</v>
      </c>
      <c r="I577" s="16" t="s">
        <v>5114</v>
      </c>
      <c r="J577" s="16" t="s">
        <v>2035</v>
      </c>
      <c r="K577" s="16" t="s">
        <v>5115</v>
      </c>
      <c r="L577" s="16" t="s">
        <v>5116</v>
      </c>
      <c r="M577" s="16" t="s">
        <v>234</v>
      </c>
      <c r="N577" s="16" t="s">
        <v>5117</v>
      </c>
      <c r="O577" s="16" t="s">
        <v>5118</v>
      </c>
      <c r="P577" s="16" t="s">
        <v>5119</v>
      </c>
      <c r="Q577" s="16" t="s">
        <v>1815</v>
      </c>
      <c r="R577" s="16" t="s">
        <v>3598</v>
      </c>
      <c r="S577" s="19" t="s">
        <v>5120</v>
      </c>
      <c r="T577" s="20" t="s">
        <v>1914</v>
      </c>
      <c r="U577" s="16" t="s">
        <v>5121</v>
      </c>
      <c r="V577" s="16" t="s">
        <v>5122</v>
      </c>
      <c r="W577" s="30" t="s">
        <v>5123</v>
      </c>
      <c r="X577" s="18" t="s">
        <v>542</v>
      </c>
      <c r="Y577" s="18" t="s">
        <v>98</v>
      </c>
      <c r="Z577" s="18" t="s">
        <v>1815</v>
      </c>
      <c r="AA577" s="16" t="s">
        <v>4525</v>
      </c>
      <c r="AB577" s="16" t="s">
        <v>4939</v>
      </c>
      <c r="AC577" s="16" t="s">
        <v>4527</v>
      </c>
      <c r="AD577" s="123" t="str">
        <f t="shared" si="8"/>
        <v>External Transfer-Other banks</v>
      </c>
      <c r="AE577" s="123" t="str">
        <f>VLOOKUP(Table1[[#This Row],[Name of bank]],'اكواد البنوك'!$A$2:$B$34,2,0)</f>
        <v>MSHQEGCAXXX</v>
      </c>
      <c r="AF577" s="21" t="s">
        <v>3040</v>
      </c>
      <c r="AG577" s="15" t="s">
        <v>3069</v>
      </c>
    </row>
    <row r="578" spans="1:33">
      <c r="A578" s="14">
        <v>577</v>
      </c>
      <c r="B578" s="14" t="s">
        <v>5083</v>
      </c>
      <c r="C578" s="14" t="s">
        <v>9989</v>
      </c>
      <c r="D578" s="15" t="s">
        <v>1839</v>
      </c>
      <c r="E578" s="16" t="s">
        <v>5124</v>
      </c>
      <c r="F578" s="32" t="s">
        <v>10090</v>
      </c>
      <c r="G578" s="17" t="s">
        <v>5125</v>
      </c>
      <c r="H578" s="18" t="s">
        <v>5126</v>
      </c>
      <c r="I578" s="16" t="s">
        <v>5127</v>
      </c>
      <c r="J578" s="16" t="s">
        <v>173</v>
      </c>
      <c r="K578" s="16" t="s">
        <v>5128</v>
      </c>
      <c r="L578" s="16" t="s">
        <v>5129</v>
      </c>
      <c r="M578" s="16" t="s">
        <v>136</v>
      </c>
      <c r="N578" s="16" t="s">
        <v>5130</v>
      </c>
      <c r="O578" s="16" t="s">
        <v>5131</v>
      </c>
      <c r="P578" s="16" t="s">
        <v>5132</v>
      </c>
      <c r="Q578" s="16" t="s">
        <v>1815</v>
      </c>
      <c r="R578" s="16" t="s">
        <v>3598</v>
      </c>
      <c r="S578" s="19" t="s">
        <v>5133</v>
      </c>
      <c r="T578" s="20" t="s">
        <v>40</v>
      </c>
      <c r="U578" s="16" t="s">
        <v>5134</v>
      </c>
      <c r="V578" s="16" t="s">
        <v>5135</v>
      </c>
      <c r="W578" s="30" t="s">
        <v>5136</v>
      </c>
      <c r="X578" s="18" t="s">
        <v>542</v>
      </c>
      <c r="Y578" s="18" t="s">
        <v>98</v>
      </c>
      <c r="Z578" s="18" t="s">
        <v>1815</v>
      </c>
      <c r="AA578" s="16" t="s">
        <v>4525</v>
      </c>
      <c r="AB578" s="16" t="s">
        <v>4939</v>
      </c>
      <c r="AC578" s="16" t="s">
        <v>4527</v>
      </c>
      <c r="AD578" s="123" t="str">
        <f t="shared" ref="AD578:AD641" si="9">IF(ISNUMBER(SEARCH("EXTERNAL CASH",T578)),
   "EXTERNAL CASH",
   IF(ISNUMBER(SEARCH("شيك من القاهرة",T578)),
      "FUE",
      IF(ISNUMBER(SEARCH("INTERNAL CASH",T578)),
         "INTRNAL CASH",
         IF(Y578="IP",
            "Internal Transfer",
            IF(ISNUMBER(SEARCH("National Bank of Egypt",T578)),
               "External Transfer-NBE",
               "External Transfer-Other banks"
            )
         )
      )
   )
)</f>
        <v>External Transfer-NBE</v>
      </c>
      <c r="AE578" s="123" t="str">
        <f>VLOOKUP(Table1[[#This Row],[Name of bank]],'اكواد البنوك'!$A$2:$B$34,2,0)</f>
        <v>NBEGEGCXXXX</v>
      </c>
      <c r="AF578" s="21" t="s">
        <v>5137</v>
      </c>
      <c r="AG578" s="15" t="s">
        <v>3069</v>
      </c>
    </row>
    <row r="579" spans="1:33">
      <c r="A579" s="14">
        <v>578</v>
      </c>
      <c r="B579" s="14" t="s">
        <v>73</v>
      </c>
      <c r="C579" s="14" t="s">
        <v>73</v>
      </c>
      <c r="D579" s="15" t="s">
        <v>1718</v>
      </c>
      <c r="E579" s="16" t="s">
        <v>5138</v>
      </c>
      <c r="F579" s="32" t="s">
        <v>5139</v>
      </c>
      <c r="G579" s="17" t="s">
        <v>5140</v>
      </c>
      <c r="H579" s="18" t="s">
        <v>5141</v>
      </c>
      <c r="I579" s="16" t="s">
        <v>1718</v>
      </c>
      <c r="J579" s="16" t="e">
        <v>#N/A</v>
      </c>
      <c r="K579" s="16" t="e">
        <v>#N/A</v>
      </c>
      <c r="L579" s="16" t="e">
        <v>#N/A</v>
      </c>
      <c r="M579" s="16" t="e">
        <v>#N/A</v>
      </c>
      <c r="N579" s="16" t="s">
        <v>1718</v>
      </c>
      <c r="O579" s="16" t="s">
        <v>1718</v>
      </c>
      <c r="P579" s="16"/>
      <c r="Q579" s="16"/>
      <c r="R579" s="16"/>
      <c r="S579" s="19"/>
      <c r="T579" s="20" t="s">
        <v>40</v>
      </c>
      <c r="U579" s="16"/>
      <c r="V579" s="16"/>
      <c r="W579" s="30" t="s">
        <v>1718</v>
      </c>
      <c r="X579" s="18" t="s">
        <v>78</v>
      </c>
      <c r="Y579" s="18" t="s">
        <v>43</v>
      </c>
      <c r="Z579" s="18" t="s">
        <v>1815</v>
      </c>
      <c r="AA579" s="16" t="s">
        <v>4525</v>
      </c>
      <c r="AB579" s="16" t="s">
        <v>4939</v>
      </c>
      <c r="AC579" s="16" t="s">
        <v>4527</v>
      </c>
      <c r="AD579" s="123" t="str">
        <f t="shared" si="9"/>
        <v>Internal Transfer</v>
      </c>
      <c r="AE579" s="123" t="str">
        <f>VLOOKUP(Table1[[#This Row],[Name of bank]],'اكواد البنوك'!$A$2:$B$34,2,0)</f>
        <v>NBEGEGCXXXX</v>
      </c>
      <c r="AF579" s="30" t="s">
        <v>1718</v>
      </c>
      <c r="AG579" s="15" t="s">
        <v>3069</v>
      </c>
    </row>
    <row r="580" spans="1:33">
      <c r="A580" s="14">
        <v>579</v>
      </c>
      <c r="B580" s="14" t="s">
        <v>73</v>
      </c>
      <c r="C580" s="14" t="e">
        <v>#N/A</v>
      </c>
      <c r="D580" s="15" t="s">
        <v>1839</v>
      </c>
      <c r="E580" s="16" t="s">
        <v>5142</v>
      </c>
      <c r="F580" s="32" t="s">
        <v>10153</v>
      </c>
      <c r="G580" s="17" t="s">
        <v>5143</v>
      </c>
      <c r="H580" s="18" t="s">
        <v>5144</v>
      </c>
      <c r="I580" s="16" t="s">
        <v>5145</v>
      </c>
      <c r="J580" s="16" t="s">
        <v>86</v>
      </c>
      <c r="K580" s="16" t="s">
        <v>5146</v>
      </c>
      <c r="L580" s="16" t="s">
        <v>5147</v>
      </c>
      <c r="M580" s="16">
        <v>730699250</v>
      </c>
      <c r="N580" s="16" t="s">
        <v>5148</v>
      </c>
      <c r="O580" s="16" t="s">
        <v>5149</v>
      </c>
      <c r="P580" s="16" t="s">
        <v>5150</v>
      </c>
      <c r="Q580" s="16" t="s">
        <v>1815</v>
      </c>
      <c r="R580" s="16" t="s">
        <v>3598</v>
      </c>
      <c r="S580" s="19" t="s">
        <v>5151</v>
      </c>
      <c r="T580" s="20" t="s">
        <v>176</v>
      </c>
      <c r="U580" s="16" t="s">
        <v>5152</v>
      </c>
      <c r="V580" s="16" t="s">
        <v>5153</v>
      </c>
      <c r="W580" s="30" t="s">
        <v>5154</v>
      </c>
      <c r="X580" s="18" t="s">
        <v>2096</v>
      </c>
      <c r="Y580" s="18" t="s">
        <v>98</v>
      </c>
      <c r="Z580" s="18" t="s">
        <v>1815</v>
      </c>
      <c r="AA580" s="16" t="s">
        <v>4525</v>
      </c>
      <c r="AB580" s="16" t="s">
        <v>4939</v>
      </c>
      <c r="AC580" s="16" t="s">
        <v>4527</v>
      </c>
      <c r="AD580" s="123" t="str">
        <f t="shared" si="9"/>
        <v>External Transfer-Other banks</v>
      </c>
      <c r="AE580" s="123" t="str">
        <f>VLOOKUP(Table1[[#This Row],[Name of bank]],'اكواد البنوك'!$A$2:$B$34,2,0)</f>
        <v>BMISEGCXXXX</v>
      </c>
      <c r="AF580" s="21" t="s">
        <v>5155</v>
      </c>
      <c r="AG580" s="15" t="s">
        <v>3069</v>
      </c>
    </row>
    <row r="581" spans="1:33">
      <c r="A581" s="14">
        <v>580</v>
      </c>
      <c r="B581" s="14" t="s">
        <v>73</v>
      </c>
      <c r="C581" s="14" t="s">
        <v>73</v>
      </c>
      <c r="D581" s="15" t="s">
        <v>1855</v>
      </c>
      <c r="E581" s="16" t="s">
        <v>5156</v>
      </c>
      <c r="F581" s="32" t="s">
        <v>5157</v>
      </c>
      <c r="G581" s="17" t="s">
        <v>5158</v>
      </c>
      <c r="H581" s="18">
        <v>201061893853</v>
      </c>
      <c r="I581" s="16" t="s">
        <v>3471</v>
      </c>
      <c r="J581" s="16" t="s">
        <v>173</v>
      </c>
      <c r="K581" s="16" t="s">
        <v>148</v>
      </c>
      <c r="L581" s="16" t="s">
        <v>136</v>
      </c>
      <c r="M581" s="16" t="s">
        <v>136</v>
      </c>
      <c r="N581" s="16">
        <v>29107230105365</v>
      </c>
      <c r="O581" s="16" t="s">
        <v>5159</v>
      </c>
      <c r="P581" s="16" t="s">
        <v>5160</v>
      </c>
      <c r="Q581" s="16" t="s">
        <v>1815</v>
      </c>
      <c r="R581" s="16" t="s">
        <v>3598</v>
      </c>
      <c r="S581" s="39" t="s">
        <v>10280</v>
      </c>
      <c r="T581" s="39" t="s">
        <v>176</v>
      </c>
      <c r="U581" s="39" t="s">
        <v>10281</v>
      </c>
      <c r="V581" s="58" t="s">
        <v>10282</v>
      </c>
      <c r="W581" s="122" t="s">
        <v>10283</v>
      </c>
      <c r="X581" s="18" t="s">
        <v>97</v>
      </c>
      <c r="Y581" s="18" t="s">
        <v>98</v>
      </c>
      <c r="Z581" s="18" t="s">
        <v>1815</v>
      </c>
      <c r="AA581" s="16" t="s">
        <v>4525</v>
      </c>
      <c r="AB581" s="16" t="s">
        <v>4939</v>
      </c>
      <c r="AC581" s="16" t="s">
        <v>4527</v>
      </c>
      <c r="AD581" s="123" t="str">
        <f t="shared" si="9"/>
        <v>External Transfer-Other banks</v>
      </c>
      <c r="AE581" s="123" t="str">
        <f>VLOOKUP(Table1[[#This Row],[Name of bank]],'اكواد البنوك'!$A$2:$B$34,2,0)</f>
        <v>BMISEGCXXXX</v>
      </c>
      <c r="AF581" s="114" t="s">
        <v>10374</v>
      </c>
      <c r="AG581" s="15" t="s">
        <v>10381</v>
      </c>
    </row>
    <row r="582" spans="1:33">
      <c r="A582" s="14">
        <v>581</v>
      </c>
      <c r="B582" s="14" t="s">
        <v>5163</v>
      </c>
      <c r="C582" s="14" t="s">
        <v>6021</v>
      </c>
      <c r="D582" s="15" t="s">
        <v>1839</v>
      </c>
      <c r="E582" s="16" t="s">
        <v>5164</v>
      </c>
      <c r="F582" s="32" t="s">
        <v>5165</v>
      </c>
      <c r="G582" s="17" t="s">
        <v>5166</v>
      </c>
      <c r="H582" s="18" t="s">
        <v>5167</v>
      </c>
      <c r="I582" s="16" t="s">
        <v>5168</v>
      </c>
      <c r="J582" s="16" t="s">
        <v>86</v>
      </c>
      <c r="K582" s="16" t="s">
        <v>5063</v>
      </c>
      <c r="L582" s="16" t="s">
        <v>5169</v>
      </c>
      <c r="M582" s="16" t="s">
        <v>234</v>
      </c>
      <c r="N582" s="16" t="s">
        <v>5170</v>
      </c>
      <c r="O582" s="16" t="s">
        <v>5171</v>
      </c>
      <c r="P582" s="16" t="s">
        <v>5172</v>
      </c>
      <c r="Q582" s="16" t="s">
        <v>1815</v>
      </c>
      <c r="R582" s="16" t="s">
        <v>3598</v>
      </c>
      <c r="S582" s="19" t="s">
        <v>5173</v>
      </c>
      <c r="T582" s="20" t="s">
        <v>40</v>
      </c>
      <c r="U582" s="16" t="s">
        <v>5174</v>
      </c>
      <c r="V582" s="16" t="s">
        <v>5175</v>
      </c>
      <c r="W582" s="30" t="s">
        <v>5176</v>
      </c>
      <c r="X582" s="18" t="s">
        <v>542</v>
      </c>
      <c r="Y582" s="18" t="s">
        <v>98</v>
      </c>
      <c r="Z582" s="18" t="s">
        <v>1815</v>
      </c>
      <c r="AA582" s="16" t="s">
        <v>4525</v>
      </c>
      <c r="AB582" s="16" t="s">
        <v>4939</v>
      </c>
      <c r="AC582" s="16" t="s">
        <v>4527</v>
      </c>
      <c r="AD582" s="123" t="str">
        <f t="shared" si="9"/>
        <v>External Transfer-NBE</v>
      </c>
      <c r="AE582" s="123" t="str">
        <f>VLOOKUP(Table1[[#This Row],[Name of bank]],'اكواد البنوك'!$A$2:$B$34,2,0)</f>
        <v>NBEGEGCXXXX</v>
      </c>
      <c r="AF582" s="21" t="s">
        <v>2378</v>
      </c>
      <c r="AG582" s="15" t="s">
        <v>10381</v>
      </c>
    </row>
    <row r="583" spans="1:33">
      <c r="A583" s="14">
        <v>582</v>
      </c>
      <c r="B583" s="14" t="s">
        <v>5163</v>
      </c>
      <c r="C583" s="14" t="e">
        <v>#N/A</v>
      </c>
      <c r="D583" s="15" t="s">
        <v>1839</v>
      </c>
      <c r="E583" s="16" t="s">
        <v>5177</v>
      </c>
      <c r="F583" s="32" t="s">
        <v>5178</v>
      </c>
      <c r="G583" s="17" t="s">
        <v>5179</v>
      </c>
      <c r="H583" s="18" t="s">
        <v>5180</v>
      </c>
      <c r="I583" s="16" t="s">
        <v>5181</v>
      </c>
      <c r="J583" s="16" t="s">
        <v>173</v>
      </c>
      <c r="K583" s="16" t="s">
        <v>5182</v>
      </c>
      <c r="L583" s="16" t="s">
        <v>5183</v>
      </c>
      <c r="M583" s="16" t="s">
        <v>3976</v>
      </c>
      <c r="N583" s="16" t="s">
        <v>5184</v>
      </c>
      <c r="O583" s="16" t="s">
        <v>5185</v>
      </c>
      <c r="P583" s="16" t="s">
        <v>5186</v>
      </c>
      <c r="Q583" s="16" t="s">
        <v>1815</v>
      </c>
      <c r="R583" s="16" t="s">
        <v>3598</v>
      </c>
      <c r="S583" s="19" t="s">
        <v>5187</v>
      </c>
      <c r="T583" s="20" t="s">
        <v>176</v>
      </c>
      <c r="U583" s="16" t="s">
        <v>5188</v>
      </c>
      <c r="V583" s="16" t="s">
        <v>5189</v>
      </c>
      <c r="W583" s="30" t="s">
        <v>5190</v>
      </c>
      <c r="X583" s="18" t="s">
        <v>542</v>
      </c>
      <c r="Y583" s="18" t="s">
        <v>98</v>
      </c>
      <c r="Z583" s="18" t="s">
        <v>1815</v>
      </c>
      <c r="AA583" s="16" t="s">
        <v>4525</v>
      </c>
      <c r="AB583" s="16" t="s">
        <v>4939</v>
      </c>
      <c r="AC583" s="16" t="s">
        <v>4527</v>
      </c>
      <c r="AD583" s="123" t="str">
        <f t="shared" si="9"/>
        <v>External Transfer-Other banks</v>
      </c>
      <c r="AE583" s="123" t="str">
        <f>VLOOKUP(Table1[[#This Row],[Name of bank]],'اكواد البنوك'!$A$2:$B$34,2,0)</f>
        <v>BMISEGCXXXX</v>
      </c>
      <c r="AF583" s="21" t="s">
        <v>5191</v>
      </c>
      <c r="AG583" s="15" t="s">
        <v>3069</v>
      </c>
    </row>
    <row r="584" spans="1:33">
      <c r="A584" s="14">
        <v>583</v>
      </c>
      <c r="B584" s="14" t="s">
        <v>5163</v>
      </c>
      <c r="C584" s="14" t="e">
        <v>#N/A</v>
      </c>
      <c r="D584" s="15" t="s">
        <v>1839</v>
      </c>
      <c r="E584" s="16" t="s">
        <v>5192</v>
      </c>
      <c r="F584" s="32" t="s">
        <v>5201</v>
      </c>
      <c r="G584" s="17" t="s">
        <v>5193</v>
      </c>
      <c r="H584" s="18" t="s">
        <v>5194</v>
      </c>
      <c r="I584" s="16" t="s">
        <v>5195</v>
      </c>
      <c r="J584" s="16" t="s">
        <v>86</v>
      </c>
      <c r="K584" s="16" t="s">
        <v>5196</v>
      </c>
      <c r="L584" s="16" t="s">
        <v>5197</v>
      </c>
      <c r="M584" s="16" t="s">
        <v>234</v>
      </c>
      <c r="N584" s="16" t="s">
        <v>5198</v>
      </c>
      <c r="O584" s="16" t="s">
        <v>5199</v>
      </c>
      <c r="P584" s="16" t="s">
        <v>5200</v>
      </c>
      <c r="Q584" s="16" t="s">
        <v>1815</v>
      </c>
      <c r="R584" s="16" t="s">
        <v>3598</v>
      </c>
      <c r="S584" s="19" t="s">
        <v>5201</v>
      </c>
      <c r="T584" s="20" t="s">
        <v>40</v>
      </c>
      <c r="U584" s="16" t="s">
        <v>5202</v>
      </c>
      <c r="V584" s="16" t="s">
        <v>5203</v>
      </c>
      <c r="W584" s="30" t="s">
        <v>5204</v>
      </c>
      <c r="X584" s="18" t="s">
        <v>542</v>
      </c>
      <c r="Y584" s="18" t="s">
        <v>98</v>
      </c>
      <c r="Z584" s="18" t="s">
        <v>1815</v>
      </c>
      <c r="AA584" s="16" t="s">
        <v>4525</v>
      </c>
      <c r="AB584" s="16" t="s">
        <v>4939</v>
      </c>
      <c r="AC584" s="16" t="s">
        <v>4527</v>
      </c>
      <c r="AD584" s="123" t="str">
        <f t="shared" si="9"/>
        <v>External Transfer-NBE</v>
      </c>
      <c r="AE584" s="123" t="str">
        <f>VLOOKUP(Table1[[#This Row],[Name of bank]],'اكواد البنوك'!$A$2:$B$34,2,0)</f>
        <v>NBEGEGCXXXX</v>
      </c>
      <c r="AF584" s="21" t="s">
        <v>2610</v>
      </c>
      <c r="AG584" s="15" t="s">
        <v>3069</v>
      </c>
    </row>
    <row r="585" spans="1:33">
      <c r="A585" s="14">
        <v>584</v>
      </c>
      <c r="B585" s="14" t="s">
        <v>5163</v>
      </c>
      <c r="C585" s="14" t="s">
        <v>5163</v>
      </c>
      <c r="D585" s="15" t="s">
        <v>1839</v>
      </c>
      <c r="E585" s="16" t="s">
        <v>5205</v>
      </c>
      <c r="F585" s="32" t="s">
        <v>5206</v>
      </c>
      <c r="G585" s="17" t="s">
        <v>5207</v>
      </c>
      <c r="H585" s="18" t="s">
        <v>5208</v>
      </c>
      <c r="I585" s="16" t="s">
        <v>5209</v>
      </c>
      <c r="J585" s="16" t="s">
        <v>86</v>
      </c>
      <c r="K585" s="16" t="s">
        <v>5210</v>
      </c>
      <c r="L585" s="16" t="s">
        <v>5211</v>
      </c>
      <c r="M585" s="16" t="s">
        <v>5212</v>
      </c>
      <c r="N585" s="16" t="s">
        <v>5213</v>
      </c>
      <c r="O585" s="16" t="s">
        <v>5214</v>
      </c>
      <c r="P585" s="16" t="s">
        <v>5215</v>
      </c>
      <c r="Q585" s="16" t="s">
        <v>1815</v>
      </c>
      <c r="R585" s="16" t="s">
        <v>3598</v>
      </c>
      <c r="S585" s="19" t="s">
        <v>5216</v>
      </c>
      <c r="T585" s="20" t="s">
        <v>40</v>
      </c>
      <c r="U585" s="16" t="s">
        <v>5217</v>
      </c>
      <c r="V585" s="16" t="s">
        <v>5218</v>
      </c>
      <c r="W585" s="30" t="s">
        <v>5219</v>
      </c>
      <c r="X585" s="18" t="s">
        <v>542</v>
      </c>
      <c r="Y585" s="18" t="s">
        <v>98</v>
      </c>
      <c r="Z585" s="18" t="s">
        <v>1815</v>
      </c>
      <c r="AA585" s="16" t="s">
        <v>4525</v>
      </c>
      <c r="AB585" s="16" t="s">
        <v>4939</v>
      </c>
      <c r="AC585" s="16" t="s">
        <v>4527</v>
      </c>
      <c r="AD585" s="123" t="str">
        <f t="shared" si="9"/>
        <v>External Transfer-NBE</v>
      </c>
      <c r="AE585" s="123" t="str">
        <f>VLOOKUP(Table1[[#This Row],[Name of bank]],'اكواد البنوك'!$A$2:$B$34,2,0)</f>
        <v>NBEGEGCXXXX</v>
      </c>
      <c r="AF585" s="21" t="s">
        <v>4965</v>
      </c>
      <c r="AG585" s="15" t="s">
        <v>3069</v>
      </c>
    </row>
    <row r="586" spans="1:33">
      <c r="A586" s="14">
        <v>585</v>
      </c>
      <c r="B586" s="14" t="s">
        <v>5163</v>
      </c>
      <c r="C586" s="14" t="s">
        <v>6257</v>
      </c>
      <c r="D586" s="15" t="s">
        <v>1839</v>
      </c>
      <c r="E586" s="16" t="s">
        <v>5220</v>
      </c>
      <c r="F586" s="32" t="s">
        <v>5221</v>
      </c>
      <c r="G586" s="17" t="s">
        <v>5222</v>
      </c>
      <c r="H586" s="18" t="s">
        <v>5223</v>
      </c>
      <c r="I586" s="16" t="s">
        <v>5224</v>
      </c>
      <c r="J586" s="16" t="s">
        <v>86</v>
      </c>
      <c r="K586" s="16" t="s">
        <v>5225</v>
      </c>
      <c r="L586" s="16" t="s">
        <v>5226</v>
      </c>
      <c r="M586" s="16" t="s">
        <v>5227</v>
      </c>
      <c r="N586" s="16" t="s">
        <v>5228</v>
      </c>
      <c r="O586" s="16" t="s">
        <v>5229</v>
      </c>
      <c r="P586" s="16" t="s">
        <v>5230</v>
      </c>
      <c r="Q586" s="16" t="s">
        <v>1815</v>
      </c>
      <c r="R586" s="16" t="s">
        <v>3598</v>
      </c>
      <c r="S586" s="19" t="s">
        <v>5231</v>
      </c>
      <c r="T586" s="20" t="s">
        <v>176</v>
      </c>
      <c r="U586" s="16" t="s">
        <v>2529</v>
      </c>
      <c r="V586" s="16" t="s">
        <v>5232</v>
      </c>
      <c r="W586" s="30" t="s">
        <v>5233</v>
      </c>
      <c r="X586" s="18" t="s">
        <v>542</v>
      </c>
      <c r="Y586" s="18" t="s">
        <v>98</v>
      </c>
      <c r="Z586" s="18" t="s">
        <v>1815</v>
      </c>
      <c r="AA586" s="16" t="s">
        <v>4525</v>
      </c>
      <c r="AB586" s="16" t="s">
        <v>4939</v>
      </c>
      <c r="AC586" s="16" t="s">
        <v>4527</v>
      </c>
      <c r="AD586" s="123" t="str">
        <f t="shared" si="9"/>
        <v>External Transfer-Other banks</v>
      </c>
      <c r="AE586" s="123" t="str">
        <f>VLOOKUP(Table1[[#This Row],[Name of bank]],'اكواد البنوك'!$A$2:$B$34,2,0)</f>
        <v>BMISEGCXXXX</v>
      </c>
      <c r="AF586" s="21" t="s">
        <v>5234</v>
      </c>
      <c r="AG586" s="15" t="s">
        <v>3069</v>
      </c>
    </row>
    <row r="587" spans="1:33">
      <c r="A587" s="14">
        <v>586</v>
      </c>
      <c r="B587" s="14" t="s">
        <v>5235</v>
      </c>
      <c r="C587" s="14" t="s">
        <v>6069</v>
      </c>
      <c r="D587" s="15" t="s">
        <v>1839</v>
      </c>
      <c r="E587" s="16" t="s">
        <v>5236</v>
      </c>
      <c r="F587" s="32" t="s">
        <v>10184</v>
      </c>
      <c r="G587" s="17" t="s">
        <v>5237</v>
      </c>
      <c r="H587" s="18" t="s">
        <v>5238</v>
      </c>
      <c r="I587" s="16" t="s">
        <v>5239</v>
      </c>
      <c r="J587" s="16" t="s">
        <v>86</v>
      </c>
      <c r="K587" s="16" t="s">
        <v>5240</v>
      </c>
      <c r="L587" s="16" t="s">
        <v>5241</v>
      </c>
      <c r="M587" s="16" t="s">
        <v>136</v>
      </c>
      <c r="N587" s="16" t="s">
        <v>5242</v>
      </c>
      <c r="O587" s="16" t="s">
        <v>5243</v>
      </c>
      <c r="P587" s="16" t="s">
        <v>5244</v>
      </c>
      <c r="Q587" s="16" t="s">
        <v>1815</v>
      </c>
      <c r="R587" s="16" t="s">
        <v>3598</v>
      </c>
      <c r="S587" s="19" t="s">
        <v>5236</v>
      </c>
      <c r="T587" s="20" t="s">
        <v>307</v>
      </c>
      <c r="U587" s="16" t="s">
        <v>5245</v>
      </c>
      <c r="V587" s="16" t="s">
        <v>5246</v>
      </c>
      <c r="W587" s="30" t="s">
        <v>5247</v>
      </c>
      <c r="X587" s="18" t="s">
        <v>542</v>
      </c>
      <c r="Y587" s="18" t="s">
        <v>98</v>
      </c>
      <c r="Z587" s="18" t="s">
        <v>1815</v>
      </c>
      <c r="AA587" s="16" t="s">
        <v>4525</v>
      </c>
      <c r="AB587" s="16" t="s">
        <v>4939</v>
      </c>
      <c r="AC587" s="16" t="s">
        <v>4527</v>
      </c>
      <c r="AD587" s="123" t="str">
        <f t="shared" si="9"/>
        <v>External Transfer-Other banks</v>
      </c>
      <c r="AE587" s="123" t="str">
        <f>VLOOKUP(Table1[[#This Row],[Name of bank]],'اكواد البنوك'!$A$2:$B$34,2,0)</f>
        <v>CIBEEGCXXXX</v>
      </c>
      <c r="AF587" s="21" t="s">
        <v>5248</v>
      </c>
      <c r="AG587" s="15" t="s">
        <v>3069</v>
      </c>
    </row>
    <row r="588" spans="1:33">
      <c r="A588" s="14">
        <v>587</v>
      </c>
      <c r="B588" s="14" t="s">
        <v>5235</v>
      </c>
      <c r="C588" s="14" t="s">
        <v>5570</v>
      </c>
      <c r="D588" s="15" t="s">
        <v>1839</v>
      </c>
      <c r="E588" s="16" t="s">
        <v>5249</v>
      </c>
      <c r="F588" s="32" t="s">
        <v>5250</v>
      </c>
      <c r="G588" s="17" t="s">
        <v>5251</v>
      </c>
      <c r="H588" s="18" t="s">
        <v>5252</v>
      </c>
      <c r="I588" s="16" t="s">
        <v>5253</v>
      </c>
      <c r="J588" s="16" t="s">
        <v>86</v>
      </c>
      <c r="K588" s="16" t="s">
        <v>5254</v>
      </c>
      <c r="L588" s="16" t="s">
        <v>5255</v>
      </c>
      <c r="M588" s="16" t="s">
        <v>5256</v>
      </c>
      <c r="N588" s="16" t="s">
        <v>5257</v>
      </c>
      <c r="O588" s="16" t="s">
        <v>5258</v>
      </c>
      <c r="P588" s="16" t="s">
        <v>5259</v>
      </c>
      <c r="Q588" s="16" t="s">
        <v>1815</v>
      </c>
      <c r="R588" s="16" t="s">
        <v>3598</v>
      </c>
      <c r="S588" s="19" t="s">
        <v>5260</v>
      </c>
      <c r="T588" s="20" t="s">
        <v>93</v>
      </c>
      <c r="U588" s="16" t="s">
        <v>5261</v>
      </c>
      <c r="V588" s="16" t="s">
        <v>5262</v>
      </c>
      <c r="W588" s="30" t="s">
        <v>5263</v>
      </c>
      <c r="X588" s="18" t="s">
        <v>542</v>
      </c>
      <c r="Y588" s="18" t="s">
        <v>98</v>
      </c>
      <c r="Z588" s="18" t="s">
        <v>1815</v>
      </c>
      <c r="AA588" s="16" t="s">
        <v>4525</v>
      </c>
      <c r="AB588" s="16" t="s">
        <v>4939</v>
      </c>
      <c r="AC588" s="16" t="s">
        <v>4527</v>
      </c>
      <c r="AD588" s="123" t="str">
        <f t="shared" si="9"/>
        <v>External Transfer-Other banks</v>
      </c>
      <c r="AE588" s="123" t="str">
        <f>VLOOKUP(Table1[[#This Row],[Name of bank]],'اكواد البنوك'!$A$2:$B$34,2,0)</f>
        <v>QNBAEGCXXXX</v>
      </c>
      <c r="AF588" s="21" t="s">
        <v>2532</v>
      </c>
      <c r="AG588" s="15" t="s">
        <v>3069</v>
      </c>
    </row>
    <row r="589" spans="1:33">
      <c r="A589" s="14">
        <v>588</v>
      </c>
      <c r="B589" s="14" t="s">
        <v>5264</v>
      </c>
      <c r="C589" s="14" t="e">
        <v>#N/A</v>
      </c>
      <c r="D589" s="15" t="s">
        <v>1839</v>
      </c>
      <c r="E589" s="16" t="s">
        <v>5265</v>
      </c>
      <c r="F589" s="32" t="s">
        <v>5266</v>
      </c>
      <c r="G589" s="17" t="s">
        <v>5267</v>
      </c>
      <c r="H589" s="18" t="s">
        <v>5268</v>
      </c>
      <c r="I589" s="16" t="s">
        <v>5269</v>
      </c>
      <c r="J589" s="16" t="s">
        <v>86</v>
      </c>
      <c r="K589" s="16" t="s">
        <v>5270</v>
      </c>
      <c r="L589" s="16" t="s">
        <v>136</v>
      </c>
      <c r="M589" s="16" t="s">
        <v>136</v>
      </c>
      <c r="N589" s="16" t="s">
        <v>5271</v>
      </c>
      <c r="O589" s="16" t="s">
        <v>5272</v>
      </c>
      <c r="P589" s="16" t="s">
        <v>5273</v>
      </c>
      <c r="Q589" s="16" t="s">
        <v>1815</v>
      </c>
      <c r="R589" s="16" t="s">
        <v>3598</v>
      </c>
      <c r="S589" s="19" t="s">
        <v>5274</v>
      </c>
      <c r="T589" s="20" t="s">
        <v>40</v>
      </c>
      <c r="U589" s="16" t="s">
        <v>10357</v>
      </c>
      <c r="V589" s="83" t="s">
        <v>10345</v>
      </c>
      <c r="W589" s="30" t="s">
        <v>10344</v>
      </c>
      <c r="X589" s="18" t="s">
        <v>542</v>
      </c>
      <c r="Y589" s="18" t="s">
        <v>98</v>
      </c>
      <c r="Z589" s="18" t="s">
        <v>1815</v>
      </c>
      <c r="AA589" s="16" t="s">
        <v>4525</v>
      </c>
      <c r="AB589" s="16" t="s">
        <v>4939</v>
      </c>
      <c r="AC589" s="16" t="s">
        <v>4527</v>
      </c>
      <c r="AD589" s="123" t="str">
        <f t="shared" si="9"/>
        <v>External Transfer-NBE</v>
      </c>
      <c r="AE589" s="123" t="str">
        <f>VLOOKUP(Table1[[#This Row],[Name of bank]],'اكواد البنوك'!$A$2:$B$34,2,0)</f>
        <v>NBEGEGCXXXX</v>
      </c>
      <c r="AF589" s="21" t="s">
        <v>4721</v>
      </c>
      <c r="AG589" s="84" t="s">
        <v>3069</v>
      </c>
    </row>
    <row r="590" spans="1:33">
      <c r="A590" s="14">
        <v>589</v>
      </c>
      <c r="B590" s="14" t="s">
        <v>5264</v>
      </c>
      <c r="C590" s="14" t="e">
        <v>#N/A</v>
      </c>
      <c r="D590" s="15" t="s">
        <v>1839</v>
      </c>
      <c r="E590" s="16" t="s">
        <v>5275</v>
      </c>
      <c r="F590" s="32" t="s">
        <v>5276</v>
      </c>
      <c r="G590" s="17" t="s">
        <v>5277</v>
      </c>
      <c r="H590" s="18" t="s">
        <v>5278</v>
      </c>
      <c r="I590" s="16" t="s">
        <v>5279</v>
      </c>
      <c r="J590" s="16" t="s">
        <v>173</v>
      </c>
      <c r="K590" s="16" t="s">
        <v>5280</v>
      </c>
      <c r="L590" s="16">
        <v>45069685</v>
      </c>
      <c r="M590" s="16" t="s">
        <v>136</v>
      </c>
      <c r="N590" s="16" t="s">
        <v>5281</v>
      </c>
      <c r="O590" s="16" t="s">
        <v>5282</v>
      </c>
      <c r="P590" s="16" t="s">
        <v>5283</v>
      </c>
      <c r="Q590" s="16" t="s">
        <v>1815</v>
      </c>
      <c r="R590" s="16" t="s">
        <v>3598</v>
      </c>
      <c r="S590" s="19" t="s">
        <v>5275</v>
      </c>
      <c r="T590" s="20" t="s">
        <v>176</v>
      </c>
      <c r="U590" s="16" t="s">
        <v>2255</v>
      </c>
      <c r="V590" s="16" t="s">
        <v>5284</v>
      </c>
      <c r="W590" s="30" t="s">
        <v>5285</v>
      </c>
      <c r="X590" s="18" t="s">
        <v>542</v>
      </c>
      <c r="Y590" s="18" t="s">
        <v>98</v>
      </c>
      <c r="Z590" s="18" t="s">
        <v>1815</v>
      </c>
      <c r="AA590" s="16" t="s">
        <v>4525</v>
      </c>
      <c r="AB590" s="16" t="s">
        <v>4939</v>
      </c>
      <c r="AC590" s="16" t="s">
        <v>4527</v>
      </c>
      <c r="AD590" s="123" t="str">
        <f t="shared" si="9"/>
        <v>External Transfer-Other banks</v>
      </c>
      <c r="AE590" s="123" t="str">
        <f>VLOOKUP(Table1[[#This Row],[Name of bank]],'اكواد البنوك'!$A$2:$B$34,2,0)</f>
        <v>BMISEGCXXXX</v>
      </c>
      <c r="AF590" s="21" t="s">
        <v>3767</v>
      </c>
      <c r="AG590" s="15" t="s">
        <v>3069</v>
      </c>
    </row>
    <row r="591" spans="1:33">
      <c r="A591" s="14">
        <v>590</v>
      </c>
      <c r="B591" s="14" t="s">
        <v>206</v>
      </c>
      <c r="C591" s="14" t="e">
        <v>#N/A</v>
      </c>
      <c r="D591" s="15" t="s">
        <v>1839</v>
      </c>
      <c r="E591" s="16" t="s">
        <v>5286</v>
      </c>
      <c r="F591" s="32" t="s">
        <v>5287</v>
      </c>
      <c r="G591" s="17" t="s">
        <v>5288</v>
      </c>
      <c r="H591" s="18" t="s">
        <v>5289</v>
      </c>
      <c r="I591" s="16" t="s">
        <v>5290</v>
      </c>
      <c r="J591" s="16" t="s">
        <v>173</v>
      </c>
      <c r="K591" s="16" t="s">
        <v>5291</v>
      </c>
      <c r="L591" s="16">
        <v>28132282</v>
      </c>
      <c r="M591" s="16" t="s">
        <v>5292</v>
      </c>
      <c r="N591" s="16" t="s">
        <v>5293</v>
      </c>
      <c r="O591" s="16" t="s">
        <v>5294</v>
      </c>
      <c r="P591" s="16" t="s">
        <v>5295</v>
      </c>
      <c r="Q591" s="16" t="s">
        <v>1815</v>
      </c>
      <c r="R591" s="16" t="s">
        <v>3598</v>
      </c>
      <c r="S591" s="19" t="s">
        <v>5296</v>
      </c>
      <c r="T591" s="20" t="s">
        <v>40</v>
      </c>
      <c r="U591" s="16" t="s">
        <v>2802</v>
      </c>
      <c r="V591" s="16" t="s">
        <v>5297</v>
      </c>
      <c r="W591" s="30" t="s">
        <v>5298</v>
      </c>
      <c r="X591" s="18" t="s">
        <v>2096</v>
      </c>
      <c r="Y591" s="18" t="s">
        <v>98</v>
      </c>
      <c r="Z591" s="18" t="s">
        <v>1815</v>
      </c>
      <c r="AA591" s="16" t="s">
        <v>4525</v>
      </c>
      <c r="AB591" s="16" t="s">
        <v>4939</v>
      </c>
      <c r="AC591" s="16" t="s">
        <v>4527</v>
      </c>
      <c r="AD591" s="123" t="str">
        <f t="shared" si="9"/>
        <v>External Transfer-NBE</v>
      </c>
      <c r="AE591" s="123" t="str">
        <f>VLOOKUP(Table1[[#This Row],[Name of bank]],'اكواد البنوك'!$A$2:$B$34,2,0)</f>
        <v>NBEGEGCXXXX</v>
      </c>
      <c r="AF591" s="21">
        <v>118</v>
      </c>
      <c r="AG591" s="15" t="s">
        <v>3069</v>
      </c>
    </row>
    <row r="592" spans="1:33">
      <c r="A592" s="14">
        <v>591</v>
      </c>
      <c r="B592" s="14" t="s">
        <v>206</v>
      </c>
      <c r="C592" s="14" t="s">
        <v>206</v>
      </c>
      <c r="D592" s="15" t="s">
        <v>1855</v>
      </c>
      <c r="E592" s="16" t="s">
        <v>5299</v>
      </c>
      <c r="F592" s="32" t="s">
        <v>5300</v>
      </c>
      <c r="G592" s="17" t="s">
        <v>5301</v>
      </c>
      <c r="H592" s="18">
        <v>201010686925</v>
      </c>
      <c r="I592" s="16" t="s">
        <v>1858</v>
      </c>
      <c r="J592" s="16" t="s">
        <v>1845</v>
      </c>
      <c r="K592" s="16" t="s">
        <v>1858</v>
      </c>
      <c r="L592" s="16" t="s">
        <v>136</v>
      </c>
      <c r="M592" s="16" t="s">
        <v>136</v>
      </c>
      <c r="N592" s="16">
        <v>29906110103601</v>
      </c>
      <c r="O592" s="16" t="s">
        <v>5302</v>
      </c>
      <c r="P592" s="16" t="s">
        <v>5303</v>
      </c>
      <c r="Q592" s="16" t="s">
        <v>1815</v>
      </c>
      <c r="R592" s="16" t="s">
        <v>3598</v>
      </c>
      <c r="S592" s="19" t="s">
        <v>5304</v>
      </c>
      <c r="T592" s="20" t="s">
        <v>40</v>
      </c>
      <c r="U592" s="16" t="s">
        <v>10214</v>
      </c>
      <c r="V592" s="16" t="s">
        <v>5305</v>
      </c>
      <c r="W592" s="30" t="s">
        <v>5306</v>
      </c>
      <c r="X592" s="18" t="s">
        <v>97</v>
      </c>
      <c r="Y592" s="18" t="s">
        <v>98</v>
      </c>
      <c r="Z592" s="18" t="s">
        <v>1815</v>
      </c>
      <c r="AA592" s="16" t="s">
        <v>4525</v>
      </c>
      <c r="AB592" s="16" t="s">
        <v>4939</v>
      </c>
      <c r="AC592" s="16" t="s">
        <v>4527</v>
      </c>
      <c r="AD592" s="123" t="str">
        <f t="shared" si="9"/>
        <v>External Transfer-NBE</v>
      </c>
      <c r="AE592" s="123" t="str">
        <f>VLOOKUP(Table1[[#This Row],[Name of bank]],'اكواد البنوك'!$A$2:$B$34,2,0)</f>
        <v>NBEGEGCXXXX</v>
      </c>
      <c r="AF592" s="21" t="s">
        <v>10215</v>
      </c>
      <c r="AG592" s="15" t="s">
        <v>10381</v>
      </c>
    </row>
    <row r="593" spans="1:33">
      <c r="A593" s="14">
        <v>592</v>
      </c>
      <c r="B593" s="14" t="s">
        <v>5307</v>
      </c>
      <c r="C593" s="14" t="s">
        <v>5772</v>
      </c>
      <c r="D593" s="15" t="s">
        <v>1839</v>
      </c>
      <c r="E593" s="16" t="s">
        <v>5308</v>
      </c>
      <c r="F593" s="32" t="s">
        <v>10043</v>
      </c>
      <c r="G593" s="17" t="s">
        <v>5309</v>
      </c>
      <c r="H593" s="18" t="s">
        <v>5310</v>
      </c>
      <c r="I593" s="16" t="s">
        <v>5311</v>
      </c>
      <c r="J593" s="16" t="s">
        <v>86</v>
      </c>
      <c r="K593" s="16" t="s">
        <v>5312</v>
      </c>
      <c r="L593" s="16">
        <v>58989179</v>
      </c>
      <c r="M593" s="16">
        <v>515924</v>
      </c>
      <c r="N593" s="16" t="s">
        <v>5313</v>
      </c>
      <c r="O593" s="16" t="s">
        <v>5314</v>
      </c>
      <c r="P593" s="16" t="s">
        <v>5315</v>
      </c>
      <c r="Q593" s="16" t="s">
        <v>1815</v>
      </c>
      <c r="R593" s="16" t="s">
        <v>3598</v>
      </c>
      <c r="S593" s="19" t="s">
        <v>5308</v>
      </c>
      <c r="T593" s="20" t="s">
        <v>1464</v>
      </c>
      <c r="U593" s="16" t="s">
        <v>2529</v>
      </c>
      <c r="V593" s="16" t="s">
        <v>5316</v>
      </c>
      <c r="W593" s="30" t="s">
        <v>5317</v>
      </c>
      <c r="X593" s="18" t="s">
        <v>542</v>
      </c>
      <c r="Y593" s="18" t="s">
        <v>98</v>
      </c>
      <c r="Z593" s="18" t="s">
        <v>1815</v>
      </c>
      <c r="AA593" s="16" t="s">
        <v>4525</v>
      </c>
      <c r="AB593" s="16" t="s">
        <v>4939</v>
      </c>
      <c r="AC593" s="16" t="s">
        <v>4527</v>
      </c>
      <c r="AD593" s="123" t="str">
        <f t="shared" si="9"/>
        <v>External Transfer-Other banks</v>
      </c>
      <c r="AE593" s="123" t="str">
        <f>VLOOKUP(Table1[[#This Row],[Name of bank]],'اكواد البنوك'!$A$2:$B$34,2,0)</f>
        <v>HDBKEGCAXXX</v>
      </c>
      <c r="AF593" s="21" t="s">
        <v>5318</v>
      </c>
      <c r="AG593" s="15" t="s">
        <v>3069</v>
      </c>
    </row>
    <row r="594" spans="1:33">
      <c r="A594" s="14">
        <v>593</v>
      </c>
      <c r="B594" s="14" t="s">
        <v>5307</v>
      </c>
      <c r="C594" s="14" t="e">
        <v>#N/A</v>
      </c>
      <c r="D594" s="15" t="s">
        <v>1839</v>
      </c>
      <c r="E594" s="16" t="s">
        <v>5319</v>
      </c>
      <c r="F594" s="32" t="s">
        <v>5320</v>
      </c>
      <c r="G594" s="17" t="s">
        <v>5321</v>
      </c>
      <c r="H594" s="18" t="s">
        <v>5322</v>
      </c>
      <c r="I594" s="16" t="s">
        <v>5323</v>
      </c>
      <c r="J594" s="16" t="s">
        <v>86</v>
      </c>
      <c r="K594" s="16" t="s">
        <v>5324</v>
      </c>
      <c r="L594" s="16" t="s">
        <v>5325</v>
      </c>
      <c r="M594" s="16" t="s">
        <v>5212</v>
      </c>
      <c r="N594" s="16" t="s">
        <v>5326</v>
      </c>
      <c r="O594" s="16" t="s">
        <v>5327</v>
      </c>
      <c r="P594" s="16" t="s">
        <v>5328</v>
      </c>
      <c r="Q594" s="16" t="s">
        <v>1815</v>
      </c>
      <c r="R594" s="16" t="s">
        <v>3598</v>
      </c>
      <c r="S594" s="19" t="s">
        <v>5329</v>
      </c>
      <c r="T594" s="20" t="s">
        <v>40</v>
      </c>
      <c r="U594" s="16" t="s">
        <v>2984</v>
      </c>
      <c r="V594" s="16" t="s">
        <v>5330</v>
      </c>
      <c r="W594" s="30" t="s">
        <v>5331</v>
      </c>
      <c r="X594" s="18" t="s">
        <v>542</v>
      </c>
      <c r="Y594" s="18" t="s">
        <v>98</v>
      </c>
      <c r="Z594" s="18" t="s">
        <v>1815</v>
      </c>
      <c r="AA594" s="16" t="s">
        <v>4525</v>
      </c>
      <c r="AB594" s="16" t="s">
        <v>4939</v>
      </c>
      <c r="AC594" s="16" t="s">
        <v>4527</v>
      </c>
      <c r="AD594" s="123" t="str">
        <f t="shared" si="9"/>
        <v>External Transfer-NBE</v>
      </c>
      <c r="AE594" s="123" t="str">
        <f>VLOOKUP(Table1[[#This Row],[Name of bank]],'اكواد البنوك'!$A$2:$B$34,2,0)</f>
        <v>NBEGEGCXXXX</v>
      </c>
      <c r="AF594" s="21" t="s">
        <v>5332</v>
      </c>
      <c r="AG594" s="15" t="s">
        <v>3069</v>
      </c>
    </row>
    <row r="595" spans="1:33">
      <c r="A595" s="14">
        <v>594</v>
      </c>
      <c r="B595" s="14" t="s">
        <v>5307</v>
      </c>
      <c r="C595" s="14" t="e">
        <v>#N/A</v>
      </c>
      <c r="D595" s="15" t="s">
        <v>1839</v>
      </c>
      <c r="E595" s="16" t="s">
        <v>5333</v>
      </c>
      <c r="F595" s="32" t="s">
        <v>10194</v>
      </c>
      <c r="G595" s="17" t="s">
        <v>5335</v>
      </c>
      <c r="H595" s="18" t="s">
        <v>5336</v>
      </c>
      <c r="I595" s="16" t="s">
        <v>5337</v>
      </c>
      <c r="J595" s="16" t="s">
        <v>86</v>
      </c>
      <c r="K595" s="16" t="s">
        <v>148</v>
      </c>
      <c r="L595" s="16">
        <v>74447377</v>
      </c>
      <c r="M595" s="16">
        <v>413255778</v>
      </c>
      <c r="N595" s="16" t="s">
        <v>5338</v>
      </c>
      <c r="O595" s="16" t="s">
        <v>5339</v>
      </c>
      <c r="P595" s="16" t="s">
        <v>5340</v>
      </c>
      <c r="Q595" s="16" t="s">
        <v>1815</v>
      </c>
      <c r="R595" s="16" t="s">
        <v>3598</v>
      </c>
      <c r="S595" s="19" t="s">
        <v>5334</v>
      </c>
      <c r="T595" s="20" t="s">
        <v>40</v>
      </c>
      <c r="U595" s="16" t="s">
        <v>5020</v>
      </c>
      <c r="V595" s="16" t="s">
        <v>5341</v>
      </c>
      <c r="W595" s="30" t="s">
        <v>5342</v>
      </c>
      <c r="X595" s="18" t="s">
        <v>542</v>
      </c>
      <c r="Y595" s="18" t="s">
        <v>98</v>
      </c>
      <c r="Z595" s="18" t="s">
        <v>1815</v>
      </c>
      <c r="AA595" s="16" t="s">
        <v>4525</v>
      </c>
      <c r="AB595" s="16" t="s">
        <v>4939</v>
      </c>
      <c r="AC595" s="16" t="s">
        <v>4527</v>
      </c>
      <c r="AD595" s="123" t="str">
        <f t="shared" si="9"/>
        <v>External Transfer-NBE</v>
      </c>
      <c r="AE595" s="123" t="str">
        <f>VLOOKUP(Table1[[#This Row],[Name of bank]],'اكواد البنوك'!$A$2:$B$34,2,0)</f>
        <v>NBEGEGCXXXX</v>
      </c>
      <c r="AF595" s="21" t="s">
        <v>5023</v>
      </c>
      <c r="AG595" s="15" t="s">
        <v>3069</v>
      </c>
    </row>
    <row r="596" spans="1:33">
      <c r="A596" s="14">
        <v>595</v>
      </c>
      <c r="B596" s="14" t="s">
        <v>5307</v>
      </c>
      <c r="C596" s="14" t="s">
        <v>5709</v>
      </c>
      <c r="D596" s="15" t="s">
        <v>1839</v>
      </c>
      <c r="E596" s="16" t="s">
        <v>5343</v>
      </c>
      <c r="F596" s="32" t="s">
        <v>5344</v>
      </c>
      <c r="G596" s="17" t="s">
        <v>5345</v>
      </c>
      <c r="H596" s="18" t="s">
        <v>5346</v>
      </c>
      <c r="I596" s="16" t="s">
        <v>2882</v>
      </c>
      <c r="J596" s="16" t="s">
        <v>86</v>
      </c>
      <c r="K596" s="16" t="s">
        <v>5050</v>
      </c>
      <c r="L596" s="16" t="s">
        <v>5347</v>
      </c>
      <c r="M596" s="16" t="s">
        <v>234</v>
      </c>
      <c r="N596" s="16" t="s">
        <v>5348</v>
      </c>
      <c r="O596" s="16" t="s">
        <v>5349</v>
      </c>
      <c r="P596" s="16" t="s">
        <v>5350</v>
      </c>
      <c r="Q596" s="16" t="s">
        <v>1815</v>
      </c>
      <c r="R596" s="16" t="s">
        <v>3598</v>
      </c>
      <c r="S596" s="19" t="s">
        <v>5351</v>
      </c>
      <c r="T596" s="20" t="s">
        <v>40</v>
      </c>
      <c r="U596" s="16" t="s">
        <v>1851</v>
      </c>
      <c r="V596" s="16" t="s">
        <v>5352</v>
      </c>
      <c r="W596" s="30" t="s">
        <v>5353</v>
      </c>
      <c r="X596" s="18" t="s">
        <v>542</v>
      </c>
      <c r="Y596" s="18" t="s">
        <v>98</v>
      </c>
      <c r="Z596" s="18" t="s">
        <v>1815</v>
      </c>
      <c r="AA596" s="16" t="s">
        <v>4525</v>
      </c>
      <c r="AB596" s="16" t="s">
        <v>4939</v>
      </c>
      <c r="AC596" s="16" t="s">
        <v>4527</v>
      </c>
      <c r="AD596" s="123" t="str">
        <f t="shared" si="9"/>
        <v>External Transfer-NBE</v>
      </c>
      <c r="AE596" s="123" t="str">
        <f>VLOOKUP(Table1[[#This Row],[Name of bank]],'اكواد البنوك'!$A$2:$B$34,2,0)</f>
        <v>NBEGEGCXXXX</v>
      </c>
      <c r="AF596" s="21" t="s">
        <v>2163</v>
      </c>
      <c r="AG596" s="15" t="s">
        <v>3069</v>
      </c>
    </row>
    <row r="597" spans="1:33">
      <c r="A597" s="14">
        <v>596</v>
      </c>
      <c r="B597" s="14" t="s">
        <v>5307</v>
      </c>
      <c r="C597" s="14" t="s">
        <v>6184</v>
      </c>
      <c r="D597" s="15" t="s">
        <v>1839</v>
      </c>
      <c r="E597" s="16" t="s">
        <v>5354</v>
      </c>
      <c r="F597" s="32" t="s">
        <v>5355</v>
      </c>
      <c r="G597" s="17" t="s">
        <v>5356</v>
      </c>
      <c r="H597" s="18" t="s">
        <v>5357</v>
      </c>
      <c r="I597" s="16" t="s">
        <v>5358</v>
      </c>
      <c r="J597" s="16" t="s">
        <v>86</v>
      </c>
      <c r="K597" s="16" t="s">
        <v>269</v>
      </c>
      <c r="L597" s="16" t="s">
        <v>5359</v>
      </c>
      <c r="M597" s="16">
        <v>3341293</v>
      </c>
      <c r="N597" s="16" t="s">
        <v>5360</v>
      </c>
      <c r="O597" s="16" t="s">
        <v>5361</v>
      </c>
      <c r="P597" s="16" t="s">
        <v>5362</v>
      </c>
      <c r="Q597" s="16" t="s">
        <v>1815</v>
      </c>
      <c r="R597" s="16" t="s">
        <v>3598</v>
      </c>
      <c r="S597" s="19" t="s">
        <v>5363</v>
      </c>
      <c r="T597" s="20" t="s">
        <v>93</v>
      </c>
      <c r="U597" s="16" t="s">
        <v>5364</v>
      </c>
      <c r="V597" s="16" t="s">
        <v>5365</v>
      </c>
      <c r="W597" s="30" t="s">
        <v>5366</v>
      </c>
      <c r="X597" s="18" t="s">
        <v>542</v>
      </c>
      <c r="Y597" s="18" t="s">
        <v>98</v>
      </c>
      <c r="Z597" s="18" t="s">
        <v>1815</v>
      </c>
      <c r="AA597" s="16" t="s">
        <v>4525</v>
      </c>
      <c r="AB597" s="16" t="s">
        <v>4939</v>
      </c>
      <c r="AC597" s="16" t="s">
        <v>4527</v>
      </c>
      <c r="AD597" s="123" t="str">
        <f t="shared" si="9"/>
        <v>External Transfer-Other banks</v>
      </c>
      <c r="AE597" s="123" t="str">
        <f>VLOOKUP(Table1[[#This Row],[Name of bank]],'اكواد البنوك'!$A$2:$B$34,2,0)</f>
        <v>QNBAEGCXXXX</v>
      </c>
      <c r="AF597" s="21" t="s">
        <v>560</v>
      </c>
      <c r="AG597" s="15" t="s">
        <v>3069</v>
      </c>
    </row>
    <row r="598" spans="1:33">
      <c r="A598" s="14">
        <v>597</v>
      </c>
      <c r="B598" s="14" t="s">
        <v>5367</v>
      </c>
      <c r="C598" s="14" t="s">
        <v>5367</v>
      </c>
      <c r="D598" s="15" t="s">
        <v>1703</v>
      </c>
      <c r="E598" s="16" t="s">
        <v>5368</v>
      </c>
      <c r="F598" s="32" t="s">
        <v>5369</v>
      </c>
      <c r="G598" s="17" t="s">
        <v>5370</v>
      </c>
      <c r="H598" s="18" t="s">
        <v>5371</v>
      </c>
      <c r="I598" s="16" t="s">
        <v>1703</v>
      </c>
      <c r="J598" s="16" t="e">
        <v>#N/A</v>
      </c>
      <c r="K598" s="16" t="e">
        <v>#N/A</v>
      </c>
      <c r="L598" s="16" t="e">
        <v>#N/A</v>
      </c>
      <c r="M598" s="16" t="s">
        <v>3065</v>
      </c>
      <c r="N598" s="16"/>
      <c r="O598" s="16" t="s">
        <v>3065</v>
      </c>
      <c r="P598" s="16"/>
      <c r="Q598" s="16"/>
      <c r="R598" s="16"/>
      <c r="S598" s="19">
        <v>29</v>
      </c>
      <c r="T598" s="20" t="s">
        <v>40</v>
      </c>
      <c r="U598" s="16"/>
      <c r="V598" s="16" t="s">
        <v>5372</v>
      </c>
      <c r="W598" s="30">
        <v>29</v>
      </c>
      <c r="X598" s="18" t="s">
        <v>31</v>
      </c>
      <c r="Y598" s="18" t="s">
        <v>43</v>
      </c>
      <c r="Z598" s="18" t="s">
        <v>1815</v>
      </c>
      <c r="AA598" s="16" t="s">
        <v>4525</v>
      </c>
      <c r="AB598" s="16" t="s">
        <v>5373</v>
      </c>
      <c r="AC598" s="16" t="s">
        <v>4527</v>
      </c>
      <c r="AD598" s="123" t="str">
        <f t="shared" si="9"/>
        <v>Internal Transfer</v>
      </c>
      <c r="AE598" s="123" t="str">
        <f>VLOOKUP(Table1[[#This Row],[Name of bank]],'اكواد البنوك'!$A$2:$B$34,2,0)</f>
        <v>NBEGEGCXXXX</v>
      </c>
      <c r="AF598" s="21">
        <v>683</v>
      </c>
      <c r="AG598" s="15" t="s">
        <v>3069</v>
      </c>
    </row>
    <row r="599" spans="1:33">
      <c r="A599" s="14">
        <v>598</v>
      </c>
      <c r="B599" s="14" t="s">
        <v>5367</v>
      </c>
      <c r="C599" s="14" t="s">
        <v>5367</v>
      </c>
      <c r="D599" s="15" t="s">
        <v>1855</v>
      </c>
      <c r="E599" s="16" t="s">
        <v>5374</v>
      </c>
      <c r="F599" s="32" t="s">
        <v>10071</v>
      </c>
      <c r="G599" s="17" t="s">
        <v>5375</v>
      </c>
      <c r="H599" s="18" t="s">
        <v>5376</v>
      </c>
      <c r="I599" s="16" t="s">
        <v>1858</v>
      </c>
      <c r="J599" s="16" t="s">
        <v>1845</v>
      </c>
      <c r="K599" s="16" t="s">
        <v>5377</v>
      </c>
      <c r="L599" s="16" t="s">
        <v>136</v>
      </c>
      <c r="M599" s="16" t="s">
        <v>136</v>
      </c>
      <c r="N599" s="16">
        <v>29506010102081</v>
      </c>
      <c r="O599" s="16" t="s">
        <v>5378</v>
      </c>
      <c r="P599" s="16" t="s">
        <v>5379</v>
      </c>
      <c r="Q599" s="16" t="s">
        <v>1815</v>
      </c>
      <c r="R599" s="16" t="s">
        <v>3598</v>
      </c>
      <c r="S599" s="19" t="s">
        <v>4707</v>
      </c>
      <c r="T599" s="20" t="s">
        <v>40</v>
      </c>
      <c r="U599" s="16" t="s">
        <v>4962</v>
      </c>
      <c r="V599" s="16" t="s">
        <v>5380</v>
      </c>
      <c r="W599" s="30" t="s">
        <v>10230</v>
      </c>
      <c r="X599" s="18" t="s">
        <v>66</v>
      </c>
      <c r="Y599" s="18" t="s">
        <v>98</v>
      </c>
      <c r="Z599" s="18" t="s">
        <v>1815</v>
      </c>
      <c r="AA599" s="16" t="s">
        <v>4525</v>
      </c>
      <c r="AB599" s="16" t="s">
        <v>5373</v>
      </c>
      <c r="AC599" s="16" t="s">
        <v>4527</v>
      </c>
      <c r="AD599" s="123" t="str">
        <f t="shared" si="9"/>
        <v>External Transfer-NBE</v>
      </c>
      <c r="AE599" s="123" t="str">
        <f>VLOOKUP(Table1[[#This Row],[Name of bank]],'اكواد البنوك'!$A$2:$B$34,2,0)</f>
        <v>NBEGEGCXXXX</v>
      </c>
      <c r="AF599" s="21" t="s">
        <v>4965</v>
      </c>
      <c r="AG599" s="15" t="s">
        <v>10381</v>
      </c>
    </row>
    <row r="600" spans="1:33">
      <c r="A600" s="14">
        <v>599</v>
      </c>
      <c r="B600" s="14" t="s">
        <v>5367</v>
      </c>
      <c r="C600" s="14" t="s">
        <v>5367</v>
      </c>
      <c r="D600" s="15" t="s">
        <v>1718</v>
      </c>
      <c r="E600" s="16" t="s">
        <v>5382</v>
      </c>
      <c r="F600" s="32" t="s">
        <v>5383</v>
      </c>
      <c r="G600" s="17" t="s">
        <v>5384</v>
      </c>
      <c r="H600" s="18" t="s">
        <v>5385</v>
      </c>
      <c r="I600" s="16" t="s">
        <v>1718</v>
      </c>
      <c r="J600" s="16" t="e">
        <v>#N/A</v>
      </c>
      <c r="K600" s="16" t="e">
        <v>#N/A</v>
      </c>
      <c r="L600" s="16" t="e">
        <v>#N/A</v>
      </c>
      <c r="M600" s="16" t="s">
        <v>1718</v>
      </c>
      <c r="N600" s="16"/>
      <c r="O600" s="16" t="s">
        <v>1718</v>
      </c>
      <c r="P600" s="16"/>
      <c r="Q600" s="16"/>
      <c r="R600" s="16"/>
      <c r="S600" s="19"/>
      <c r="T600" s="20" t="s">
        <v>40</v>
      </c>
      <c r="U600" s="16"/>
      <c r="V600" s="16"/>
      <c r="W600" s="30" t="s">
        <v>1718</v>
      </c>
      <c r="X600" s="18" t="s">
        <v>66</v>
      </c>
      <c r="Y600" s="18" t="s">
        <v>43</v>
      </c>
      <c r="Z600" s="18" t="s">
        <v>1815</v>
      </c>
      <c r="AA600" s="16" t="s">
        <v>4525</v>
      </c>
      <c r="AB600" s="16" t="s">
        <v>5373</v>
      </c>
      <c r="AC600" s="16" t="s">
        <v>4527</v>
      </c>
      <c r="AD600" s="123" t="str">
        <f t="shared" si="9"/>
        <v>Internal Transfer</v>
      </c>
      <c r="AE600" s="123" t="str">
        <f>VLOOKUP(Table1[[#This Row],[Name of bank]],'اكواد البنوك'!$A$2:$B$34,2,0)</f>
        <v>NBEGEGCXXXX</v>
      </c>
      <c r="AF600" s="21">
        <v>1058</v>
      </c>
      <c r="AG600" s="15" t="s">
        <v>3069</v>
      </c>
    </row>
    <row r="601" spans="1:33">
      <c r="A601" s="14">
        <v>600</v>
      </c>
      <c r="B601" s="14" t="s">
        <v>4935</v>
      </c>
      <c r="C601" s="14" t="s">
        <v>639</v>
      </c>
      <c r="D601" s="15" t="s">
        <v>1718</v>
      </c>
      <c r="E601" s="16" t="s">
        <v>5386</v>
      </c>
      <c r="F601" s="32" t="s">
        <v>5387</v>
      </c>
      <c r="G601" s="17" t="s">
        <v>5388</v>
      </c>
      <c r="H601" s="18" t="s">
        <v>5389</v>
      </c>
      <c r="I601" s="16" t="s">
        <v>1718</v>
      </c>
      <c r="J601" s="16" t="e">
        <v>#N/A</v>
      </c>
      <c r="K601" s="16" t="e">
        <v>#N/A</v>
      </c>
      <c r="L601" s="16" t="e">
        <v>#N/A</v>
      </c>
      <c r="M601" s="16" t="s">
        <v>1718</v>
      </c>
      <c r="N601" s="16" t="e">
        <v>#N/A</v>
      </c>
      <c r="O601" s="16"/>
      <c r="P601" s="16"/>
      <c r="Q601" s="16"/>
      <c r="R601" s="16"/>
      <c r="S601" s="19"/>
      <c r="T601" s="20" t="s">
        <v>40</v>
      </c>
      <c r="U601" s="16"/>
      <c r="V601" s="16"/>
      <c r="W601" s="30" t="s">
        <v>1718</v>
      </c>
      <c r="X601" s="18" t="s">
        <v>78</v>
      </c>
      <c r="Y601" s="18" t="s">
        <v>43</v>
      </c>
      <c r="Z601" s="18" t="s">
        <v>1815</v>
      </c>
      <c r="AA601" s="16" t="s">
        <v>4525</v>
      </c>
      <c r="AB601" s="16" t="s">
        <v>5373</v>
      </c>
      <c r="AC601" s="16" t="s">
        <v>4527</v>
      </c>
      <c r="AD601" s="123" t="str">
        <f t="shared" si="9"/>
        <v>Internal Transfer</v>
      </c>
      <c r="AE601" s="123" t="str">
        <f>VLOOKUP(Table1[[#This Row],[Name of bank]],'اكواد البنوك'!$A$2:$B$34,2,0)</f>
        <v>NBEGEGCXXXX</v>
      </c>
      <c r="AF601" s="30" t="s">
        <v>1718</v>
      </c>
      <c r="AG601" s="15" t="s">
        <v>3069</v>
      </c>
    </row>
    <row r="602" spans="1:33">
      <c r="A602" s="14">
        <v>601</v>
      </c>
      <c r="B602" s="14" t="s">
        <v>4935</v>
      </c>
      <c r="C602" s="14" t="e">
        <v>#N/A</v>
      </c>
      <c r="D602" s="15" t="s">
        <v>1839</v>
      </c>
      <c r="E602" s="16" t="s">
        <v>5390</v>
      </c>
      <c r="F602" s="32" t="s">
        <v>5391</v>
      </c>
      <c r="G602" s="17" t="s">
        <v>5392</v>
      </c>
      <c r="H602" s="18" t="s">
        <v>5393</v>
      </c>
      <c r="I602" s="16" t="s">
        <v>3132</v>
      </c>
      <c r="J602" s="16" t="s">
        <v>86</v>
      </c>
      <c r="K602" s="16" t="s">
        <v>5394</v>
      </c>
      <c r="L602" s="16">
        <v>80745201</v>
      </c>
      <c r="M602" s="16">
        <v>484568809</v>
      </c>
      <c r="N602" s="16" t="s">
        <v>5395</v>
      </c>
      <c r="O602" s="16" t="s">
        <v>5396</v>
      </c>
      <c r="P602" s="16" t="s">
        <v>5397</v>
      </c>
      <c r="Q602" s="16" t="s">
        <v>1815</v>
      </c>
      <c r="R602" s="16" t="s">
        <v>3598</v>
      </c>
      <c r="S602" s="19" t="s">
        <v>5390</v>
      </c>
      <c r="T602" s="20" t="s">
        <v>307</v>
      </c>
      <c r="U602" s="16" t="s">
        <v>5398</v>
      </c>
      <c r="V602" s="16" t="s">
        <v>5399</v>
      </c>
      <c r="W602" s="30" t="s">
        <v>5400</v>
      </c>
      <c r="X602" s="18" t="s">
        <v>97</v>
      </c>
      <c r="Y602" s="18" t="s">
        <v>98</v>
      </c>
      <c r="Z602" s="18" t="s">
        <v>1815</v>
      </c>
      <c r="AA602" s="16" t="s">
        <v>4525</v>
      </c>
      <c r="AB602" s="16" t="s">
        <v>5373</v>
      </c>
      <c r="AC602" s="16" t="s">
        <v>4527</v>
      </c>
      <c r="AD602" s="123" t="str">
        <f t="shared" si="9"/>
        <v>External Transfer-Other banks</v>
      </c>
      <c r="AE602" s="123" t="str">
        <f>VLOOKUP(Table1[[#This Row],[Name of bank]],'اكواد البنوك'!$A$2:$B$34,2,0)</f>
        <v>CIBEEGCXXXX</v>
      </c>
      <c r="AF602" s="21" t="s">
        <v>2586</v>
      </c>
      <c r="AG602" s="15" t="s">
        <v>3069</v>
      </c>
    </row>
    <row r="603" spans="1:33">
      <c r="A603" s="14">
        <v>602</v>
      </c>
      <c r="B603" s="14" t="s">
        <v>5401</v>
      </c>
      <c r="C603" s="14" t="s">
        <v>9989</v>
      </c>
      <c r="D603" s="15" t="s">
        <v>1839</v>
      </c>
      <c r="E603" s="16" t="s">
        <v>5402</v>
      </c>
      <c r="F603" s="32" t="s">
        <v>5403</v>
      </c>
      <c r="G603" s="17" t="s">
        <v>5404</v>
      </c>
      <c r="H603" s="18" t="s">
        <v>5405</v>
      </c>
      <c r="I603" s="16" t="s">
        <v>4712</v>
      </c>
      <c r="J603" s="16" t="s">
        <v>173</v>
      </c>
      <c r="K603" s="16" t="s">
        <v>4524</v>
      </c>
      <c r="L603" s="16">
        <v>64002690</v>
      </c>
      <c r="M603" s="16" t="s">
        <v>136</v>
      </c>
      <c r="N603" s="16" t="s">
        <v>5406</v>
      </c>
      <c r="O603" s="16" t="s">
        <v>5407</v>
      </c>
      <c r="P603" s="16" t="s">
        <v>5408</v>
      </c>
      <c r="Q603" s="16" t="s">
        <v>1815</v>
      </c>
      <c r="R603" s="16" t="s">
        <v>3598</v>
      </c>
      <c r="S603" s="19" t="s">
        <v>5403</v>
      </c>
      <c r="T603" s="20" t="s">
        <v>40</v>
      </c>
      <c r="U603" s="16" t="s">
        <v>5409</v>
      </c>
      <c r="V603" s="16" t="s">
        <v>5410</v>
      </c>
      <c r="W603" s="30" t="s">
        <v>5411</v>
      </c>
      <c r="X603" s="18" t="s">
        <v>542</v>
      </c>
      <c r="Y603" s="18" t="s">
        <v>98</v>
      </c>
      <c r="Z603" s="18" t="s">
        <v>1815</v>
      </c>
      <c r="AA603" s="16" t="s">
        <v>4525</v>
      </c>
      <c r="AB603" s="16" t="s">
        <v>5373</v>
      </c>
      <c r="AC603" s="16" t="s">
        <v>4527</v>
      </c>
      <c r="AD603" s="123" t="str">
        <f t="shared" si="9"/>
        <v>External Transfer-NBE</v>
      </c>
      <c r="AE603" s="123" t="str">
        <f>VLOOKUP(Table1[[#This Row],[Name of bank]],'اكواد البنوك'!$A$2:$B$34,2,0)</f>
        <v>NBEGEGCXXXX</v>
      </c>
      <c r="AF603" s="21" t="s">
        <v>4721</v>
      </c>
      <c r="AG603" s="15" t="s">
        <v>3069</v>
      </c>
    </row>
    <row r="604" spans="1:33">
      <c r="A604" s="14">
        <v>603</v>
      </c>
      <c r="B604" s="14" t="s">
        <v>5401</v>
      </c>
      <c r="C604" s="14" t="s">
        <v>6335</v>
      </c>
      <c r="D604" s="15" t="s">
        <v>1839</v>
      </c>
      <c r="E604" s="16" t="s">
        <v>5412</v>
      </c>
      <c r="F604" s="32" t="s">
        <v>5413</v>
      </c>
      <c r="G604" s="17" t="s">
        <v>5414</v>
      </c>
      <c r="H604" s="18" t="s">
        <v>5415</v>
      </c>
      <c r="I604" s="16" t="s">
        <v>5416</v>
      </c>
      <c r="J604" s="16" t="s">
        <v>86</v>
      </c>
      <c r="K604" s="16" t="s">
        <v>904</v>
      </c>
      <c r="L604" s="16" t="s">
        <v>136</v>
      </c>
      <c r="M604" s="16" t="s">
        <v>136</v>
      </c>
      <c r="N604" s="16" t="s">
        <v>5417</v>
      </c>
      <c r="O604" s="16" t="s">
        <v>5418</v>
      </c>
      <c r="P604" s="16" t="s">
        <v>5419</v>
      </c>
      <c r="Q604" s="16" t="s">
        <v>1815</v>
      </c>
      <c r="R604" s="16" t="s">
        <v>3598</v>
      </c>
      <c r="S604" s="19" t="s">
        <v>5420</v>
      </c>
      <c r="T604" s="20" t="s">
        <v>40</v>
      </c>
      <c r="U604" s="16" t="s">
        <v>5421</v>
      </c>
      <c r="V604" s="16" t="s">
        <v>5422</v>
      </c>
      <c r="W604" s="30" t="s">
        <v>5423</v>
      </c>
      <c r="X604" s="18" t="s">
        <v>542</v>
      </c>
      <c r="Y604" s="18" t="s">
        <v>98</v>
      </c>
      <c r="Z604" s="18" t="s">
        <v>1815</v>
      </c>
      <c r="AA604" s="16" t="s">
        <v>4525</v>
      </c>
      <c r="AB604" s="16" t="s">
        <v>5373</v>
      </c>
      <c r="AC604" s="16" t="s">
        <v>4527</v>
      </c>
      <c r="AD604" s="123" t="str">
        <f t="shared" si="9"/>
        <v>External Transfer-NBE</v>
      </c>
      <c r="AE604" s="123" t="str">
        <f>VLOOKUP(Table1[[#This Row],[Name of bank]],'اكواد البنوك'!$A$2:$B$34,2,0)</f>
        <v>NBEGEGCXXXX</v>
      </c>
      <c r="AF604" s="21" t="s">
        <v>5424</v>
      </c>
      <c r="AG604" s="15" t="s">
        <v>3069</v>
      </c>
    </row>
    <row r="605" spans="1:33">
      <c r="A605" s="14">
        <v>604</v>
      </c>
      <c r="B605" s="14" t="s">
        <v>5401</v>
      </c>
      <c r="C605" s="14" t="s">
        <v>5476</v>
      </c>
      <c r="D605" s="15" t="s">
        <v>1839</v>
      </c>
      <c r="E605" s="16" t="s">
        <v>5425</v>
      </c>
      <c r="F605" s="32" t="s">
        <v>5426</v>
      </c>
      <c r="G605" s="17" t="s">
        <v>5427</v>
      </c>
      <c r="H605" s="18" t="s">
        <v>5428</v>
      </c>
      <c r="I605" s="16" t="s">
        <v>4611</v>
      </c>
      <c r="J605" s="16" t="s">
        <v>86</v>
      </c>
      <c r="K605" s="16" t="s">
        <v>5429</v>
      </c>
      <c r="L605" s="16" t="s">
        <v>5430</v>
      </c>
      <c r="M605" s="16" t="s">
        <v>4614</v>
      </c>
      <c r="N605" s="16" t="s">
        <v>5431</v>
      </c>
      <c r="O605" s="16" t="s">
        <v>5432</v>
      </c>
      <c r="P605" s="16" t="s">
        <v>5433</v>
      </c>
      <c r="Q605" s="16" t="s">
        <v>1815</v>
      </c>
      <c r="R605" s="16" t="s">
        <v>3598</v>
      </c>
      <c r="S605" s="19" t="s">
        <v>5425</v>
      </c>
      <c r="T605" s="20" t="s">
        <v>307</v>
      </c>
      <c r="U605" s="16" t="s">
        <v>5434</v>
      </c>
      <c r="V605" s="16" t="s">
        <v>5435</v>
      </c>
      <c r="W605" s="30" t="s">
        <v>5436</v>
      </c>
      <c r="X605" s="18" t="s">
        <v>542</v>
      </c>
      <c r="Y605" s="18" t="s">
        <v>98</v>
      </c>
      <c r="Z605" s="18" t="s">
        <v>1815</v>
      </c>
      <c r="AA605" s="16" t="s">
        <v>4525</v>
      </c>
      <c r="AB605" s="16" t="s">
        <v>5373</v>
      </c>
      <c r="AC605" s="16" t="s">
        <v>4527</v>
      </c>
      <c r="AD605" s="123" t="str">
        <f t="shared" si="9"/>
        <v>External Transfer-Other banks</v>
      </c>
      <c r="AE605" s="123" t="str">
        <f>VLOOKUP(Table1[[#This Row],[Name of bank]],'اكواد البنوك'!$A$2:$B$34,2,0)</f>
        <v>CIBEEGCXXXX</v>
      </c>
      <c r="AF605" s="21" t="s">
        <v>4566</v>
      </c>
      <c r="AG605" s="15" t="s">
        <v>3069</v>
      </c>
    </row>
    <row r="606" spans="1:33">
      <c r="A606" s="14">
        <v>605</v>
      </c>
      <c r="B606" s="14" t="s">
        <v>5401</v>
      </c>
      <c r="C606" s="14" t="s">
        <v>6160</v>
      </c>
      <c r="D606" s="15" t="s">
        <v>1839</v>
      </c>
      <c r="E606" s="16" t="s">
        <v>5437</v>
      </c>
      <c r="F606" s="32" t="s">
        <v>5438</v>
      </c>
      <c r="G606" s="17" t="s">
        <v>5439</v>
      </c>
      <c r="H606" s="18" t="s">
        <v>5440</v>
      </c>
      <c r="I606" s="16" t="s">
        <v>5441</v>
      </c>
      <c r="J606" s="16" t="s">
        <v>1845</v>
      </c>
      <c r="K606" s="16" t="s">
        <v>5442</v>
      </c>
      <c r="L606" s="16">
        <v>21867931</v>
      </c>
      <c r="M606" s="16">
        <v>2010899</v>
      </c>
      <c r="N606" s="16" t="s">
        <v>5443</v>
      </c>
      <c r="O606" s="16" t="s">
        <v>5444</v>
      </c>
      <c r="P606" s="16" t="s">
        <v>5445</v>
      </c>
      <c r="Q606" s="16" t="s">
        <v>1815</v>
      </c>
      <c r="R606" s="16" t="s">
        <v>3598</v>
      </c>
      <c r="S606" s="19" t="s">
        <v>5437</v>
      </c>
      <c r="T606" s="20" t="s">
        <v>176</v>
      </c>
      <c r="U606" s="16" t="s">
        <v>1851</v>
      </c>
      <c r="V606" s="16" t="s">
        <v>5446</v>
      </c>
      <c r="W606" s="30" t="s">
        <v>5447</v>
      </c>
      <c r="X606" s="18" t="s">
        <v>542</v>
      </c>
      <c r="Y606" s="18" t="s">
        <v>98</v>
      </c>
      <c r="Z606" s="18" t="s">
        <v>1815</v>
      </c>
      <c r="AA606" s="16" t="s">
        <v>4525</v>
      </c>
      <c r="AB606" s="16" t="s">
        <v>5373</v>
      </c>
      <c r="AC606" s="16" t="s">
        <v>4527</v>
      </c>
      <c r="AD606" s="123" t="str">
        <f t="shared" si="9"/>
        <v>External Transfer-Other banks</v>
      </c>
      <c r="AE606" s="123" t="str">
        <f>VLOOKUP(Table1[[#This Row],[Name of bank]],'اكواد البنوك'!$A$2:$B$34,2,0)</f>
        <v>BMISEGCXXXX</v>
      </c>
      <c r="AF606" s="21" t="s">
        <v>5448</v>
      </c>
      <c r="AG606" s="15" t="s">
        <v>3069</v>
      </c>
    </row>
    <row r="607" spans="1:33">
      <c r="A607" s="14">
        <v>606</v>
      </c>
      <c r="B607" s="14" t="s">
        <v>5401</v>
      </c>
      <c r="C607" s="14" t="e">
        <v>#N/A</v>
      </c>
      <c r="D607" s="15" t="s">
        <v>1839</v>
      </c>
      <c r="E607" s="16" t="s">
        <v>5449</v>
      </c>
      <c r="F607" s="32" t="s">
        <v>5450</v>
      </c>
      <c r="G607" s="17" t="s">
        <v>5451</v>
      </c>
      <c r="H607" s="18" t="s">
        <v>5452</v>
      </c>
      <c r="I607" s="16" t="s">
        <v>5453</v>
      </c>
      <c r="J607" s="16" t="s">
        <v>173</v>
      </c>
      <c r="K607" s="16" t="s">
        <v>5454</v>
      </c>
      <c r="L607" s="16" t="s">
        <v>5455</v>
      </c>
      <c r="M607" s="16" t="s">
        <v>234</v>
      </c>
      <c r="N607" s="16" t="s">
        <v>5456</v>
      </c>
      <c r="O607" s="16" t="s">
        <v>5457</v>
      </c>
      <c r="P607" s="16" t="s">
        <v>5458</v>
      </c>
      <c r="Q607" s="16" t="s">
        <v>1815</v>
      </c>
      <c r="R607" s="16" t="s">
        <v>3598</v>
      </c>
      <c r="S607" s="19" t="s">
        <v>5459</v>
      </c>
      <c r="T607" s="20" t="s">
        <v>40</v>
      </c>
      <c r="U607" s="16" t="s">
        <v>5460</v>
      </c>
      <c r="V607" s="16" t="s">
        <v>5461</v>
      </c>
      <c r="W607" s="30" t="s">
        <v>5462</v>
      </c>
      <c r="X607" s="18" t="s">
        <v>542</v>
      </c>
      <c r="Y607" s="18" t="s">
        <v>98</v>
      </c>
      <c r="Z607" s="18" t="s">
        <v>1815</v>
      </c>
      <c r="AA607" s="16" t="s">
        <v>4525</v>
      </c>
      <c r="AB607" s="16" t="s">
        <v>5373</v>
      </c>
      <c r="AC607" s="16" t="s">
        <v>4527</v>
      </c>
      <c r="AD607" s="123" t="str">
        <f t="shared" si="9"/>
        <v>External Transfer-NBE</v>
      </c>
      <c r="AE607" s="123" t="str">
        <f>VLOOKUP(Table1[[#This Row],[Name of bank]],'اكواد البنوك'!$A$2:$B$34,2,0)</f>
        <v>NBEGEGCXXXX</v>
      </c>
      <c r="AF607" s="21" t="s">
        <v>5463</v>
      </c>
      <c r="AG607" s="15" t="s">
        <v>3069</v>
      </c>
    </row>
    <row r="608" spans="1:33">
      <c r="A608" s="14">
        <v>607</v>
      </c>
      <c r="B608" s="14" t="s">
        <v>2446</v>
      </c>
      <c r="C608" s="14" t="e">
        <v>#N/A</v>
      </c>
      <c r="D608" s="15" t="s">
        <v>1839</v>
      </c>
      <c r="E608" s="16" t="s">
        <v>5464</v>
      </c>
      <c r="F608" s="32" t="s">
        <v>5465</v>
      </c>
      <c r="G608" s="17" t="s">
        <v>5466</v>
      </c>
      <c r="H608" s="18" t="s">
        <v>5467</v>
      </c>
      <c r="I608" s="16" t="s">
        <v>3132</v>
      </c>
      <c r="J608" s="16" t="s">
        <v>86</v>
      </c>
      <c r="K608" s="16" t="s">
        <v>5468</v>
      </c>
      <c r="L608" s="16" t="s">
        <v>5469</v>
      </c>
      <c r="M608" s="16">
        <v>484568809</v>
      </c>
      <c r="N608" s="16" t="s">
        <v>5470</v>
      </c>
      <c r="O608" s="16" t="s">
        <v>5471</v>
      </c>
      <c r="P608" s="16" t="s">
        <v>5472</v>
      </c>
      <c r="Q608" s="16" t="s">
        <v>1815</v>
      </c>
      <c r="R608" s="16" t="s">
        <v>3598</v>
      </c>
      <c r="S608" s="19" t="s">
        <v>5464</v>
      </c>
      <c r="T608" s="20" t="s">
        <v>307</v>
      </c>
      <c r="U608" s="16" t="s">
        <v>5473</v>
      </c>
      <c r="V608" s="16" t="s">
        <v>5474</v>
      </c>
      <c r="W608" s="30" t="s">
        <v>5475</v>
      </c>
      <c r="X608" s="18" t="s">
        <v>2096</v>
      </c>
      <c r="Y608" s="18" t="s">
        <v>98</v>
      </c>
      <c r="Z608" s="18" t="s">
        <v>1815</v>
      </c>
      <c r="AA608" s="16" t="s">
        <v>4525</v>
      </c>
      <c r="AB608" s="16" t="s">
        <v>5373</v>
      </c>
      <c r="AC608" s="16" t="s">
        <v>4527</v>
      </c>
      <c r="AD608" s="123" t="str">
        <f t="shared" si="9"/>
        <v>External Transfer-Other banks</v>
      </c>
      <c r="AE608" s="123" t="str">
        <f>VLOOKUP(Table1[[#This Row],[Name of bank]],'اكواد البنوك'!$A$2:$B$34,2,0)</f>
        <v>CIBEEGCXXXX</v>
      </c>
      <c r="AF608" s="21" t="s">
        <v>2586</v>
      </c>
      <c r="AG608" s="15" t="s">
        <v>3069</v>
      </c>
    </row>
    <row r="609" spans="1:33">
      <c r="A609" s="14">
        <v>608</v>
      </c>
      <c r="B609" s="14" t="s">
        <v>5476</v>
      </c>
      <c r="C609" s="14" t="e">
        <v>#N/A</v>
      </c>
      <c r="D609" s="15" t="s">
        <v>1839</v>
      </c>
      <c r="E609" s="16" t="s">
        <v>5477</v>
      </c>
      <c r="F609" s="32" t="s">
        <v>5478</v>
      </c>
      <c r="G609" s="17" t="s">
        <v>5479</v>
      </c>
      <c r="H609" s="18" t="s">
        <v>5480</v>
      </c>
      <c r="I609" s="16" t="s">
        <v>5481</v>
      </c>
      <c r="J609" s="16" t="s">
        <v>173</v>
      </c>
      <c r="K609" s="16" t="s">
        <v>1206</v>
      </c>
      <c r="L609" s="16" t="s">
        <v>136</v>
      </c>
      <c r="M609" s="16" t="s">
        <v>136</v>
      </c>
      <c r="N609" s="16" t="s">
        <v>5482</v>
      </c>
      <c r="O609" s="16" t="s">
        <v>5483</v>
      </c>
      <c r="P609" s="16" t="s">
        <v>5484</v>
      </c>
      <c r="Q609" s="16" t="s">
        <v>1815</v>
      </c>
      <c r="R609" s="16" t="s">
        <v>3598</v>
      </c>
      <c r="S609" s="19" t="s">
        <v>5477</v>
      </c>
      <c r="T609" s="20" t="s">
        <v>1238</v>
      </c>
      <c r="U609" s="16" t="s">
        <v>3171</v>
      </c>
      <c r="V609" s="16" t="s">
        <v>5485</v>
      </c>
      <c r="W609" s="30" t="s">
        <v>5486</v>
      </c>
      <c r="X609" s="18" t="s">
        <v>542</v>
      </c>
      <c r="Y609" s="18" t="s">
        <v>98</v>
      </c>
      <c r="Z609" s="18" t="s">
        <v>1815</v>
      </c>
      <c r="AA609" s="16" t="s">
        <v>4525</v>
      </c>
      <c r="AB609" s="16" t="s">
        <v>5373</v>
      </c>
      <c r="AC609" s="16" t="s">
        <v>4527</v>
      </c>
      <c r="AD609" s="123" t="str">
        <f t="shared" si="9"/>
        <v>External Transfer-Other banks</v>
      </c>
      <c r="AE609" s="123" t="str">
        <f>VLOOKUP(Table1[[#This Row],[Name of bank]],'اكواد البنوك'!$A$2:$B$34,2,0)</f>
        <v>EBBKEGCXXXX</v>
      </c>
      <c r="AF609" s="21" t="s">
        <v>346</v>
      </c>
      <c r="AG609" s="15" t="s">
        <v>3069</v>
      </c>
    </row>
    <row r="610" spans="1:33">
      <c r="A610" s="14">
        <v>609</v>
      </c>
      <c r="B610" s="14" t="s">
        <v>5476</v>
      </c>
      <c r="C610" s="14" t="s">
        <v>6414</v>
      </c>
      <c r="D610" s="15" t="s">
        <v>1839</v>
      </c>
      <c r="E610" s="16" t="s">
        <v>5487</v>
      </c>
      <c r="F610" s="32" t="s">
        <v>10158</v>
      </c>
      <c r="G610" s="17" t="s">
        <v>5488</v>
      </c>
      <c r="H610" s="18" t="s">
        <v>5489</v>
      </c>
      <c r="I610" s="16" t="s">
        <v>3350</v>
      </c>
      <c r="J610" s="16" t="s">
        <v>86</v>
      </c>
      <c r="K610" s="16" t="s">
        <v>5490</v>
      </c>
      <c r="L610" s="16" t="s">
        <v>5491</v>
      </c>
      <c r="M610" s="16" t="s">
        <v>136</v>
      </c>
      <c r="N610" s="16" t="s">
        <v>5492</v>
      </c>
      <c r="O610" s="16" t="s">
        <v>5493</v>
      </c>
      <c r="P610" s="16" t="s">
        <v>5494</v>
      </c>
      <c r="Q610" s="16" t="s">
        <v>1815</v>
      </c>
      <c r="R610" s="16" t="s">
        <v>3598</v>
      </c>
      <c r="S610" s="19" t="s">
        <v>5487</v>
      </c>
      <c r="T610" s="20" t="s">
        <v>40</v>
      </c>
      <c r="U610" s="16" t="s">
        <v>5495</v>
      </c>
      <c r="V610" s="16" t="s">
        <v>5496</v>
      </c>
      <c r="W610" s="30" t="s">
        <v>5497</v>
      </c>
      <c r="X610" s="18" t="s">
        <v>542</v>
      </c>
      <c r="Y610" s="18" t="s">
        <v>98</v>
      </c>
      <c r="Z610" s="18" t="s">
        <v>1815</v>
      </c>
      <c r="AA610" s="16" t="s">
        <v>4525</v>
      </c>
      <c r="AB610" s="16" t="s">
        <v>5373</v>
      </c>
      <c r="AC610" s="16" t="s">
        <v>4527</v>
      </c>
      <c r="AD610" s="123" t="str">
        <f t="shared" si="9"/>
        <v>External Transfer-NBE</v>
      </c>
      <c r="AE610" s="123" t="str">
        <f>VLOOKUP(Table1[[#This Row],[Name of bank]],'اكواد البنوك'!$A$2:$B$34,2,0)</f>
        <v>NBEGEGCXXXX</v>
      </c>
      <c r="AF610" s="21" t="s">
        <v>2337</v>
      </c>
      <c r="AG610" s="15" t="s">
        <v>3069</v>
      </c>
    </row>
    <row r="611" spans="1:33">
      <c r="A611" s="14">
        <v>610</v>
      </c>
      <c r="B611" s="14" t="s">
        <v>5476</v>
      </c>
      <c r="C611" s="14" t="s">
        <v>6435</v>
      </c>
      <c r="D611" s="15" t="s">
        <v>1839</v>
      </c>
      <c r="E611" s="16" t="s">
        <v>5498</v>
      </c>
      <c r="F611" s="32" t="s">
        <v>5499</v>
      </c>
      <c r="G611" s="17" t="s">
        <v>5500</v>
      </c>
      <c r="H611" s="18" t="s">
        <v>5501</v>
      </c>
      <c r="I611" s="16" t="s">
        <v>5502</v>
      </c>
      <c r="J611" s="16" t="s">
        <v>173</v>
      </c>
      <c r="K611" s="16" t="s">
        <v>3545</v>
      </c>
      <c r="L611" s="16" t="s">
        <v>5503</v>
      </c>
      <c r="M611" s="16" t="s">
        <v>136</v>
      </c>
      <c r="N611" s="16" t="s">
        <v>5504</v>
      </c>
      <c r="O611" s="16" t="s">
        <v>5505</v>
      </c>
      <c r="P611" s="16" t="s">
        <v>5506</v>
      </c>
      <c r="Q611" s="16" t="s">
        <v>1815</v>
      </c>
      <c r="R611" s="16" t="s">
        <v>3598</v>
      </c>
      <c r="S611" s="19" t="s">
        <v>5507</v>
      </c>
      <c r="T611" s="20" t="s">
        <v>40</v>
      </c>
      <c r="U611" s="16" t="s">
        <v>5508</v>
      </c>
      <c r="V611" s="16" t="s">
        <v>5509</v>
      </c>
      <c r="W611" s="30" t="s">
        <v>5510</v>
      </c>
      <c r="X611" s="18" t="s">
        <v>542</v>
      </c>
      <c r="Y611" s="18" t="s">
        <v>98</v>
      </c>
      <c r="Z611" s="18" t="s">
        <v>1815</v>
      </c>
      <c r="AA611" s="16" t="s">
        <v>4525</v>
      </c>
      <c r="AB611" s="16" t="s">
        <v>5373</v>
      </c>
      <c r="AC611" s="16" t="s">
        <v>4527</v>
      </c>
      <c r="AD611" s="123" t="str">
        <f t="shared" si="9"/>
        <v>External Transfer-NBE</v>
      </c>
      <c r="AE611" s="123" t="str">
        <f>VLOOKUP(Table1[[#This Row],[Name of bank]],'اكواد البنوك'!$A$2:$B$34,2,0)</f>
        <v>NBEGEGCXXXX</v>
      </c>
      <c r="AF611" s="21" t="s">
        <v>3614</v>
      </c>
      <c r="AG611" s="15" t="s">
        <v>3069</v>
      </c>
    </row>
    <row r="612" spans="1:33">
      <c r="A612" s="14">
        <v>611</v>
      </c>
      <c r="B612" s="14" t="s">
        <v>5476</v>
      </c>
      <c r="C612" s="14" t="s">
        <v>6135</v>
      </c>
      <c r="D612" s="15" t="s">
        <v>1839</v>
      </c>
      <c r="E612" s="16" t="s">
        <v>5511</v>
      </c>
      <c r="F612" s="32" t="s">
        <v>5512</v>
      </c>
      <c r="G612" s="17" t="s">
        <v>5513</v>
      </c>
      <c r="H612" s="18" t="s">
        <v>5514</v>
      </c>
      <c r="I612" s="16" t="s">
        <v>5515</v>
      </c>
      <c r="J612" s="16" t="s">
        <v>86</v>
      </c>
      <c r="K612" s="16" t="s">
        <v>269</v>
      </c>
      <c r="L612" s="16" t="s">
        <v>5516</v>
      </c>
      <c r="M612" s="16" t="s">
        <v>136</v>
      </c>
      <c r="N612" s="16" t="s">
        <v>5517</v>
      </c>
      <c r="O612" s="16" t="s">
        <v>5518</v>
      </c>
      <c r="P612" s="16" t="s">
        <v>5519</v>
      </c>
      <c r="Q612" s="16" t="s">
        <v>1815</v>
      </c>
      <c r="R612" s="16" t="s">
        <v>3598</v>
      </c>
      <c r="S612" s="19" t="s">
        <v>5511</v>
      </c>
      <c r="T612" s="20" t="s">
        <v>93</v>
      </c>
      <c r="U612" s="16" t="s">
        <v>4647</v>
      </c>
      <c r="V612" s="16" t="s">
        <v>5520</v>
      </c>
      <c r="W612" s="30" t="s">
        <v>5521</v>
      </c>
      <c r="X612" s="18" t="s">
        <v>542</v>
      </c>
      <c r="Y612" s="18" t="s">
        <v>98</v>
      </c>
      <c r="Z612" s="18" t="s">
        <v>1815</v>
      </c>
      <c r="AA612" s="16" t="s">
        <v>4525</v>
      </c>
      <c r="AB612" s="16" t="s">
        <v>5373</v>
      </c>
      <c r="AC612" s="16" t="s">
        <v>4527</v>
      </c>
      <c r="AD612" s="123" t="str">
        <f t="shared" si="9"/>
        <v>External Transfer-Other banks</v>
      </c>
      <c r="AE612" s="123" t="str">
        <f>VLOOKUP(Table1[[#This Row],[Name of bank]],'اكواد البنوك'!$A$2:$B$34,2,0)</f>
        <v>QNBAEGCXXXX</v>
      </c>
      <c r="AF612" s="21" t="s">
        <v>560</v>
      </c>
      <c r="AG612" s="15" t="s">
        <v>3069</v>
      </c>
    </row>
    <row r="613" spans="1:33">
      <c r="A613" s="14">
        <v>612</v>
      </c>
      <c r="B613" s="14" t="s">
        <v>639</v>
      </c>
      <c r="C613" s="14" t="e">
        <v>#N/A</v>
      </c>
      <c r="D613" s="15" t="s">
        <v>1839</v>
      </c>
      <c r="E613" s="16" t="s">
        <v>5522</v>
      </c>
      <c r="F613" s="32" t="s">
        <v>10159</v>
      </c>
      <c r="G613" s="17" t="s">
        <v>5523</v>
      </c>
      <c r="H613" s="18" t="s">
        <v>5524</v>
      </c>
      <c r="I613" s="16" t="s">
        <v>5525</v>
      </c>
      <c r="J613" s="16" t="s">
        <v>86</v>
      </c>
      <c r="K613" s="16" t="s">
        <v>5526</v>
      </c>
      <c r="L613" s="16">
        <v>51648411</v>
      </c>
      <c r="M613" s="16" t="s">
        <v>4273</v>
      </c>
      <c r="N613" s="16" t="s">
        <v>5527</v>
      </c>
      <c r="O613" s="16" t="s">
        <v>5528</v>
      </c>
      <c r="P613" s="16" t="s">
        <v>5529</v>
      </c>
      <c r="Q613" s="16" t="s">
        <v>1815</v>
      </c>
      <c r="R613" s="16" t="s">
        <v>3598</v>
      </c>
      <c r="S613" s="19" t="s">
        <v>5530</v>
      </c>
      <c r="T613" s="20" t="s">
        <v>176</v>
      </c>
      <c r="U613" s="16" t="s">
        <v>5531</v>
      </c>
      <c r="V613" s="16" t="s">
        <v>5532</v>
      </c>
      <c r="W613" s="30" t="s">
        <v>5533</v>
      </c>
      <c r="X613" s="18" t="s">
        <v>2096</v>
      </c>
      <c r="Y613" s="18" t="s">
        <v>98</v>
      </c>
      <c r="Z613" s="18" t="s">
        <v>1815</v>
      </c>
      <c r="AA613" s="16" t="s">
        <v>4525</v>
      </c>
      <c r="AB613" s="16" t="s">
        <v>5373</v>
      </c>
      <c r="AC613" s="16" t="s">
        <v>4527</v>
      </c>
      <c r="AD613" s="123" t="str">
        <f t="shared" si="9"/>
        <v>External Transfer-Other banks</v>
      </c>
      <c r="AE613" s="123" t="str">
        <f>VLOOKUP(Table1[[#This Row],[Name of bank]],'اكواد البنوك'!$A$2:$B$34,2,0)</f>
        <v>BMISEGCXXXX</v>
      </c>
      <c r="AF613" s="21" t="s">
        <v>5534</v>
      </c>
      <c r="AG613" s="15" t="s">
        <v>3069</v>
      </c>
    </row>
    <row r="614" spans="1:33">
      <c r="A614" s="14">
        <v>613</v>
      </c>
      <c r="B614" s="14" t="s">
        <v>639</v>
      </c>
      <c r="C614" s="14" t="s">
        <v>639</v>
      </c>
      <c r="D614" s="15" t="s">
        <v>1839</v>
      </c>
      <c r="E614" s="16" t="s">
        <v>5535</v>
      </c>
      <c r="F614" s="32" t="s">
        <v>5536</v>
      </c>
      <c r="G614" s="17" t="s">
        <v>5537</v>
      </c>
      <c r="H614" s="18" t="s">
        <v>5538</v>
      </c>
      <c r="I614" s="16" t="s">
        <v>5539</v>
      </c>
      <c r="J614" s="16" t="s">
        <v>86</v>
      </c>
      <c r="K614" s="16" t="s">
        <v>5540</v>
      </c>
      <c r="L614" s="16">
        <v>42601990</v>
      </c>
      <c r="M614" s="16">
        <v>374333947</v>
      </c>
      <c r="N614" s="16" t="s">
        <v>5541</v>
      </c>
      <c r="O614" s="16" t="s">
        <v>5542</v>
      </c>
      <c r="P614" s="16" t="s">
        <v>5543</v>
      </c>
      <c r="Q614" s="16" t="s">
        <v>1815</v>
      </c>
      <c r="R614" s="16" t="s">
        <v>3598</v>
      </c>
      <c r="S614" s="19" t="s">
        <v>5544</v>
      </c>
      <c r="T614" s="20" t="s">
        <v>307</v>
      </c>
      <c r="U614" s="16" t="s">
        <v>5434</v>
      </c>
      <c r="V614" s="16" t="s">
        <v>5545</v>
      </c>
      <c r="W614" s="30" t="s">
        <v>5546</v>
      </c>
      <c r="X614" s="18" t="s">
        <v>97</v>
      </c>
      <c r="Y614" s="18" t="s">
        <v>98</v>
      </c>
      <c r="Z614" s="18" t="s">
        <v>1815</v>
      </c>
      <c r="AA614" s="16" t="s">
        <v>4525</v>
      </c>
      <c r="AB614" s="16" t="s">
        <v>5373</v>
      </c>
      <c r="AC614" s="16" t="s">
        <v>4527</v>
      </c>
      <c r="AD614" s="123" t="str">
        <f t="shared" si="9"/>
        <v>External Transfer-Other banks</v>
      </c>
      <c r="AE614" s="123" t="str">
        <f>VLOOKUP(Table1[[#This Row],[Name of bank]],'اكواد البنوك'!$A$2:$B$34,2,0)</f>
        <v>CIBEEGCXXXX</v>
      </c>
      <c r="AF614" s="21" t="s">
        <v>4566</v>
      </c>
      <c r="AG614" s="15" t="s">
        <v>3069</v>
      </c>
    </row>
    <row r="615" spans="1:33">
      <c r="A615" s="14">
        <v>614</v>
      </c>
      <c r="B615" s="14" t="s">
        <v>5547</v>
      </c>
      <c r="C615" s="14" t="s">
        <v>6523</v>
      </c>
      <c r="D615" s="15" t="s">
        <v>1839</v>
      </c>
      <c r="E615" s="16" t="s">
        <v>5548</v>
      </c>
      <c r="F615" s="32" t="s">
        <v>5549</v>
      </c>
      <c r="G615" s="17" t="s">
        <v>5550</v>
      </c>
      <c r="H615" s="18" t="s">
        <v>5551</v>
      </c>
      <c r="I615" s="16" t="s">
        <v>5552</v>
      </c>
      <c r="J615" s="16" t="s">
        <v>173</v>
      </c>
      <c r="K615" s="16" t="s">
        <v>5552</v>
      </c>
      <c r="L615" s="16">
        <v>5269442</v>
      </c>
      <c r="M615" s="16" t="s">
        <v>234</v>
      </c>
      <c r="N615" s="16">
        <v>28612070202221</v>
      </c>
      <c r="O615" s="16" t="s">
        <v>5553</v>
      </c>
      <c r="P615" s="16" t="s">
        <v>5554</v>
      </c>
      <c r="Q615" s="16" t="s">
        <v>1815</v>
      </c>
      <c r="R615" s="16" t="s">
        <v>3598</v>
      </c>
      <c r="S615" s="19" t="s">
        <v>5555</v>
      </c>
      <c r="T615" s="20" t="s">
        <v>7790</v>
      </c>
      <c r="U615" s="16" t="s">
        <v>9842</v>
      </c>
      <c r="V615" s="16" t="s">
        <v>9843</v>
      </c>
      <c r="W615" s="113" t="s">
        <v>9844</v>
      </c>
      <c r="X615" s="18" t="s">
        <v>542</v>
      </c>
      <c r="Y615" s="18" t="s">
        <v>98</v>
      </c>
      <c r="Z615" s="18" t="s">
        <v>1815</v>
      </c>
      <c r="AA615" s="16" t="s">
        <v>4525</v>
      </c>
      <c r="AB615" s="16" t="s">
        <v>5373</v>
      </c>
      <c r="AC615" s="16" t="s">
        <v>4527</v>
      </c>
      <c r="AD615" s="123" t="str">
        <f t="shared" si="9"/>
        <v>External Transfer-Other banks</v>
      </c>
      <c r="AE615" s="123" t="str">
        <f>VLOOKUP(Table1[[#This Row],[Name of bank]],'اكواد البنوك'!$A$2:$B$34,2,0)</f>
        <v>SBNKEGCXXXX</v>
      </c>
      <c r="AF615" s="114" t="s">
        <v>9845</v>
      </c>
      <c r="AG615" s="15" t="s">
        <v>10381</v>
      </c>
    </row>
    <row r="616" spans="1:33">
      <c r="A616" s="14">
        <v>615</v>
      </c>
      <c r="B616" s="14" t="s">
        <v>5547</v>
      </c>
      <c r="C616" s="14" t="s">
        <v>5960</v>
      </c>
      <c r="D616" s="15" t="s">
        <v>1839</v>
      </c>
      <c r="E616" s="16" t="s">
        <v>5556</v>
      </c>
      <c r="F616" s="32" t="s">
        <v>5557</v>
      </c>
      <c r="G616" s="17" t="s">
        <v>5558</v>
      </c>
      <c r="H616" s="18" t="s">
        <v>5559</v>
      </c>
      <c r="I616" s="16" t="s">
        <v>5560</v>
      </c>
      <c r="J616" s="16" t="s">
        <v>173</v>
      </c>
      <c r="K616" s="16" t="s">
        <v>5050</v>
      </c>
      <c r="L616" s="16" t="s">
        <v>5561</v>
      </c>
      <c r="M616" s="16" t="s">
        <v>234</v>
      </c>
      <c r="N616" s="16" t="s">
        <v>5562</v>
      </c>
      <c r="O616" s="16" t="s">
        <v>5563</v>
      </c>
      <c r="P616" s="16" t="s">
        <v>5564</v>
      </c>
      <c r="Q616" s="16" t="s">
        <v>1815</v>
      </c>
      <c r="R616" s="16" t="s">
        <v>3598</v>
      </c>
      <c r="S616" s="19" t="s">
        <v>5565</v>
      </c>
      <c r="T616" s="20" t="s">
        <v>40</v>
      </c>
      <c r="U616" s="16" t="s">
        <v>5566</v>
      </c>
      <c r="V616" s="16" t="s">
        <v>5567</v>
      </c>
      <c r="W616" s="30" t="s">
        <v>5568</v>
      </c>
      <c r="X616" s="18" t="s">
        <v>542</v>
      </c>
      <c r="Y616" s="18" t="s">
        <v>98</v>
      </c>
      <c r="Z616" s="18" t="s">
        <v>1815</v>
      </c>
      <c r="AA616" s="16" t="s">
        <v>4525</v>
      </c>
      <c r="AB616" s="16" t="s">
        <v>5373</v>
      </c>
      <c r="AC616" s="16" t="s">
        <v>4527</v>
      </c>
      <c r="AD616" s="123" t="str">
        <f t="shared" si="9"/>
        <v>External Transfer-NBE</v>
      </c>
      <c r="AE616" s="123" t="str">
        <f>VLOOKUP(Table1[[#This Row],[Name of bank]],'اكواد البنوك'!$A$2:$B$34,2,0)</f>
        <v>NBEGEGCXXXX</v>
      </c>
      <c r="AF616" s="21" t="s">
        <v>5569</v>
      </c>
      <c r="AG616" s="15" t="s">
        <v>3069</v>
      </c>
    </row>
    <row r="617" spans="1:33">
      <c r="A617" s="14">
        <v>616</v>
      </c>
      <c r="B617" s="14" t="s">
        <v>5570</v>
      </c>
      <c r="C617" s="14" t="s">
        <v>6498</v>
      </c>
      <c r="D617" s="15" t="s">
        <v>1839</v>
      </c>
      <c r="E617" s="16" t="s">
        <v>5571</v>
      </c>
      <c r="F617" s="32" t="s">
        <v>5572</v>
      </c>
      <c r="G617" s="17" t="s">
        <v>5573</v>
      </c>
      <c r="H617" s="18" t="s">
        <v>5574</v>
      </c>
      <c r="I617" s="16" t="s">
        <v>5575</v>
      </c>
      <c r="J617" s="16" t="s">
        <v>86</v>
      </c>
      <c r="K617" s="16" t="s">
        <v>148</v>
      </c>
      <c r="L617" s="16" t="s">
        <v>5576</v>
      </c>
      <c r="M617" s="16" t="s">
        <v>136</v>
      </c>
      <c r="N617" s="16" t="s">
        <v>5577</v>
      </c>
      <c r="O617" s="16" t="s">
        <v>5578</v>
      </c>
      <c r="P617" s="16" t="s">
        <v>5579</v>
      </c>
      <c r="Q617" s="16" t="s">
        <v>1815</v>
      </c>
      <c r="R617" s="16" t="s">
        <v>3598</v>
      </c>
      <c r="S617" s="19" t="s">
        <v>5571</v>
      </c>
      <c r="T617" s="20" t="s">
        <v>40</v>
      </c>
      <c r="U617" s="16" t="s">
        <v>1851</v>
      </c>
      <c r="V617" s="16" t="s">
        <v>5580</v>
      </c>
      <c r="W617" s="30" t="s">
        <v>5581</v>
      </c>
      <c r="X617" s="18" t="s">
        <v>542</v>
      </c>
      <c r="Y617" s="18" t="s">
        <v>98</v>
      </c>
      <c r="Z617" s="18" t="s">
        <v>1815</v>
      </c>
      <c r="AA617" s="16" t="s">
        <v>4525</v>
      </c>
      <c r="AB617" s="16" t="s">
        <v>5373</v>
      </c>
      <c r="AC617" s="16" t="s">
        <v>4527</v>
      </c>
      <c r="AD617" s="123" t="str">
        <f t="shared" si="9"/>
        <v>External Transfer-NBE</v>
      </c>
      <c r="AE617" s="123" t="str">
        <f>VLOOKUP(Table1[[#This Row],[Name of bank]],'اكواد البنوك'!$A$2:$B$34,2,0)</f>
        <v>NBEGEGCXXXX</v>
      </c>
      <c r="AF617" s="21" t="s">
        <v>2163</v>
      </c>
      <c r="AG617" s="15" t="s">
        <v>10381</v>
      </c>
    </row>
    <row r="618" spans="1:33">
      <c r="A618" s="14">
        <v>617</v>
      </c>
      <c r="B618" s="14" t="s">
        <v>5570</v>
      </c>
      <c r="C618" s="14" t="e">
        <v>#N/A</v>
      </c>
      <c r="D618" s="15" t="s">
        <v>1839</v>
      </c>
      <c r="E618" s="16" t="s">
        <v>5582</v>
      </c>
      <c r="F618" s="32" t="s">
        <v>10026</v>
      </c>
      <c r="G618" s="17" t="s">
        <v>5583</v>
      </c>
      <c r="H618" s="18" t="s">
        <v>5584</v>
      </c>
      <c r="I618" s="16" t="s">
        <v>5585</v>
      </c>
      <c r="J618" s="16" t="s">
        <v>86</v>
      </c>
      <c r="K618" s="16" t="s">
        <v>2008</v>
      </c>
      <c r="L618" s="16">
        <v>17253025</v>
      </c>
      <c r="M618" s="16" t="s">
        <v>5586</v>
      </c>
      <c r="N618" s="16" t="s">
        <v>5587</v>
      </c>
      <c r="O618" s="16" t="s">
        <v>5588</v>
      </c>
      <c r="P618" s="16" t="s">
        <v>5589</v>
      </c>
      <c r="Q618" s="16" t="s">
        <v>1815</v>
      </c>
      <c r="R618" s="16" t="s">
        <v>3598</v>
      </c>
      <c r="S618" s="19" t="s">
        <v>5590</v>
      </c>
      <c r="T618" s="20" t="s">
        <v>1464</v>
      </c>
      <c r="U618" s="16" t="s">
        <v>5591</v>
      </c>
      <c r="V618" s="16" t="s">
        <v>5592</v>
      </c>
      <c r="W618" s="30" t="s">
        <v>5593</v>
      </c>
      <c r="X618" s="18" t="s">
        <v>542</v>
      </c>
      <c r="Y618" s="18" t="s">
        <v>98</v>
      </c>
      <c r="Z618" s="18" t="s">
        <v>1815</v>
      </c>
      <c r="AA618" s="16" t="s">
        <v>4525</v>
      </c>
      <c r="AB618" s="16" t="s">
        <v>5373</v>
      </c>
      <c r="AC618" s="16" t="s">
        <v>4527</v>
      </c>
      <c r="AD618" s="123" t="str">
        <f t="shared" si="9"/>
        <v>External Transfer-Other banks</v>
      </c>
      <c r="AE618" s="123" t="str">
        <f>VLOOKUP(Table1[[#This Row],[Name of bank]],'اكواد البنوك'!$A$2:$B$34,2,0)</f>
        <v>HDBKEGCAXXX</v>
      </c>
      <c r="AF618" s="21" t="s">
        <v>3614</v>
      </c>
      <c r="AG618" s="15" t="s">
        <v>3069</v>
      </c>
    </row>
    <row r="619" spans="1:33">
      <c r="A619" s="14">
        <v>618</v>
      </c>
      <c r="B619" s="14" t="s">
        <v>5570</v>
      </c>
      <c r="C619" s="14" t="e">
        <v>#N/A</v>
      </c>
      <c r="D619" s="15" t="s">
        <v>1839</v>
      </c>
      <c r="E619" s="16" t="s">
        <v>5594</v>
      </c>
      <c r="F619" s="32" t="s">
        <v>5595</v>
      </c>
      <c r="G619" s="17" t="s">
        <v>5596</v>
      </c>
      <c r="H619" s="18" t="s">
        <v>5597</v>
      </c>
      <c r="I619" s="16" t="s">
        <v>5598</v>
      </c>
      <c r="J619" s="16" t="s">
        <v>86</v>
      </c>
      <c r="K619" s="16" t="s">
        <v>5599</v>
      </c>
      <c r="L619" s="16" t="s">
        <v>5600</v>
      </c>
      <c r="M619" s="16" t="s">
        <v>5601</v>
      </c>
      <c r="N619" s="16" t="s">
        <v>5602</v>
      </c>
      <c r="O619" s="16" t="s">
        <v>5603</v>
      </c>
      <c r="P619" s="16" t="s">
        <v>5604</v>
      </c>
      <c r="Q619" s="16" t="s">
        <v>1815</v>
      </c>
      <c r="R619" s="16" t="s">
        <v>3598</v>
      </c>
      <c r="S619" s="19" t="s">
        <v>5605</v>
      </c>
      <c r="T619" s="20" t="s">
        <v>40</v>
      </c>
      <c r="U619" s="16" t="s">
        <v>5606</v>
      </c>
      <c r="V619" s="16" t="s">
        <v>5607</v>
      </c>
      <c r="W619" s="30" t="s">
        <v>5608</v>
      </c>
      <c r="X619" s="18" t="s">
        <v>542</v>
      </c>
      <c r="Y619" s="18" t="s">
        <v>98</v>
      </c>
      <c r="Z619" s="18" t="s">
        <v>1815</v>
      </c>
      <c r="AA619" s="16" t="s">
        <v>4525</v>
      </c>
      <c r="AB619" s="16" t="s">
        <v>5373</v>
      </c>
      <c r="AC619" s="16" t="s">
        <v>4527</v>
      </c>
      <c r="AD619" s="123" t="str">
        <f t="shared" si="9"/>
        <v>External Transfer-NBE</v>
      </c>
      <c r="AE619" s="123" t="str">
        <f>VLOOKUP(Table1[[#This Row],[Name of bank]],'اكواد البنوك'!$A$2:$B$34,2,0)</f>
        <v>NBEGEGCXXXX</v>
      </c>
      <c r="AF619" s="21" t="s">
        <v>2552</v>
      </c>
      <c r="AG619" s="15" t="s">
        <v>3069</v>
      </c>
    </row>
    <row r="620" spans="1:33">
      <c r="A620" s="14">
        <v>619</v>
      </c>
      <c r="B620" s="14" t="s">
        <v>5570</v>
      </c>
      <c r="C620" s="14" t="s">
        <v>5570</v>
      </c>
      <c r="D620" s="15" t="s">
        <v>1839</v>
      </c>
      <c r="E620" s="16" t="s">
        <v>5609</v>
      </c>
      <c r="F620" s="32" t="s">
        <v>5610</v>
      </c>
      <c r="G620" s="17" t="s">
        <v>5611</v>
      </c>
      <c r="H620" s="18" t="s">
        <v>5612</v>
      </c>
      <c r="I620" s="16" t="s">
        <v>5613</v>
      </c>
      <c r="J620" s="16" t="s">
        <v>173</v>
      </c>
      <c r="K620" s="16" t="s">
        <v>448</v>
      </c>
      <c r="L620" s="16" t="s">
        <v>5614</v>
      </c>
      <c r="M620" s="16" t="s">
        <v>136</v>
      </c>
      <c r="N620" s="16" t="s">
        <v>5615</v>
      </c>
      <c r="O620" s="16" t="s">
        <v>5616</v>
      </c>
      <c r="P620" s="16" t="s">
        <v>5617</v>
      </c>
      <c r="Q620" s="16" t="s">
        <v>1815</v>
      </c>
      <c r="R620" s="16" t="s">
        <v>3598</v>
      </c>
      <c r="S620" s="19" t="s">
        <v>5618</v>
      </c>
      <c r="T620" s="20" t="s">
        <v>993</v>
      </c>
      <c r="U620" s="16" t="s">
        <v>5245</v>
      </c>
      <c r="V620" s="16" t="s">
        <v>5619</v>
      </c>
      <c r="W620" s="30" t="s">
        <v>5620</v>
      </c>
      <c r="X620" s="18" t="s">
        <v>542</v>
      </c>
      <c r="Y620" s="18" t="s">
        <v>98</v>
      </c>
      <c r="Z620" s="18" t="s">
        <v>1815</v>
      </c>
      <c r="AA620" s="16" t="s">
        <v>4525</v>
      </c>
      <c r="AB620" s="16" t="s">
        <v>5373</v>
      </c>
      <c r="AC620" s="16" t="s">
        <v>4527</v>
      </c>
      <c r="AD620" s="123" t="str">
        <f t="shared" si="9"/>
        <v>External Transfer-Other banks</v>
      </c>
      <c r="AE620" s="123" t="str">
        <f>VLOOKUP(Table1[[#This Row],[Name of bank]],'اكواد البنوك'!$A$2:$B$34,2,0)</f>
        <v>ALEXEGCXXXX</v>
      </c>
      <c r="AF620" s="21" t="s">
        <v>2107</v>
      </c>
      <c r="AG620" s="15" t="s">
        <v>3069</v>
      </c>
    </row>
    <row r="621" spans="1:33">
      <c r="A621" s="14">
        <v>620</v>
      </c>
      <c r="B621" s="14" t="s">
        <v>5570</v>
      </c>
      <c r="C621" s="14" t="s">
        <v>5024</v>
      </c>
      <c r="D621" s="15" t="s">
        <v>1839</v>
      </c>
      <c r="E621" s="16" t="s">
        <v>5621</v>
      </c>
      <c r="F621" s="32" t="s">
        <v>5622</v>
      </c>
      <c r="G621" s="17" t="s">
        <v>5623</v>
      </c>
      <c r="H621" s="18" t="s">
        <v>5624</v>
      </c>
      <c r="I621" s="16" t="s">
        <v>5625</v>
      </c>
      <c r="J621" s="16" t="s">
        <v>173</v>
      </c>
      <c r="K621" s="16" t="s">
        <v>106</v>
      </c>
      <c r="L621" s="16" t="s">
        <v>5626</v>
      </c>
      <c r="M621" s="16" t="s">
        <v>136</v>
      </c>
      <c r="N621" s="16" t="s">
        <v>5627</v>
      </c>
      <c r="O621" s="16" t="s">
        <v>5628</v>
      </c>
      <c r="P621" s="16" t="s">
        <v>5629</v>
      </c>
      <c r="Q621" s="16" t="s">
        <v>1815</v>
      </c>
      <c r="R621" s="16" t="s">
        <v>3598</v>
      </c>
      <c r="S621" s="19" t="s">
        <v>5630</v>
      </c>
      <c r="T621" s="20" t="s">
        <v>176</v>
      </c>
      <c r="U621" s="16" t="s">
        <v>5631</v>
      </c>
      <c r="V621" s="16" t="s">
        <v>5632</v>
      </c>
      <c r="W621" s="30" t="s">
        <v>5633</v>
      </c>
      <c r="X621" s="18" t="s">
        <v>542</v>
      </c>
      <c r="Y621" s="18" t="s">
        <v>98</v>
      </c>
      <c r="Z621" s="18" t="s">
        <v>1815</v>
      </c>
      <c r="AA621" s="16" t="s">
        <v>4525</v>
      </c>
      <c r="AB621" s="16" t="s">
        <v>5373</v>
      </c>
      <c r="AC621" s="16" t="s">
        <v>4527</v>
      </c>
      <c r="AD621" s="123" t="str">
        <f t="shared" si="9"/>
        <v>External Transfer-Other banks</v>
      </c>
      <c r="AE621" s="123" t="str">
        <f>VLOOKUP(Table1[[#This Row],[Name of bank]],'اكواد البنوك'!$A$2:$B$34,2,0)</f>
        <v>BMISEGCXXXX</v>
      </c>
      <c r="AF621" s="21" t="s">
        <v>5634</v>
      </c>
      <c r="AG621" s="15" t="s">
        <v>3069</v>
      </c>
    </row>
    <row r="622" spans="1:33">
      <c r="A622" s="14">
        <v>621</v>
      </c>
      <c r="B622" s="14" t="s">
        <v>5635</v>
      </c>
      <c r="C622" s="14" t="e">
        <v>#N/A</v>
      </c>
      <c r="D622" s="15" t="s">
        <v>1839</v>
      </c>
      <c r="E622" s="16" t="s">
        <v>5636</v>
      </c>
      <c r="F622" s="32" t="s">
        <v>5637</v>
      </c>
      <c r="G622" s="17" t="s">
        <v>5638</v>
      </c>
      <c r="H622" s="18" t="s">
        <v>5639</v>
      </c>
      <c r="I622" s="16" t="s">
        <v>5640</v>
      </c>
      <c r="J622" s="16" t="s">
        <v>173</v>
      </c>
      <c r="K622" s="16" t="s">
        <v>5641</v>
      </c>
      <c r="L622" s="16">
        <v>23751888</v>
      </c>
      <c r="M622" s="16" t="s">
        <v>234</v>
      </c>
      <c r="N622" s="16">
        <v>28903232300235</v>
      </c>
      <c r="O622" s="16" t="s">
        <v>5642</v>
      </c>
      <c r="P622" s="16" t="s">
        <v>5643</v>
      </c>
      <c r="Q622" s="16" t="s">
        <v>1815</v>
      </c>
      <c r="R622" s="16" t="s">
        <v>3598</v>
      </c>
      <c r="S622" s="19" t="s">
        <v>5636</v>
      </c>
      <c r="T622" s="20" t="s">
        <v>93</v>
      </c>
      <c r="U622" s="16" t="s">
        <v>4075</v>
      </c>
      <c r="V622" s="16" t="s">
        <v>9846</v>
      </c>
      <c r="W622" s="30" t="s">
        <v>9847</v>
      </c>
      <c r="X622" s="18" t="s">
        <v>542</v>
      </c>
      <c r="Y622" s="18" t="s">
        <v>98</v>
      </c>
      <c r="Z622" s="18" t="s">
        <v>1815</v>
      </c>
      <c r="AA622" s="16" t="s">
        <v>4525</v>
      </c>
      <c r="AB622" s="16" t="s">
        <v>5373</v>
      </c>
      <c r="AC622" s="16" t="s">
        <v>4527</v>
      </c>
      <c r="AD622" s="123" t="str">
        <f t="shared" si="9"/>
        <v>External Transfer-Other banks</v>
      </c>
      <c r="AE622" s="123" t="str">
        <f>VLOOKUP(Table1[[#This Row],[Name of bank]],'اكواد البنوك'!$A$2:$B$34,2,0)</f>
        <v>QNBAEGCXXXX</v>
      </c>
      <c r="AF622" s="21" t="s">
        <v>1467</v>
      </c>
      <c r="AG622" s="15" t="s">
        <v>10381</v>
      </c>
    </row>
    <row r="623" spans="1:33">
      <c r="A623" s="14">
        <v>622</v>
      </c>
      <c r="B623" s="14" t="s">
        <v>5635</v>
      </c>
      <c r="C623" s="14" t="s">
        <v>6435</v>
      </c>
      <c r="D623" s="15" t="s">
        <v>1839</v>
      </c>
      <c r="E623" s="16" t="s">
        <v>5644</v>
      </c>
      <c r="F623" s="32" t="s">
        <v>5645</v>
      </c>
      <c r="G623" s="17" t="s">
        <v>5646</v>
      </c>
      <c r="H623" s="18" t="s">
        <v>5647</v>
      </c>
      <c r="I623" s="16" t="s">
        <v>5648</v>
      </c>
      <c r="J623" s="16" t="s">
        <v>86</v>
      </c>
      <c r="K623" s="16" t="s">
        <v>2008</v>
      </c>
      <c r="L623" s="16" t="s">
        <v>5649</v>
      </c>
      <c r="M623" s="16" t="s">
        <v>234</v>
      </c>
      <c r="N623" s="16" t="s">
        <v>5650</v>
      </c>
      <c r="O623" s="16" t="s">
        <v>5651</v>
      </c>
      <c r="P623" s="16" t="s">
        <v>5652</v>
      </c>
      <c r="Q623" s="16" t="s">
        <v>1815</v>
      </c>
      <c r="R623" s="16" t="s">
        <v>3598</v>
      </c>
      <c r="S623" s="19" t="s">
        <v>5645</v>
      </c>
      <c r="T623" s="20" t="s">
        <v>223</v>
      </c>
      <c r="U623" s="16" t="s">
        <v>5653</v>
      </c>
      <c r="V623" s="16">
        <v>3286040001</v>
      </c>
      <c r="W623" s="30" t="s">
        <v>5654</v>
      </c>
      <c r="X623" s="18" t="s">
        <v>542</v>
      </c>
      <c r="Y623" s="18" t="s">
        <v>98</v>
      </c>
      <c r="Z623" s="18" t="s">
        <v>1815</v>
      </c>
      <c r="AA623" s="16" t="s">
        <v>4525</v>
      </c>
      <c r="AB623" s="16" t="s">
        <v>5373</v>
      </c>
      <c r="AC623" s="16" t="s">
        <v>4527</v>
      </c>
      <c r="AD623" s="123" t="str">
        <f t="shared" si="9"/>
        <v>External Transfer-Other banks</v>
      </c>
      <c r="AE623" s="123" t="str">
        <f>VLOOKUP(Table1[[#This Row],[Name of bank]],'اكواد البنوك'!$A$2:$B$34,2,0)</f>
        <v>NBADEGCAXXX</v>
      </c>
      <c r="AF623" s="21" t="s">
        <v>3185</v>
      </c>
      <c r="AG623" s="15" t="s">
        <v>3069</v>
      </c>
    </row>
    <row r="624" spans="1:33">
      <c r="A624" s="14">
        <v>623</v>
      </c>
      <c r="B624" s="14" t="s">
        <v>5655</v>
      </c>
      <c r="C624" s="14" t="e">
        <v>#N/A</v>
      </c>
      <c r="D624" s="15" t="s">
        <v>1839</v>
      </c>
      <c r="E624" s="16" t="s">
        <v>5656</v>
      </c>
      <c r="F624" s="32" t="s">
        <v>5657</v>
      </c>
      <c r="G624" s="17" t="s">
        <v>5658</v>
      </c>
      <c r="H624" s="18" t="s">
        <v>5659</v>
      </c>
      <c r="I624" s="16" t="s">
        <v>5660</v>
      </c>
      <c r="J624" s="16" t="s">
        <v>86</v>
      </c>
      <c r="K624" s="16" t="s">
        <v>1910</v>
      </c>
      <c r="L624" s="16">
        <v>59444533</v>
      </c>
      <c r="M624" s="16" t="s">
        <v>136</v>
      </c>
      <c r="N624" s="16" t="s">
        <v>5661</v>
      </c>
      <c r="O624" s="16" t="s">
        <v>5662</v>
      </c>
      <c r="P624" s="16" t="s">
        <v>5663</v>
      </c>
      <c r="Q624" s="16" t="s">
        <v>1815</v>
      </c>
      <c r="R624" s="16" t="s">
        <v>3598</v>
      </c>
      <c r="S624" s="19" t="s">
        <v>5664</v>
      </c>
      <c r="T624" s="20" t="s">
        <v>40</v>
      </c>
      <c r="U624" s="16" t="s">
        <v>5665</v>
      </c>
      <c r="V624" s="16" t="s">
        <v>5666</v>
      </c>
      <c r="W624" s="30" t="s">
        <v>5667</v>
      </c>
      <c r="X624" s="18" t="s">
        <v>542</v>
      </c>
      <c r="Y624" s="18" t="s">
        <v>98</v>
      </c>
      <c r="Z624" s="18" t="s">
        <v>1815</v>
      </c>
      <c r="AA624" s="16" t="s">
        <v>4525</v>
      </c>
      <c r="AB624" s="16" t="s">
        <v>5373</v>
      </c>
      <c r="AC624" s="16" t="s">
        <v>4527</v>
      </c>
      <c r="AD624" s="123" t="str">
        <f t="shared" si="9"/>
        <v>External Transfer-NBE</v>
      </c>
      <c r="AE624" s="123" t="str">
        <f>VLOOKUP(Table1[[#This Row],[Name of bank]],'اكواد البنوك'!$A$2:$B$34,2,0)</f>
        <v>NBEGEGCXXXX</v>
      </c>
      <c r="AF624" s="21" t="s">
        <v>5668</v>
      </c>
      <c r="AG624" s="15" t="s">
        <v>3069</v>
      </c>
    </row>
    <row r="625" spans="1:33">
      <c r="A625" s="14">
        <v>624</v>
      </c>
      <c r="B625" s="14" t="s">
        <v>5655</v>
      </c>
      <c r="C625" s="14" t="s">
        <v>5476</v>
      </c>
      <c r="D625" s="15" t="s">
        <v>1839</v>
      </c>
      <c r="E625" s="16" t="s">
        <v>5669</v>
      </c>
      <c r="F625" s="32" t="s">
        <v>5670</v>
      </c>
      <c r="G625" s="17" t="s">
        <v>5671</v>
      </c>
      <c r="H625" s="18" t="s">
        <v>5672</v>
      </c>
      <c r="I625" s="16" t="s">
        <v>5673</v>
      </c>
      <c r="J625" s="16" t="s">
        <v>173</v>
      </c>
      <c r="K625" s="16" t="s">
        <v>269</v>
      </c>
      <c r="L625" s="16" t="s">
        <v>5674</v>
      </c>
      <c r="M625" s="16" t="s">
        <v>136</v>
      </c>
      <c r="N625" s="16">
        <v>26009040400376</v>
      </c>
      <c r="O625" s="16" t="s">
        <v>5675</v>
      </c>
      <c r="P625" s="16" t="s">
        <v>5676</v>
      </c>
      <c r="Q625" s="16" t="s">
        <v>1815</v>
      </c>
      <c r="R625" s="16" t="s">
        <v>3598</v>
      </c>
      <c r="S625" s="19" t="s">
        <v>5670</v>
      </c>
      <c r="T625" s="20" t="s">
        <v>40</v>
      </c>
      <c r="U625" s="16" t="s">
        <v>5677</v>
      </c>
      <c r="V625" s="16" t="s">
        <v>5678</v>
      </c>
      <c r="W625" s="30" t="s">
        <v>5679</v>
      </c>
      <c r="X625" s="18" t="s">
        <v>542</v>
      </c>
      <c r="Y625" s="18" t="s">
        <v>98</v>
      </c>
      <c r="Z625" s="18" t="s">
        <v>1815</v>
      </c>
      <c r="AA625" s="16" t="s">
        <v>4525</v>
      </c>
      <c r="AB625" s="16" t="s">
        <v>5373</v>
      </c>
      <c r="AC625" s="16" t="s">
        <v>4527</v>
      </c>
      <c r="AD625" s="123" t="str">
        <f t="shared" si="9"/>
        <v>External Transfer-NBE</v>
      </c>
      <c r="AE625" s="123" t="str">
        <f>VLOOKUP(Table1[[#This Row],[Name of bank]],'اكواد البنوك'!$A$2:$B$34,2,0)</f>
        <v>NBEGEGCXXXX</v>
      </c>
      <c r="AF625" s="21" t="s">
        <v>874</v>
      </c>
      <c r="AG625" s="15" t="s">
        <v>3069</v>
      </c>
    </row>
    <row r="626" spans="1:33">
      <c r="A626" s="14">
        <v>625</v>
      </c>
      <c r="B626" s="14" t="s">
        <v>73</v>
      </c>
      <c r="C626" s="14" t="s">
        <v>4935</v>
      </c>
      <c r="D626" s="15" t="s">
        <v>1703</v>
      </c>
      <c r="E626" s="16" t="s">
        <v>5680</v>
      </c>
      <c r="F626" s="32" t="s">
        <v>5681</v>
      </c>
      <c r="G626" s="17" t="s">
        <v>5682</v>
      </c>
      <c r="H626" s="18" t="s">
        <v>5683</v>
      </c>
      <c r="I626" s="16" t="s">
        <v>1703</v>
      </c>
      <c r="J626" s="16" t="e">
        <v>#N/A</v>
      </c>
      <c r="K626" s="16" t="e">
        <v>#N/A</v>
      </c>
      <c r="L626" s="16" t="e">
        <v>#N/A</v>
      </c>
      <c r="M626" s="16" t="s">
        <v>3065</v>
      </c>
      <c r="N626" s="16"/>
      <c r="O626" s="16" t="s">
        <v>3065</v>
      </c>
      <c r="P626" s="16"/>
      <c r="Q626" s="16"/>
      <c r="R626" s="16"/>
      <c r="S626" s="19"/>
      <c r="T626" s="20" t="s">
        <v>40</v>
      </c>
      <c r="U626" s="16"/>
      <c r="V626" s="16"/>
      <c r="W626" s="30">
        <v>30</v>
      </c>
      <c r="X626" s="18" t="s">
        <v>78</v>
      </c>
      <c r="Y626" s="18" t="s">
        <v>43</v>
      </c>
      <c r="Z626" s="18" t="s">
        <v>1815</v>
      </c>
      <c r="AA626" s="16" t="s">
        <v>4525</v>
      </c>
      <c r="AB626" s="16" t="s">
        <v>5373</v>
      </c>
      <c r="AC626" s="16" t="s">
        <v>4527</v>
      </c>
      <c r="AD626" s="123" t="str">
        <f t="shared" si="9"/>
        <v>Internal Transfer</v>
      </c>
      <c r="AE626" s="123" t="str">
        <f>VLOOKUP(Table1[[#This Row],[Name of bank]],'اكواد البنوك'!$A$2:$B$34,2,0)</f>
        <v>NBEGEGCXXXX</v>
      </c>
      <c r="AF626" s="21" t="s">
        <v>5684</v>
      </c>
      <c r="AG626" s="15" t="s">
        <v>3069</v>
      </c>
    </row>
    <row r="627" spans="1:33">
      <c r="A627" s="14">
        <v>626</v>
      </c>
      <c r="B627" s="14" t="s">
        <v>73</v>
      </c>
      <c r="C627" s="14" t="s">
        <v>206</v>
      </c>
      <c r="D627" s="15" t="s">
        <v>1839</v>
      </c>
      <c r="E627" s="16" t="s">
        <v>5685</v>
      </c>
      <c r="F627" s="32" t="s">
        <v>5686</v>
      </c>
      <c r="G627" s="17" t="s">
        <v>5687</v>
      </c>
      <c r="H627" s="18" t="s">
        <v>5688</v>
      </c>
      <c r="I627" s="16" t="s">
        <v>5689</v>
      </c>
      <c r="J627" s="16" t="s">
        <v>86</v>
      </c>
      <c r="K627" s="16" t="s">
        <v>5690</v>
      </c>
      <c r="L627" s="16">
        <v>85014047</v>
      </c>
      <c r="M627" s="16" t="s">
        <v>136</v>
      </c>
      <c r="N627" s="16" t="s">
        <v>5691</v>
      </c>
      <c r="O627" s="16" t="s">
        <v>5692</v>
      </c>
      <c r="P627" s="16" t="s">
        <v>5693</v>
      </c>
      <c r="Q627" s="16" t="s">
        <v>1815</v>
      </c>
      <c r="R627" s="16" t="s">
        <v>3598</v>
      </c>
      <c r="S627" s="19" t="s">
        <v>5685</v>
      </c>
      <c r="T627" s="20" t="s">
        <v>176</v>
      </c>
      <c r="U627" s="16" t="s">
        <v>1943</v>
      </c>
      <c r="V627" s="16" t="s">
        <v>5694</v>
      </c>
      <c r="W627" s="30" t="s">
        <v>5695</v>
      </c>
      <c r="X627" s="18" t="s">
        <v>97</v>
      </c>
      <c r="Y627" s="18" t="s">
        <v>98</v>
      </c>
      <c r="Z627" s="18" t="s">
        <v>1815</v>
      </c>
      <c r="AA627" s="16" t="s">
        <v>4525</v>
      </c>
      <c r="AB627" s="16" t="s">
        <v>5373</v>
      </c>
      <c r="AC627" s="16" t="s">
        <v>4527</v>
      </c>
      <c r="AD627" s="123" t="str">
        <f t="shared" si="9"/>
        <v>External Transfer-Other banks</v>
      </c>
      <c r="AE627" s="123" t="str">
        <f>VLOOKUP(Table1[[#This Row],[Name of bank]],'اكواد البنوك'!$A$2:$B$34,2,0)</f>
        <v>BMISEGCXXXX</v>
      </c>
      <c r="AF627" s="21" t="s">
        <v>1946</v>
      </c>
      <c r="AG627" s="15" t="s">
        <v>3069</v>
      </c>
    </row>
    <row r="628" spans="1:33">
      <c r="A628" s="14">
        <v>627</v>
      </c>
      <c r="B628" s="14" t="s">
        <v>73</v>
      </c>
      <c r="C628" s="14" t="e">
        <v>#N/A</v>
      </c>
      <c r="D628" s="15" t="s">
        <v>1839</v>
      </c>
      <c r="E628" s="16" t="s">
        <v>5696</v>
      </c>
      <c r="F628" s="32" t="s">
        <v>5697</v>
      </c>
      <c r="G628" s="17" t="s">
        <v>5698</v>
      </c>
      <c r="H628" s="18" t="s">
        <v>5699</v>
      </c>
      <c r="I628" s="16" t="s">
        <v>5700</v>
      </c>
      <c r="J628" s="16" t="s">
        <v>1845</v>
      </c>
      <c r="K628" s="16" t="s">
        <v>5701</v>
      </c>
      <c r="L628" s="16">
        <v>27960216</v>
      </c>
      <c r="M628" s="16" t="s">
        <v>136</v>
      </c>
      <c r="N628" s="16" t="s">
        <v>5702</v>
      </c>
      <c r="O628" s="16" t="s">
        <v>5703</v>
      </c>
      <c r="P628" s="16" t="s">
        <v>5704</v>
      </c>
      <c r="Q628" s="16" t="s">
        <v>1815</v>
      </c>
      <c r="R628" s="16" t="s">
        <v>3598</v>
      </c>
      <c r="S628" s="19" t="s">
        <v>5697</v>
      </c>
      <c r="T628" s="20" t="s">
        <v>40</v>
      </c>
      <c r="U628" s="16" t="s">
        <v>5705</v>
      </c>
      <c r="V628" s="16" t="s">
        <v>5706</v>
      </c>
      <c r="W628" s="30" t="s">
        <v>5707</v>
      </c>
      <c r="X628" s="18" t="s">
        <v>97</v>
      </c>
      <c r="Y628" s="18" t="s">
        <v>98</v>
      </c>
      <c r="Z628" s="18" t="s">
        <v>1815</v>
      </c>
      <c r="AA628" s="16" t="s">
        <v>4525</v>
      </c>
      <c r="AB628" s="16" t="s">
        <v>5373</v>
      </c>
      <c r="AC628" s="16" t="s">
        <v>4527</v>
      </c>
      <c r="AD628" s="123" t="str">
        <f t="shared" si="9"/>
        <v>External Transfer-NBE</v>
      </c>
      <c r="AE628" s="123" t="str">
        <f>VLOOKUP(Table1[[#This Row],[Name of bank]],'اكواد البنوك'!$A$2:$B$34,2,0)</f>
        <v>NBEGEGCXXXX</v>
      </c>
      <c r="AF628" s="21" t="s">
        <v>5708</v>
      </c>
      <c r="AG628" s="15" t="s">
        <v>3069</v>
      </c>
    </row>
    <row r="629" spans="1:33">
      <c r="A629" s="14">
        <v>628</v>
      </c>
      <c r="B629" s="14" t="s">
        <v>5709</v>
      </c>
      <c r="C629" s="14" t="s">
        <v>5235</v>
      </c>
      <c r="D629" s="15" t="s">
        <v>1839</v>
      </c>
      <c r="E629" s="16" t="s">
        <v>5710</v>
      </c>
      <c r="F629" s="32" t="s">
        <v>5711</v>
      </c>
      <c r="G629" s="17" t="s">
        <v>5712</v>
      </c>
      <c r="H629" s="18" t="s">
        <v>5713</v>
      </c>
      <c r="I629" s="16" t="s">
        <v>5714</v>
      </c>
      <c r="J629" s="16" t="s">
        <v>86</v>
      </c>
      <c r="K629" s="16" t="s">
        <v>5715</v>
      </c>
      <c r="L629" s="16" t="s">
        <v>5716</v>
      </c>
      <c r="M629" s="16" t="s">
        <v>136</v>
      </c>
      <c r="N629" s="16" t="s">
        <v>5717</v>
      </c>
      <c r="O629" s="16" t="s">
        <v>5718</v>
      </c>
      <c r="P629" s="16" t="s">
        <v>5719</v>
      </c>
      <c r="Q629" s="16" t="s">
        <v>1815</v>
      </c>
      <c r="R629" s="16" t="s">
        <v>3598</v>
      </c>
      <c r="S629" s="19" t="s">
        <v>5720</v>
      </c>
      <c r="T629" s="20" t="s">
        <v>908</v>
      </c>
      <c r="U629" s="16" t="s">
        <v>4003</v>
      </c>
      <c r="V629" s="16" t="s">
        <v>5721</v>
      </c>
      <c r="W629" s="30" t="s">
        <v>5722</v>
      </c>
      <c r="X629" s="18" t="s">
        <v>542</v>
      </c>
      <c r="Y629" s="18" t="s">
        <v>98</v>
      </c>
      <c r="Z629" s="18" t="s">
        <v>1815</v>
      </c>
      <c r="AA629" s="16" t="s">
        <v>4525</v>
      </c>
      <c r="AB629" s="16" t="s">
        <v>5373</v>
      </c>
      <c r="AC629" s="16" t="s">
        <v>4527</v>
      </c>
      <c r="AD629" s="123" t="str">
        <f t="shared" si="9"/>
        <v>External Transfer-Other banks</v>
      </c>
      <c r="AE629" s="123" t="str">
        <f>VLOOKUP(Table1[[#This Row],[Name of bank]],'اكواد البنوك'!$A$2:$B$34,2,0)</f>
        <v>ARAIEGCXXXX</v>
      </c>
      <c r="AF629" s="21" t="s">
        <v>5723</v>
      </c>
      <c r="AG629" s="15" t="s">
        <v>167</v>
      </c>
    </row>
    <row r="630" spans="1:33">
      <c r="A630" s="14">
        <v>629</v>
      </c>
      <c r="B630" s="14" t="s">
        <v>5709</v>
      </c>
      <c r="C630" s="14" t="e">
        <v>#N/A</v>
      </c>
      <c r="D630" s="15" t="s">
        <v>1839</v>
      </c>
      <c r="E630" s="16" t="s">
        <v>5724</v>
      </c>
      <c r="F630" s="32" t="s">
        <v>5725</v>
      </c>
      <c r="G630" s="17" t="s">
        <v>5726</v>
      </c>
      <c r="H630" s="18" t="s">
        <v>5727</v>
      </c>
      <c r="I630" s="16" t="s">
        <v>5728</v>
      </c>
      <c r="J630" s="16" t="s">
        <v>1845</v>
      </c>
      <c r="K630" s="16" t="s">
        <v>5729</v>
      </c>
      <c r="L630" s="16">
        <v>46305894</v>
      </c>
      <c r="M630" s="16">
        <v>100544789</v>
      </c>
      <c r="N630" s="16" t="s">
        <v>5730</v>
      </c>
      <c r="O630" s="16" t="s">
        <v>5731</v>
      </c>
      <c r="P630" s="16" t="s">
        <v>5732</v>
      </c>
      <c r="Q630" s="16" t="s">
        <v>1815</v>
      </c>
      <c r="R630" s="16" t="s">
        <v>3598</v>
      </c>
      <c r="S630" s="19" t="s">
        <v>5725</v>
      </c>
      <c r="T630" s="20" t="s">
        <v>40</v>
      </c>
      <c r="U630" s="16" t="s">
        <v>5733</v>
      </c>
      <c r="V630" s="16" t="s">
        <v>5734</v>
      </c>
      <c r="W630" s="30" t="s">
        <v>5735</v>
      </c>
      <c r="X630" s="18" t="s">
        <v>542</v>
      </c>
      <c r="Y630" s="18" t="s">
        <v>98</v>
      </c>
      <c r="Z630" s="18" t="s">
        <v>1815</v>
      </c>
      <c r="AA630" s="16" t="s">
        <v>4525</v>
      </c>
      <c r="AB630" s="16" t="s">
        <v>5373</v>
      </c>
      <c r="AC630" s="16" t="s">
        <v>4527</v>
      </c>
      <c r="AD630" s="123" t="str">
        <f t="shared" si="9"/>
        <v>External Transfer-NBE</v>
      </c>
      <c r="AE630" s="123" t="str">
        <f>VLOOKUP(Table1[[#This Row],[Name of bank]],'اكواد البنوك'!$A$2:$B$34,2,0)</f>
        <v>NBEGEGCXXXX</v>
      </c>
      <c r="AF630" s="21" t="s">
        <v>1144</v>
      </c>
      <c r="AG630" s="15" t="s">
        <v>3069</v>
      </c>
    </row>
    <row r="631" spans="1:33">
      <c r="A631" s="14">
        <v>630</v>
      </c>
      <c r="B631" s="14" t="s">
        <v>5709</v>
      </c>
      <c r="C631" s="14" t="s">
        <v>4950</v>
      </c>
      <c r="D631" s="15" t="s">
        <v>1839</v>
      </c>
      <c r="E631" s="16" t="s">
        <v>5736</v>
      </c>
      <c r="F631" s="32" t="s">
        <v>5737</v>
      </c>
      <c r="G631" s="17" t="s">
        <v>5738</v>
      </c>
      <c r="H631" s="18" t="s">
        <v>5739</v>
      </c>
      <c r="I631" s="16" t="s">
        <v>2882</v>
      </c>
      <c r="J631" s="16" t="s">
        <v>86</v>
      </c>
      <c r="K631" s="16" t="s">
        <v>5740</v>
      </c>
      <c r="L631" s="16" t="s">
        <v>5741</v>
      </c>
      <c r="M631" s="16" t="s">
        <v>234</v>
      </c>
      <c r="N631" s="16" t="s">
        <v>5742</v>
      </c>
      <c r="O631" s="16" t="s">
        <v>5743</v>
      </c>
      <c r="P631" s="16" t="s">
        <v>5744</v>
      </c>
      <c r="Q631" s="16" t="s">
        <v>1815</v>
      </c>
      <c r="R631" s="16" t="s">
        <v>3598</v>
      </c>
      <c r="S631" s="19" t="s">
        <v>5745</v>
      </c>
      <c r="T631" s="20" t="s">
        <v>176</v>
      </c>
      <c r="U631" s="16" t="s">
        <v>5174</v>
      </c>
      <c r="V631" s="16" t="s">
        <v>5746</v>
      </c>
      <c r="W631" s="30" t="s">
        <v>5747</v>
      </c>
      <c r="X631" s="18" t="s">
        <v>542</v>
      </c>
      <c r="Y631" s="18" t="s">
        <v>98</v>
      </c>
      <c r="Z631" s="18" t="s">
        <v>1815</v>
      </c>
      <c r="AA631" s="16" t="s">
        <v>4525</v>
      </c>
      <c r="AB631" s="16" t="s">
        <v>5373</v>
      </c>
      <c r="AC631" s="16" t="s">
        <v>4527</v>
      </c>
      <c r="AD631" s="123" t="str">
        <f t="shared" si="9"/>
        <v>External Transfer-Other banks</v>
      </c>
      <c r="AE631" s="123" t="str">
        <f>VLOOKUP(Table1[[#This Row],[Name of bank]],'اكواد البنوك'!$A$2:$B$34,2,0)</f>
        <v>BMISEGCXXXX</v>
      </c>
      <c r="AF631" s="21" t="s">
        <v>5748</v>
      </c>
      <c r="AG631" s="15" t="s">
        <v>3069</v>
      </c>
    </row>
    <row r="632" spans="1:33">
      <c r="A632" s="14">
        <v>631</v>
      </c>
      <c r="B632" s="14" t="s">
        <v>5709</v>
      </c>
      <c r="C632" s="14" t="s">
        <v>5163</v>
      </c>
      <c r="D632" s="15" t="s">
        <v>1839</v>
      </c>
      <c r="E632" s="16" t="s">
        <v>5749</v>
      </c>
      <c r="F632" s="32" t="s">
        <v>5750</v>
      </c>
      <c r="G632" s="17" t="s">
        <v>5751</v>
      </c>
      <c r="H632" s="18" t="s">
        <v>5752</v>
      </c>
      <c r="I632" s="16" t="s">
        <v>5753</v>
      </c>
      <c r="J632" s="16" t="s">
        <v>173</v>
      </c>
      <c r="K632" s="16" t="s">
        <v>5641</v>
      </c>
      <c r="L632" s="16" t="s">
        <v>5754</v>
      </c>
      <c r="M632" s="16" t="s">
        <v>136</v>
      </c>
      <c r="N632" s="16" t="s">
        <v>5755</v>
      </c>
      <c r="O632" s="16" t="s">
        <v>5756</v>
      </c>
      <c r="P632" s="16" t="s">
        <v>5757</v>
      </c>
      <c r="Q632" s="16" t="s">
        <v>1815</v>
      </c>
      <c r="R632" s="16" t="s">
        <v>3598</v>
      </c>
      <c r="S632" s="19" t="s">
        <v>5750</v>
      </c>
      <c r="T632" s="20" t="s">
        <v>40</v>
      </c>
      <c r="U632" s="16" t="s">
        <v>5758</v>
      </c>
      <c r="V632" s="16" t="s">
        <v>5759</v>
      </c>
      <c r="W632" s="30" t="s">
        <v>5760</v>
      </c>
      <c r="X632" s="18" t="s">
        <v>542</v>
      </c>
      <c r="Y632" s="18" t="s">
        <v>98</v>
      </c>
      <c r="Z632" s="18" t="s">
        <v>1815</v>
      </c>
      <c r="AA632" s="16" t="s">
        <v>4525</v>
      </c>
      <c r="AB632" s="16" t="s">
        <v>5373</v>
      </c>
      <c r="AC632" s="16" t="s">
        <v>4527</v>
      </c>
      <c r="AD632" s="123" t="str">
        <f t="shared" si="9"/>
        <v>External Transfer-NBE</v>
      </c>
      <c r="AE632" s="123" t="str">
        <f>VLOOKUP(Table1[[#This Row],[Name of bank]],'اكواد البنوك'!$A$2:$B$34,2,0)</f>
        <v>NBEGEGCXXXX</v>
      </c>
      <c r="AF632" s="21" t="s">
        <v>5424</v>
      </c>
      <c r="AG632" s="15" t="s">
        <v>3069</v>
      </c>
    </row>
    <row r="633" spans="1:33">
      <c r="A633" s="14">
        <v>632</v>
      </c>
      <c r="B633" s="14" t="s">
        <v>5709</v>
      </c>
      <c r="C633" s="14" t="e">
        <v>#N/A</v>
      </c>
      <c r="D633" s="15" t="s">
        <v>1839</v>
      </c>
      <c r="E633" s="16" t="s">
        <v>5761</v>
      </c>
      <c r="F633" s="32" t="s">
        <v>5762</v>
      </c>
      <c r="G633" s="17" t="s">
        <v>5763</v>
      </c>
      <c r="H633" s="18" t="s">
        <v>5764</v>
      </c>
      <c r="I633" s="16" t="s">
        <v>2420</v>
      </c>
      <c r="J633" s="16" t="s">
        <v>86</v>
      </c>
      <c r="K633" s="16" t="s">
        <v>553</v>
      </c>
      <c r="L633" s="16" t="s">
        <v>5765</v>
      </c>
      <c r="M633" s="16" t="s">
        <v>2744</v>
      </c>
      <c r="N633" s="16" t="s">
        <v>5766</v>
      </c>
      <c r="O633" s="16" t="s">
        <v>5767</v>
      </c>
      <c r="P633" s="16" t="s">
        <v>5768</v>
      </c>
      <c r="Q633" s="16" t="s">
        <v>1815</v>
      </c>
      <c r="R633" s="16" t="s">
        <v>3598</v>
      </c>
      <c r="S633" s="19" t="s">
        <v>5769</v>
      </c>
      <c r="T633" s="20" t="s">
        <v>307</v>
      </c>
      <c r="U633" s="16" t="s">
        <v>2583</v>
      </c>
      <c r="V633" s="16" t="s">
        <v>5770</v>
      </c>
      <c r="W633" s="30" t="s">
        <v>5771</v>
      </c>
      <c r="X633" s="18" t="s">
        <v>542</v>
      </c>
      <c r="Y633" s="18" t="s">
        <v>98</v>
      </c>
      <c r="Z633" s="18" t="s">
        <v>1815</v>
      </c>
      <c r="AA633" s="16" t="s">
        <v>4525</v>
      </c>
      <c r="AB633" s="16" t="s">
        <v>5373</v>
      </c>
      <c r="AC633" s="16" t="s">
        <v>4527</v>
      </c>
      <c r="AD633" s="123" t="str">
        <f t="shared" si="9"/>
        <v>External Transfer-Other banks</v>
      </c>
      <c r="AE633" s="123" t="str">
        <f>VLOOKUP(Table1[[#This Row],[Name of bank]],'اكواد البنوك'!$A$2:$B$34,2,0)</f>
        <v>CIBEEGCXXXX</v>
      </c>
      <c r="AF633" s="21" t="s">
        <v>2586</v>
      </c>
      <c r="AG633" s="15" t="s">
        <v>3069</v>
      </c>
    </row>
    <row r="634" spans="1:33">
      <c r="A634" s="14">
        <v>633</v>
      </c>
      <c r="B634" s="14" t="s">
        <v>5772</v>
      </c>
      <c r="C634" s="14" t="s">
        <v>6553</v>
      </c>
      <c r="D634" s="15" t="s">
        <v>1839</v>
      </c>
      <c r="E634" s="16" t="s">
        <v>5773</v>
      </c>
      <c r="F634" s="32" t="s">
        <v>5774</v>
      </c>
      <c r="G634" s="17" t="s">
        <v>5775</v>
      </c>
      <c r="H634" s="18" t="s">
        <v>5776</v>
      </c>
      <c r="I634" s="16" t="s">
        <v>5777</v>
      </c>
      <c r="J634" s="16" t="s">
        <v>86</v>
      </c>
      <c r="K634" s="16" t="s">
        <v>5778</v>
      </c>
      <c r="L634" s="16" t="s">
        <v>5779</v>
      </c>
      <c r="M634" s="16" t="s">
        <v>5780</v>
      </c>
      <c r="N634" s="16" t="s">
        <v>5781</v>
      </c>
      <c r="O634" s="16" t="s">
        <v>5782</v>
      </c>
      <c r="P634" s="16" t="s">
        <v>5783</v>
      </c>
      <c r="Q634" s="16" t="s">
        <v>1815</v>
      </c>
      <c r="R634" s="16" t="s">
        <v>3598</v>
      </c>
      <c r="S634" s="19" t="s">
        <v>5784</v>
      </c>
      <c r="T634" s="20" t="s">
        <v>1464</v>
      </c>
      <c r="U634" s="16" t="s">
        <v>9848</v>
      </c>
      <c r="V634" s="16" t="s">
        <v>5785</v>
      </c>
      <c r="W634" s="30" t="s">
        <v>5786</v>
      </c>
      <c r="X634" s="18" t="s">
        <v>542</v>
      </c>
      <c r="Y634" s="18" t="s">
        <v>98</v>
      </c>
      <c r="Z634" s="18" t="s">
        <v>1815</v>
      </c>
      <c r="AA634" s="16" t="s">
        <v>4525</v>
      </c>
      <c r="AB634" s="16" t="s">
        <v>5373</v>
      </c>
      <c r="AC634" s="16" t="s">
        <v>4527</v>
      </c>
      <c r="AD634" s="123" t="str">
        <f t="shared" si="9"/>
        <v>External Transfer-Other banks</v>
      </c>
      <c r="AE634" s="123" t="str">
        <f>VLOOKUP(Table1[[#This Row],[Name of bank]],'اكواد البنوك'!$A$2:$B$34,2,0)</f>
        <v>HDBKEGCAXXX</v>
      </c>
      <c r="AF634" s="21" t="s">
        <v>5787</v>
      </c>
      <c r="AG634" s="15" t="s">
        <v>167</v>
      </c>
    </row>
    <row r="635" spans="1:33">
      <c r="A635" s="14">
        <v>634</v>
      </c>
      <c r="B635" s="14" t="s">
        <v>5772</v>
      </c>
      <c r="C635" s="14" t="e">
        <v>#N/A</v>
      </c>
      <c r="D635" s="15" t="s">
        <v>1839</v>
      </c>
      <c r="E635" s="16" t="s">
        <v>5788</v>
      </c>
      <c r="F635" s="32" t="s">
        <v>5789</v>
      </c>
      <c r="G635" s="17" t="s">
        <v>5790</v>
      </c>
      <c r="H635" s="18" t="s">
        <v>5791</v>
      </c>
      <c r="I635" s="16" t="s">
        <v>3544</v>
      </c>
      <c r="J635" s="16" t="s">
        <v>86</v>
      </c>
      <c r="K635" s="16" t="s">
        <v>106</v>
      </c>
      <c r="L635" s="16" t="s">
        <v>5792</v>
      </c>
      <c r="M635" s="16">
        <v>892171</v>
      </c>
      <c r="N635" s="16" t="s">
        <v>5793</v>
      </c>
      <c r="O635" s="16" t="s">
        <v>5794</v>
      </c>
      <c r="P635" s="16" t="s">
        <v>5795</v>
      </c>
      <c r="Q635" s="16" t="s">
        <v>1815</v>
      </c>
      <c r="R635" s="16" t="s">
        <v>3598</v>
      </c>
      <c r="S635" s="19" t="s">
        <v>5788</v>
      </c>
      <c r="T635" s="20" t="s">
        <v>40</v>
      </c>
      <c r="U635" s="16" t="s">
        <v>9849</v>
      </c>
      <c r="V635" s="16" t="s">
        <v>9850</v>
      </c>
      <c r="W635" s="30" t="s">
        <v>9851</v>
      </c>
      <c r="X635" s="18" t="s">
        <v>542</v>
      </c>
      <c r="Y635" s="18" t="s">
        <v>98</v>
      </c>
      <c r="Z635" s="18" t="s">
        <v>1815</v>
      </c>
      <c r="AA635" s="16" t="s">
        <v>4525</v>
      </c>
      <c r="AB635" s="16" t="s">
        <v>5373</v>
      </c>
      <c r="AC635" s="16" t="s">
        <v>4527</v>
      </c>
      <c r="AD635" s="123" t="str">
        <f t="shared" si="9"/>
        <v>External Transfer-NBE</v>
      </c>
      <c r="AE635" s="123" t="str">
        <f>VLOOKUP(Table1[[#This Row],[Name of bank]],'اكواد البنوك'!$A$2:$B$34,2,0)</f>
        <v>NBEGEGCXXXX</v>
      </c>
      <c r="AF635" s="21" t="s">
        <v>2071</v>
      </c>
      <c r="AG635" s="15" t="s">
        <v>3069</v>
      </c>
    </row>
    <row r="636" spans="1:33">
      <c r="A636" s="14">
        <v>635</v>
      </c>
      <c r="B636" s="14" t="s">
        <v>5796</v>
      </c>
      <c r="C636" s="14" t="s">
        <v>5264</v>
      </c>
      <c r="D636" s="15" t="s">
        <v>1839</v>
      </c>
      <c r="E636" s="16" t="s">
        <v>5797</v>
      </c>
      <c r="F636" s="32" t="s">
        <v>5798</v>
      </c>
      <c r="G636" s="17" t="s">
        <v>5799</v>
      </c>
      <c r="H636" s="18" t="s">
        <v>5800</v>
      </c>
      <c r="I636" s="16" t="s">
        <v>5801</v>
      </c>
      <c r="J636" s="16" t="s">
        <v>86</v>
      </c>
      <c r="K636" s="16" t="s">
        <v>1036</v>
      </c>
      <c r="L636" s="16" t="s">
        <v>5802</v>
      </c>
      <c r="M636" s="16">
        <v>259698180</v>
      </c>
      <c r="N636" s="16" t="s">
        <v>5803</v>
      </c>
      <c r="O636" s="16" t="s">
        <v>5804</v>
      </c>
      <c r="P636" s="16" t="s">
        <v>5805</v>
      </c>
      <c r="Q636" s="16" t="s">
        <v>1815</v>
      </c>
      <c r="R636" s="16" t="s">
        <v>3598</v>
      </c>
      <c r="S636" s="19" t="s">
        <v>5806</v>
      </c>
      <c r="T636" s="20" t="s">
        <v>93</v>
      </c>
      <c r="U636" s="16" t="s">
        <v>5807</v>
      </c>
      <c r="V636" s="16" t="s">
        <v>5808</v>
      </c>
      <c r="W636" s="30" t="s">
        <v>5809</v>
      </c>
      <c r="X636" s="18" t="s">
        <v>542</v>
      </c>
      <c r="Y636" s="18" t="s">
        <v>98</v>
      </c>
      <c r="Z636" s="18" t="s">
        <v>1815</v>
      </c>
      <c r="AA636" s="16" t="s">
        <v>4525</v>
      </c>
      <c r="AB636" s="16" t="s">
        <v>5373</v>
      </c>
      <c r="AC636" s="16" t="s">
        <v>4527</v>
      </c>
      <c r="AD636" s="123" t="str">
        <f t="shared" si="9"/>
        <v>External Transfer-Other banks</v>
      </c>
      <c r="AE636" s="123" t="str">
        <f>VLOOKUP(Table1[[#This Row],[Name of bank]],'اكواد البنوك'!$A$2:$B$34,2,0)</f>
        <v>QNBAEGCXXXX</v>
      </c>
      <c r="AF636" s="21" t="s">
        <v>4107</v>
      </c>
      <c r="AG636" s="15" t="s">
        <v>167</v>
      </c>
    </row>
    <row r="637" spans="1:33">
      <c r="A637" s="14">
        <v>636</v>
      </c>
      <c r="B637" s="14" t="s">
        <v>5796</v>
      </c>
      <c r="C637" s="14" t="e">
        <v>#N/A</v>
      </c>
      <c r="D637" s="15" t="s">
        <v>1839</v>
      </c>
      <c r="E637" s="16" t="s">
        <v>5810</v>
      </c>
      <c r="F637" s="32" t="s">
        <v>5811</v>
      </c>
      <c r="G637" s="17" t="s">
        <v>5812</v>
      </c>
      <c r="H637" s="18" t="s">
        <v>5813</v>
      </c>
      <c r="I637" s="16" t="s">
        <v>5814</v>
      </c>
      <c r="J637" s="16" t="s">
        <v>86</v>
      </c>
      <c r="K637" s="16" t="s">
        <v>5815</v>
      </c>
      <c r="L637" s="16" t="s">
        <v>234</v>
      </c>
      <c r="M637" s="16" t="s">
        <v>234</v>
      </c>
      <c r="N637" s="16" t="s">
        <v>5816</v>
      </c>
      <c r="O637" s="16" t="s">
        <v>5817</v>
      </c>
      <c r="P637" s="16" t="s">
        <v>5818</v>
      </c>
      <c r="Q637" s="16" t="s">
        <v>1815</v>
      </c>
      <c r="R637" s="16" t="s">
        <v>3598</v>
      </c>
      <c r="S637" s="19" t="s">
        <v>5819</v>
      </c>
      <c r="T637" s="20" t="s">
        <v>176</v>
      </c>
      <c r="U637" s="16" t="s">
        <v>5820</v>
      </c>
      <c r="V637" s="16" t="s">
        <v>9852</v>
      </c>
      <c r="W637" s="30" t="s">
        <v>5821</v>
      </c>
      <c r="X637" s="18" t="s">
        <v>542</v>
      </c>
      <c r="Y637" s="18" t="s">
        <v>98</v>
      </c>
      <c r="Z637" s="18" t="s">
        <v>1815</v>
      </c>
      <c r="AA637" s="16" t="s">
        <v>4525</v>
      </c>
      <c r="AB637" s="16" t="s">
        <v>5373</v>
      </c>
      <c r="AC637" s="16" t="s">
        <v>4527</v>
      </c>
      <c r="AD637" s="123" t="str">
        <f t="shared" si="9"/>
        <v>External Transfer-Other banks</v>
      </c>
      <c r="AE637" s="123" t="str">
        <f>VLOOKUP(Table1[[#This Row],[Name of bank]],'اكواد البنوك'!$A$2:$B$34,2,0)</f>
        <v>BMISEGCXXXX</v>
      </c>
      <c r="AF637" s="21">
        <v>140</v>
      </c>
      <c r="AG637" s="15" t="s">
        <v>3069</v>
      </c>
    </row>
    <row r="638" spans="1:33">
      <c r="A638" s="14">
        <v>637</v>
      </c>
      <c r="B638" s="14" t="s">
        <v>5796</v>
      </c>
      <c r="C638" s="14" t="e">
        <v>#N/A</v>
      </c>
      <c r="D638" s="15" t="s">
        <v>1839</v>
      </c>
      <c r="E638" s="16" t="s">
        <v>5822</v>
      </c>
      <c r="F638" s="32" t="s">
        <v>5823</v>
      </c>
      <c r="G638" s="17" t="s">
        <v>5824</v>
      </c>
      <c r="H638" s="18" t="s">
        <v>5825</v>
      </c>
      <c r="I638" s="16" t="s">
        <v>5826</v>
      </c>
      <c r="J638" s="16" t="s">
        <v>173</v>
      </c>
      <c r="K638" s="16" t="s">
        <v>4169</v>
      </c>
      <c r="L638" s="16" t="s">
        <v>5827</v>
      </c>
      <c r="M638" s="16">
        <v>20101222</v>
      </c>
      <c r="N638" s="16" t="s">
        <v>5828</v>
      </c>
      <c r="O638" s="16" t="s">
        <v>5829</v>
      </c>
      <c r="P638" s="16" t="s">
        <v>5830</v>
      </c>
      <c r="Q638" s="16" t="s">
        <v>1815</v>
      </c>
      <c r="R638" s="16" t="s">
        <v>1849</v>
      </c>
      <c r="S638" s="19" t="s">
        <v>5831</v>
      </c>
      <c r="T638" s="20" t="s">
        <v>40</v>
      </c>
      <c r="U638" s="16" t="s">
        <v>5733</v>
      </c>
      <c r="V638" s="16" t="s">
        <v>5832</v>
      </c>
      <c r="W638" s="30" t="s">
        <v>5833</v>
      </c>
      <c r="X638" s="18" t="s">
        <v>542</v>
      </c>
      <c r="Y638" s="18" t="s">
        <v>98</v>
      </c>
      <c r="Z638" s="18" t="s">
        <v>1815</v>
      </c>
      <c r="AA638" s="16" t="s">
        <v>4525</v>
      </c>
      <c r="AB638" s="16" t="s">
        <v>5373</v>
      </c>
      <c r="AC638" s="16" t="s">
        <v>4527</v>
      </c>
      <c r="AD638" s="123" t="str">
        <f t="shared" si="9"/>
        <v>External Transfer-NBE</v>
      </c>
      <c r="AE638" s="123" t="str">
        <f>VLOOKUP(Table1[[#This Row],[Name of bank]],'اكواد البنوك'!$A$2:$B$34,2,0)</f>
        <v>NBEGEGCXXXX</v>
      </c>
      <c r="AF638" s="21" t="s">
        <v>1144</v>
      </c>
      <c r="AG638" s="15" t="s">
        <v>3069</v>
      </c>
    </row>
    <row r="639" spans="1:33">
      <c r="A639" s="14">
        <v>638</v>
      </c>
      <c r="B639" s="14" t="s">
        <v>5834</v>
      </c>
      <c r="C639" s="14" t="s">
        <v>5862</v>
      </c>
      <c r="D639" s="15" t="s">
        <v>1839</v>
      </c>
      <c r="E639" s="16" t="s">
        <v>5835</v>
      </c>
      <c r="F639" s="32" t="s">
        <v>5836</v>
      </c>
      <c r="G639" s="17" t="s">
        <v>5837</v>
      </c>
      <c r="H639" s="18" t="s">
        <v>5838</v>
      </c>
      <c r="I639" s="16" t="s">
        <v>2993</v>
      </c>
      <c r="J639" s="16" t="s">
        <v>86</v>
      </c>
      <c r="K639" s="16" t="s">
        <v>5839</v>
      </c>
      <c r="L639" s="16" t="s">
        <v>5840</v>
      </c>
      <c r="M639" s="16" t="s">
        <v>136</v>
      </c>
      <c r="N639" s="16" t="s">
        <v>5841</v>
      </c>
      <c r="O639" s="16" t="s">
        <v>5842</v>
      </c>
      <c r="P639" s="16" t="s">
        <v>5843</v>
      </c>
      <c r="Q639" s="16" t="s">
        <v>1815</v>
      </c>
      <c r="R639" s="16" t="s">
        <v>3598</v>
      </c>
      <c r="S639" s="19" t="s">
        <v>5844</v>
      </c>
      <c r="T639" s="20" t="s">
        <v>1464</v>
      </c>
      <c r="U639" s="16" t="s">
        <v>3171</v>
      </c>
      <c r="V639" s="16" t="s">
        <v>5845</v>
      </c>
      <c r="W639" s="30" t="s">
        <v>5846</v>
      </c>
      <c r="X639" s="18" t="s">
        <v>542</v>
      </c>
      <c r="Y639" s="18" t="s">
        <v>98</v>
      </c>
      <c r="Z639" s="18" t="s">
        <v>1815</v>
      </c>
      <c r="AA639" s="16" t="s">
        <v>4525</v>
      </c>
      <c r="AB639" s="16" t="s">
        <v>5373</v>
      </c>
      <c r="AC639" s="16" t="s">
        <v>4527</v>
      </c>
      <c r="AD639" s="123" t="str">
        <f t="shared" si="9"/>
        <v>External Transfer-Other banks</v>
      </c>
      <c r="AE639" s="123" t="str">
        <f>VLOOKUP(Table1[[#This Row],[Name of bank]],'اكواد البنوك'!$A$2:$B$34,2,0)</f>
        <v>HDBKEGCAXXX</v>
      </c>
      <c r="AF639" s="21" t="s">
        <v>5847</v>
      </c>
      <c r="AG639" s="15" t="s">
        <v>167</v>
      </c>
    </row>
    <row r="640" spans="1:33">
      <c r="A640" s="14">
        <v>639</v>
      </c>
      <c r="B640" s="14" t="s">
        <v>5834</v>
      </c>
      <c r="C640" s="14" t="e">
        <v>#N/A</v>
      </c>
      <c r="D640" s="15" t="s">
        <v>1839</v>
      </c>
      <c r="E640" s="16" t="s">
        <v>5848</v>
      </c>
      <c r="F640" s="32" t="s">
        <v>5849</v>
      </c>
      <c r="G640" s="17" t="s">
        <v>5850</v>
      </c>
      <c r="H640" s="18" t="s">
        <v>5851</v>
      </c>
      <c r="I640" s="16" t="s">
        <v>5852</v>
      </c>
      <c r="J640" s="16" t="s">
        <v>2035</v>
      </c>
      <c r="K640" s="16" t="s">
        <v>5853</v>
      </c>
      <c r="L640" s="16" t="s">
        <v>5854</v>
      </c>
      <c r="M640" s="16" t="s">
        <v>136</v>
      </c>
      <c r="N640" s="16" t="s">
        <v>5855</v>
      </c>
      <c r="O640" s="16" t="s">
        <v>5856</v>
      </c>
      <c r="P640" s="16" t="s">
        <v>5857</v>
      </c>
      <c r="Q640" s="16" t="s">
        <v>1815</v>
      </c>
      <c r="R640" s="16" t="s">
        <v>3598</v>
      </c>
      <c r="S640" s="19" t="s">
        <v>5849</v>
      </c>
      <c r="T640" s="20" t="s">
        <v>176</v>
      </c>
      <c r="U640" s="16" t="s">
        <v>5858</v>
      </c>
      <c r="V640" s="16" t="s">
        <v>5859</v>
      </c>
      <c r="W640" s="30" t="s">
        <v>5860</v>
      </c>
      <c r="X640" s="18" t="s">
        <v>542</v>
      </c>
      <c r="Y640" s="18" t="s">
        <v>98</v>
      </c>
      <c r="Z640" s="18" t="s">
        <v>1815</v>
      </c>
      <c r="AA640" s="16" t="s">
        <v>4525</v>
      </c>
      <c r="AB640" s="16" t="s">
        <v>5373</v>
      </c>
      <c r="AC640" s="16" t="s">
        <v>4527</v>
      </c>
      <c r="AD640" s="123" t="str">
        <f t="shared" si="9"/>
        <v>External Transfer-Other banks</v>
      </c>
      <c r="AE640" s="123" t="str">
        <f>VLOOKUP(Table1[[#This Row],[Name of bank]],'اكواد البنوك'!$A$2:$B$34,2,0)</f>
        <v>BMISEGCXXXX</v>
      </c>
      <c r="AF640" s="21" t="s">
        <v>5861</v>
      </c>
      <c r="AG640" s="15" t="s">
        <v>3069</v>
      </c>
    </row>
    <row r="641" spans="1:33">
      <c r="A641" s="14">
        <v>640</v>
      </c>
      <c r="B641" s="14" t="s">
        <v>5862</v>
      </c>
      <c r="C641" s="14" t="s">
        <v>5083</v>
      </c>
      <c r="D641" s="15" t="s">
        <v>1839</v>
      </c>
      <c r="E641" s="16" t="s">
        <v>5863</v>
      </c>
      <c r="F641" s="32" t="s">
        <v>10058</v>
      </c>
      <c r="G641" s="17" t="s">
        <v>5864</v>
      </c>
      <c r="H641" s="18" t="s">
        <v>5865</v>
      </c>
      <c r="I641" s="16" t="s">
        <v>5866</v>
      </c>
      <c r="J641" s="16" t="s">
        <v>86</v>
      </c>
      <c r="K641" s="16" t="s">
        <v>160</v>
      </c>
      <c r="L641" s="16" t="s">
        <v>5867</v>
      </c>
      <c r="M641" s="16" t="s">
        <v>234</v>
      </c>
      <c r="N641" s="16" t="s">
        <v>5868</v>
      </c>
      <c r="O641" s="16" t="s">
        <v>5869</v>
      </c>
      <c r="P641" s="16" t="s">
        <v>5870</v>
      </c>
      <c r="Q641" s="16" t="s">
        <v>1815</v>
      </c>
      <c r="R641" s="16" t="s">
        <v>3598</v>
      </c>
      <c r="S641" s="19" t="s">
        <v>5863</v>
      </c>
      <c r="T641" s="20" t="s">
        <v>40</v>
      </c>
      <c r="U641" s="16" t="s">
        <v>9853</v>
      </c>
      <c r="V641" s="16" t="s">
        <v>5871</v>
      </c>
      <c r="W641" s="30" t="s">
        <v>5872</v>
      </c>
      <c r="X641" s="18" t="s">
        <v>542</v>
      </c>
      <c r="Y641" s="18" t="s">
        <v>98</v>
      </c>
      <c r="Z641" s="18" t="s">
        <v>1815</v>
      </c>
      <c r="AA641" s="16" t="s">
        <v>4525</v>
      </c>
      <c r="AB641" s="16" t="s">
        <v>5373</v>
      </c>
      <c r="AC641" s="16" t="s">
        <v>4527</v>
      </c>
      <c r="AD641" s="123" t="str">
        <f t="shared" si="9"/>
        <v>External Transfer-NBE</v>
      </c>
      <c r="AE641" s="123" t="str">
        <f>VLOOKUP(Table1[[#This Row],[Name of bank]],'اكواد البنوك'!$A$2:$B$34,2,0)</f>
        <v>NBEGEGCXXXX</v>
      </c>
      <c r="AF641" s="21" t="s">
        <v>5873</v>
      </c>
      <c r="AG641" s="15" t="s">
        <v>167</v>
      </c>
    </row>
    <row r="642" spans="1:33">
      <c r="A642" s="14">
        <v>641</v>
      </c>
      <c r="B642" s="14" t="s">
        <v>5862</v>
      </c>
      <c r="C642" s="14" t="s">
        <v>5476</v>
      </c>
      <c r="D642" s="15" t="s">
        <v>1839</v>
      </c>
      <c r="E642" s="16" t="s">
        <v>5874</v>
      </c>
      <c r="F642" s="32" t="s">
        <v>5875</v>
      </c>
      <c r="G642" s="17" t="s">
        <v>5876</v>
      </c>
      <c r="H642" s="18" t="s">
        <v>5877</v>
      </c>
      <c r="I642" s="16" t="s">
        <v>5878</v>
      </c>
      <c r="J642" s="16" t="s">
        <v>86</v>
      </c>
      <c r="K642" s="16" t="s">
        <v>106</v>
      </c>
      <c r="L642" s="16" t="s">
        <v>5879</v>
      </c>
      <c r="M642" s="16" t="s">
        <v>136</v>
      </c>
      <c r="N642" s="16" t="s">
        <v>5880</v>
      </c>
      <c r="O642" s="16" t="s">
        <v>5881</v>
      </c>
      <c r="P642" s="16" t="s">
        <v>5882</v>
      </c>
      <c r="Q642" s="16" t="s">
        <v>1815</v>
      </c>
      <c r="R642" s="16" t="s">
        <v>3598</v>
      </c>
      <c r="S642" s="19" t="s">
        <v>5874</v>
      </c>
      <c r="T642" s="20" t="s">
        <v>40</v>
      </c>
      <c r="U642" s="16" t="s">
        <v>5883</v>
      </c>
      <c r="V642" s="16" t="s">
        <v>5884</v>
      </c>
      <c r="W642" s="30" t="s">
        <v>5885</v>
      </c>
      <c r="X642" s="18" t="s">
        <v>542</v>
      </c>
      <c r="Y642" s="18" t="s">
        <v>98</v>
      </c>
      <c r="Z642" s="18" t="s">
        <v>1815</v>
      </c>
      <c r="AA642" s="16" t="s">
        <v>4525</v>
      </c>
      <c r="AB642" s="16" t="s">
        <v>5373</v>
      </c>
      <c r="AC642" s="16" t="s">
        <v>4527</v>
      </c>
      <c r="AD642" s="123" t="str">
        <f t="shared" ref="AD642:AD705" si="10">IF(ISNUMBER(SEARCH("EXTERNAL CASH",T642)),
   "EXTERNAL CASH",
   IF(ISNUMBER(SEARCH("شيك من القاهرة",T642)),
      "FUE",
      IF(ISNUMBER(SEARCH("INTERNAL CASH",T642)),
         "INTRNAL CASH",
         IF(Y642="IP",
            "Internal Transfer",
            IF(ISNUMBER(SEARCH("National Bank of Egypt",T642)),
               "External Transfer-NBE",
               "External Transfer-Other banks"
            )
         )
      )
   )
)</f>
        <v>External Transfer-NBE</v>
      </c>
      <c r="AE642" s="123" t="str">
        <f>VLOOKUP(Table1[[#This Row],[Name of bank]],'اكواد البنوك'!$A$2:$B$34,2,0)</f>
        <v>NBEGEGCXXXX</v>
      </c>
      <c r="AF642" s="21" t="s">
        <v>5886</v>
      </c>
      <c r="AG642" s="15" t="s">
        <v>3069</v>
      </c>
    </row>
    <row r="643" spans="1:33">
      <c r="A643" s="14">
        <v>642</v>
      </c>
      <c r="B643" s="14" t="s">
        <v>5887</v>
      </c>
      <c r="C643" s="14" t="s">
        <v>5887</v>
      </c>
      <c r="D643" s="15" t="s">
        <v>1718</v>
      </c>
      <c r="E643" s="16" t="s">
        <v>5888</v>
      </c>
      <c r="F643" s="32" t="s">
        <v>5889</v>
      </c>
      <c r="G643" s="17" t="s">
        <v>5890</v>
      </c>
      <c r="H643" s="18" t="s">
        <v>5891</v>
      </c>
      <c r="I643" s="16" t="s">
        <v>1718</v>
      </c>
      <c r="J643" s="16" t="e">
        <v>#N/A</v>
      </c>
      <c r="K643" s="16" t="e">
        <v>#N/A</v>
      </c>
      <c r="L643" s="16" t="e">
        <v>#N/A</v>
      </c>
      <c r="M643" s="16" t="s">
        <v>1718</v>
      </c>
      <c r="N643" s="16"/>
      <c r="O643" s="16"/>
      <c r="P643" s="16"/>
      <c r="Q643" s="16"/>
      <c r="R643" s="16"/>
      <c r="S643" s="19"/>
      <c r="T643" s="20" t="s">
        <v>40</v>
      </c>
      <c r="U643" s="16"/>
      <c r="V643" s="16"/>
      <c r="W643" s="30" t="s">
        <v>1718</v>
      </c>
      <c r="X643" s="18" t="s">
        <v>31</v>
      </c>
      <c r="Y643" s="18" t="s">
        <v>43</v>
      </c>
      <c r="Z643" s="18" t="s">
        <v>1815</v>
      </c>
      <c r="AA643" s="16" t="s">
        <v>4525</v>
      </c>
      <c r="AB643" s="16" t="s">
        <v>5892</v>
      </c>
      <c r="AC643" s="16" t="s">
        <v>4527</v>
      </c>
      <c r="AD643" s="123" t="str">
        <f t="shared" si="10"/>
        <v>Internal Transfer</v>
      </c>
      <c r="AE643" s="123" t="str">
        <f>VLOOKUP(Table1[[#This Row],[Name of bank]],'اكواد البنوك'!$A$2:$B$34,2,0)</f>
        <v>NBEGEGCXXXX</v>
      </c>
      <c r="AF643" s="21">
        <v>808</v>
      </c>
      <c r="AG643" s="15" t="s">
        <v>3069</v>
      </c>
    </row>
    <row r="644" spans="1:33">
      <c r="A644" s="14">
        <v>643</v>
      </c>
      <c r="B644" s="14" t="s">
        <v>5887</v>
      </c>
      <c r="C644" s="14" t="s">
        <v>5887</v>
      </c>
      <c r="D644" s="15" t="s">
        <v>1855</v>
      </c>
      <c r="E644" s="16" t="s">
        <v>5893</v>
      </c>
      <c r="F644" s="32" t="s">
        <v>5894</v>
      </c>
      <c r="G644" s="17" t="s">
        <v>5895</v>
      </c>
      <c r="H644" s="18" t="s">
        <v>5896</v>
      </c>
      <c r="I644" s="16" t="s">
        <v>2443</v>
      </c>
      <c r="J644" s="16" t="s">
        <v>86</v>
      </c>
      <c r="K644" s="16" t="s">
        <v>3522</v>
      </c>
      <c r="L644" s="16" t="s">
        <v>136</v>
      </c>
      <c r="M644" s="16" t="s">
        <v>136</v>
      </c>
      <c r="N644" s="16">
        <v>29309200100972</v>
      </c>
      <c r="O644" s="16" t="s">
        <v>5897</v>
      </c>
      <c r="P644" s="16" t="s">
        <v>5898</v>
      </c>
      <c r="Q644" s="16" t="s">
        <v>1815</v>
      </c>
      <c r="R644" s="16" t="s">
        <v>3598</v>
      </c>
      <c r="S644" s="19" t="s">
        <v>5899</v>
      </c>
      <c r="T644" s="20" t="s">
        <v>307</v>
      </c>
      <c r="U644" s="16" t="s">
        <v>10213</v>
      </c>
      <c r="V644" s="16" t="s">
        <v>5380</v>
      </c>
      <c r="W644" s="113" t="s">
        <v>5381</v>
      </c>
      <c r="X644" s="18" t="s">
        <v>66</v>
      </c>
      <c r="Y644" s="18" t="s">
        <v>98</v>
      </c>
      <c r="Z644" s="18" t="s">
        <v>1815</v>
      </c>
      <c r="AA644" s="16" t="s">
        <v>4525</v>
      </c>
      <c r="AB644" s="16" t="s">
        <v>5892</v>
      </c>
      <c r="AC644" s="16" t="s">
        <v>4527</v>
      </c>
      <c r="AD644" s="123" t="str">
        <f t="shared" si="10"/>
        <v>External Transfer-Other banks</v>
      </c>
      <c r="AE644" s="123" t="str">
        <f>VLOOKUP(Table1[[#This Row],[Name of bank]],'اكواد البنوك'!$A$2:$B$34,2,0)</f>
        <v>CIBEEGCXXXX</v>
      </c>
      <c r="AF644" s="114" t="s">
        <v>2574</v>
      </c>
      <c r="AG644" s="15" t="s">
        <v>167</v>
      </c>
    </row>
    <row r="645" spans="1:33">
      <c r="A645" s="14">
        <v>644</v>
      </c>
      <c r="B645" s="14" t="s">
        <v>5887</v>
      </c>
      <c r="C645" s="14" t="s">
        <v>5887</v>
      </c>
      <c r="D645" s="15" t="s">
        <v>1855</v>
      </c>
      <c r="E645" s="16" t="s">
        <v>5900</v>
      </c>
      <c r="F645" s="32" t="s">
        <v>10162</v>
      </c>
      <c r="G645" s="17" t="s">
        <v>5901</v>
      </c>
      <c r="H645" s="18" t="s">
        <v>5902</v>
      </c>
      <c r="I645" s="16" t="s">
        <v>1858</v>
      </c>
      <c r="J645" s="16" t="s">
        <v>1845</v>
      </c>
      <c r="K645" s="16" t="s">
        <v>5903</v>
      </c>
      <c r="L645" s="16" t="s">
        <v>136</v>
      </c>
      <c r="M645" s="16" t="s">
        <v>136</v>
      </c>
      <c r="N645" s="16">
        <v>29705012103312</v>
      </c>
      <c r="O645" s="16" t="s">
        <v>5904</v>
      </c>
      <c r="P645" s="16" t="s">
        <v>5905</v>
      </c>
      <c r="Q645" s="16" t="s">
        <v>2215</v>
      </c>
      <c r="R645" s="16" t="s">
        <v>3598</v>
      </c>
      <c r="S645" s="19" t="s">
        <v>136</v>
      </c>
      <c r="T645" s="30" t="s">
        <v>10362</v>
      </c>
      <c r="U645" s="30" t="s">
        <v>10362</v>
      </c>
      <c r="V645" s="16" t="s">
        <v>136</v>
      </c>
      <c r="W645" s="30" t="s">
        <v>10362</v>
      </c>
      <c r="X645" s="18" t="s">
        <v>66</v>
      </c>
      <c r="Y645" s="18" t="s">
        <v>98</v>
      </c>
      <c r="Z645" s="18" t="s">
        <v>1815</v>
      </c>
      <c r="AA645" s="16" t="s">
        <v>4525</v>
      </c>
      <c r="AB645" s="16" t="s">
        <v>5892</v>
      </c>
      <c r="AC645" s="16" t="s">
        <v>4527</v>
      </c>
      <c r="AD645" s="126" t="str">
        <f t="shared" si="10"/>
        <v>EXTERNAL CASH</v>
      </c>
      <c r="AE645" s="123" t="str">
        <f>VLOOKUP(Table1[[#This Row],[Name of bank]],'اكواد البنوك'!$A$2:$B$34,2,0)</f>
        <v>External CASH</v>
      </c>
      <c r="AF645" s="30" t="s">
        <v>10362</v>
      </c>
      <c r="AG645" s="15" t="s">
        <v>167</v>
      </c>
    </row>
    <row r="646" spans="1:33">
      <c r="A646" s="14">
        <v>645</v>
      </c>
      <c r="B646" s="14" t="s">
        <v>5887</v>
      </c>
      <c r="C646" s="14" t="e">
        <v>#N/A</v>
      </c>
      <c r="D646" s="15" t="s">
        <v>1855</v>
      </c>
      <c r="E646" s="16" t="s">
        <v>5906</v>
      </c>
      <c r="F646" s="32" t="s">
        <v>5907</v>
      </c>
      <c r="G646" s="17" t="s">
        <v>5908</v>
      </c>
      <c r="H646" s="18" t="s">
        <v>5909</v>
      </c>
      <c r="I646" s="16" t="s">
        <v>5910</v>
      </c>
      <c r="J646" s="16" t="s">
        <v>86</v>
      </c>
      <c r="K646" s="16" t="s">
        <v>5911</v>
      </c>
      <c r="L646" s="16" t="s">
        <v>5029</v>
      </c>
      <c r="M646" s="16" t="s">
        <v>5029</v>
      </c>
      <c r="N646" s="16">
        <v>29708102104431</v>
      </c>
      <c r="O646" s="16" t="s">
        <v>5912</v>
      </c>
      <c r="P646" s="16" t="s">
        <v>5913</v>
      </c>
      <c r="Q646" s="16" t="s">
        <v>2215</v>
      </c>
      <c r="R646" s="16" t="s">
        <v>5914</v>
      </c>
      <c r="S646" s="19" t="s">
        <v>5029</v>
      </c>
      <c r="T646" s="20" t="s">
        <v>40</v>
      </c>
      <c r="U646" s="16" t="s">
        <v>4994</v>
      </c>
      <c r="V646" s="16" t="s">
        <v>5029</v>
      </c>
      <c r="W646" s="30" t="s">
        <v>10244</v>
      </c>
      <c r="X646" s="18" t="s">
        <v>66</v>
      </c>
      <c r="Y646" s="18" t="s">
        <v>98</v>
      </c>
      <c r="Z646" s="18" t="s">
        <v>1815</v>
      </c>
      <c r="AA646" s="16" t="s">
        <v>4525</v>
      </c>
      <c r="AB646" s="16" t="s">
        <v>5892</v>
      </c>
      <c r="AC646" s="16" t="s">
        <v>4527</v>
      </c>
      <c r="AD646" s="123" t="str">
        <f t="shared" si="10"/>
        <v>External Transfer-NBE</v>
      </c>
      <c r="AE646" s="123" t="str">
        <f>VLOOKUP(Table1[[#This Row],[Name of bank]],'اكواد البنوك'!$A$2:$B$34,2,0)</f>
        <v>NBEGEGCXXXX</v>
      </c>
      <c r="AF646" s="21" t="s">
        <v>4997</v>
      </c>
      <c r="AG646" s="15" t="s">
        <v>167</v>
      </c>
    </row>
    <row r="647" spans="1:33">
      <c r="A647" s="14">
        <v>646</v>
      </c>
      <c r="B647" s="14" t="s">
        <v>4935</v>
      </c>
      <c r="C647" s="14" t="s">
        <v>73</v>
      </c>
      <c r="D647" s="15" t="s">
        <v>1827</v>
      </c>
      <c r="E647" s="16" t="s">
        <v>5915</v>
      </c>
      <c r="F647" s="32" t="s">
        <v>5916</v>
      </c>
      <c r="G647" s="17" t="s">
        <v>5917</v>
      </c>
      <c r="H647" s="18" t="s">
        <v>5918</v>
      </c>
      <c r="I647" s="16" t="s">
        <v>1827</v>
      </c>
      <c r="J647" s="16" t="s">
        <v>1827</v>
      </c>
      <c r="K647" s="16" t="s">
        <v>1827</v>
      </c>
      <c r="L647" s="16" t="e">
        <v>#N/A</v>
      </c>
      <c r="M647" s="16" t="e">
        <v>#N/A</v>
      </c>
      <c r="N647" s="16"/>
      <c r="O647" s="16"/>
      <c r="P647" s="16"/>
      <c r="Q647" s="16"/>
      <c r="R647" s="16"/>
      <c r="S647" s="19"/>
      <c r="T647" s="20" t="s">
        <v>40</v>
      </c>
      <c r="U647" s="16"/>
      <c r="V647" s="16"/>
      <c r="W647" s="30">
        <v>124</v>
      </c>
      <c r="X647" s="18" t="s">
        <v>78</v>
      </c>
      <c r="Y647" s="18" t="s">
        <v>43</v>
      </c>
      <c r="Z647" s="18" t="s">
        <v>1815</v>
      </c>
      <c r="AA647" s="16" t="s">
        <v>4525</v>
      </c>
      <c r="AB647" s="16" t="s">
        <v>5892</v>
      </c>
      <c r="AC647" s="16" t="s">
        <v>4527</v>
      </c>
      <c r="AD647" s="123" t="str">
        <f t="shared" si="10"/>
        <v>Internal Transfer</v>
      </c>
      <c r="AE647" s="123" t="str">
        <f>VLOOKUP(Table1[[#This Row],[Name of bank]],'اكواد البنوك'!$A$2:$B$34,2,0)</f>
        <v>NBEGEGCXXXX</v>
      </c>
      <c r="AF647" s="21" t="s">
        <v>5919</v>
      </c>
      <c r="AG647" s="15" t="s">
        <v>3069</v>
      </c>
    </row>
    <row r="648" spans="1:33">
      <c r="A648" s="14">
        <v>647</v>
      </c>
      <c r="B648" s="14" t="s">
        <v>4935</v>
      </c>
      <c r="C648" s="14" t="e">
        <v>#N/A</v>
      </c>
      <c r="D648" s="15" t="s">
        <v>1839</v>
      </c>
      <c r="E648" s="16" t="s">
        <v>5920</v>
      </c>
      <c r="F648" s="32" t="s">
        <v>5921</v>
      </c>
      <c r="G648" s="17" t="s">
        <v>5922</v>
      </c>
      <c r="H648" s="18" t="s">
        <v>5923</v>
      </c>
      <c r="I648" s="16" t="s">
        <v>5924</v>
      </c>
      <c r="J648" s="16" t="s">
        <v>86</v>
      </c>
      <c r="K648" s="16" t="s">
        <v>5925</v>
      </c>
      <c r="L648" s="16">
        <v>59665481</v>
      </c>
      <c r="M648" s="16" t="s">
        <v>136</v>
      </c>
      <c r="N648" s="16" t="s">
        <v>5926</v>
      </c>
      <c r="O648" s="16" t="s">
        <v>5927</v>
      </c>
      <c r="P648" s="16" t="s">
        <v>5928</v>
      </c>
      <c r="Q648" s="16" t="s">
        <v>1815</v>
      </c>
      <c r="R648" s="16" t="s">
        <v>3598</v>
      </c>
      <c r="S648" s="19" t="s">
        <v>5921</v>
      </c>
      <c r="T648" s="20" t="s">
        <v>40</v>
      </c>
      <c r="U648" s="16" t="s">
        <v>5929</v>
      </c>
      <c r="V648" s="16" t="s">
        <v>5930</v>
      </c>
      <c r="W648" s="30" t="s">
        <v>5931</v>
      </c>
      <c r="X648" s="18" t="s">
        <v>97</v>
      </c>
      <c r="Y648" s="18" t="s">
        <v>98</v>
      </c>
      <c r="Z648" s="18" t="s">
        <v>1815</v>
      </c>
      <c r="AA648" s="16" t="s">
        <v>4525</v>
      </c>
      <c r="AB648" s="16" t="s">
        <v>5892</v>
      </c>
      <c r="AC648" s="16" t="s">
        <v>4527</v>
      </c>
      <c r="AD648" s="123" t="str">
        <f t="shared" si="10"/>
        <v>External Transfer-NBE</v>
      </c>
      <c r="AE648" s="123" t="str">
        <f>VLOOKUP(Table1[[#This Row],[Name of bank]],'اكواد البنوك'!$A$2:$B$34,2,0)</f>
        <v>NBEGEGCXXXX</v>
      </c>
      <c r="AF648" s="21" t="s">
        <v>346</v>
      </c>
      <c r="AG648" s="15" t="s">
        <v>3069</v>
      </c>
    </row>
    <row r="649" spans="1:33">
      <c r="A649" s="14">
        <v>648</v>
      </c>
      <c r="B649" s="14" t="s">
        <v>5932</v>
      </c>
      <c r="C649" s="14" t="s">
        <v>5570</v>
      </c>
      <c r="D649" s="15" t="s">
        <v>1839</v>
      </c>
      <c r="E649" s="16" t="s">
        <v>5933</v>
      </c>
      <c r="F649" s="32" t="s">
        <v>5934</v>
      </c>
      <c r="G649" s="17" t="s">
        <v>5935</v>
      </c>
      <c r="H649" s="18" t="s">
        <v>5936</v>
      </c>
      <c r="I649" s="16" t="s">
        <v>5937</v>
      </c>
      <c r="J649" s="16" t="s">
        <v>86</v>
      </c>
      <c r="K649" s="16" t="s">
        <v>553</v>
      </c>
      <c r="L649" s="16" t="s">
        <v>5938</v>
      </c>
      <c r="M649" s="16" t="s">
        <v>136</v>
      </c>
      <c r="N649" s="16" t="s">
        <v>5939</v>
      </c>
      <c r="O649" s="16" t="s">
        <v>5940</v>
      </c>
      <c r="P649" s="16" t="s">
        <v>5941</v>
      </c>
      <c r="Q649" s="16" t="s">
        <v>1815</v>
      </c>
      <c r="R649" s="16" t="s">
        <v>3598</v>
      </c>
      <c r="S649" s="19" t="s">
        <v>5942</v>
      </c>
      <c r="T649" s="20" t="s">
        <v>40</v>
      </c>
      <c r="U649" s="16" t="s">
        <v>5943</v>
      </c>
      <c r="V649" s="16" t="s">
        <v>5944</v>
      </c>
      <c r="W649" s="30" t="s">
        <v>5945</v>
      </c>
      <c r="X649" s="18" t="s">
        <v>542</v>
      </c>
      <c r="Y649" s="18" t="s">
        <v>98</v>
      </c>
      <c r="Z649" s="18" t="s">
        <v>1815</v>
      </c>
      <c r="AA649" s="16" t="s">
        <v>4525</v>
      </c>
      <c r="AB649" s="16" t="s">
        <v>5892</v>
      </c>
      <c r="AC649" s="16" t="s">
        <v>4527</v>
      </c>
      <c r="AD649" s="123" t="str">
        <f t="shared" si="10"/>
        <v>External Transfer-NBE</v>
      </c>
      <c r="AE649" s="123" t="str">
        <f>VLOOKUP(Table1[[#This Row],[Name of bank]],'اكواد البنوك'!$A$2:$B$34,2,0)</f>
        <v>NBEGEGCXXXX</v>
      </c>
      <c r="AF649" s="21" t="s">
        <v>5946</v>
      </c>
      <c r="AG649" s="15" t="s">
        <v>167</v>
      </c>
    </row>
    <row r="650" spans="1:33">
      <c r="A650" s="14">
        <v>649</v>
      </c>
      <c r="B650" s="14" t="s">
        <v>5932</v>
      </c>
      <c r="C650" s="14" t="s">
        <v>5083</v>
      </c>
      <c r="D650" s="15" t="s">
        <v>1839</v>
      </c>
      <c r="E650" s="16" t="s">
        <v>5947</v>
      </c>
      <c r="F650" s="32" t="s">
        <v>10042</v>
      </c>
      <c r="G650" s="17" t="s">
        <v>5949</v>
      </c>
      <c r="H650" s="18" t="s">
        <v>5950</v>
      </c>
      <c r="I650" s="16" t="s">
        <v>5951</v>
      </c>
      <c r="J650" s="16" t="s">
        <v>86</v>
      </c>
      <c r="K650" s="16" t="s">
        <v>5952</v>
      </c>
      <c r="L650" s="16" t="s">
        <v>5953</v>
      </c>
      <c r="M650" s="16" t="s">
        <v>427</v>
      </c>
      <c r="N650" s="16" t="s">
        <v>5954</v>
      </c>
      <c r="O650" s="16" t="s">
        <v>5955</v>
      </c>
      <c r="P650" s="16" t="s">
        <v>5956</v>
      </c>
      <c r="Q650" s="16" t="s">
        <v>1815</v>
      </c>
      <c r="R650" s="16" t="s">
        <v>3598</v>
      </c>
      <c r="S650" s="19" t="s">
        <v>5948</v>
      </c>
      <c r="T650" s="20" t="s">
        <v>40</v>
      </c>
      <c r="U650" s="16" t="s">
        <v>5957</v>
      </c>
      <c r="V650" s="16" t="s">
        <v>5958</v>
      </c>
      <c r="W650" s="30" t="s">
        <v>5959</v>
      </c>
      <c r="X650" s="18" t="s">
        <v>542</v>
      </c>
      <c r="Y650" s="18" t="s">
        <v>98</v>
      </c>
      <c r="Z650" s="18" t="s">
        <v>1815</v>
      </c>
      <c r="AA650" s="16" t="s">
        <v>4525</v>
      </c>
      <c r="AB650" s="16" t="s">
        <v>5892</v>
      </c>
      <c r="AC650" s="16" t="s">
        <v>4527</v>
      </c>
      <c r="AD650" s="123" t="str">
        <f t="shared" si="10"/>
        <v>External Transfer-NBE</v>
      </c>
      <c r="AE650" s="123" t="str">
        <f>VLOOKUP(Table1[[#This Row],[Name of bank]],'اكواد البنوك'!$A$2:$B$34,2,0)</f>
        <v>NBEGEGCXXXX</v>
      </c>
      <c r="AF650" s="21" t="s">
        <v>1277</v>
      </c>
      <c r="AG650" s="15" t="s">
        <v>3069</v>
      </c>
    </row>
    <row r="651" spans="1:33">
      <c r="A651" s="14">
        <v>650</v>
      </c>
      <c r="B651" s="14" t="s">
        <v>5960</v>
      </c>
      <c r="C651" s="14" t="s">
        <v>4950</v>
      </c>
      <c r="D651" s="15" t="s">
        <v>1839</v>
      </c>
      <c r="E651" s="16" t="s">
        <v>5961</v>
      </c>
      <c r="F651" s="32" t="s">
        <v>5962</v>
      </c>
      <c r="G651" s="17" t="s">
        <v>5963</v>
      </c>
      <c r="H651" s="18" t="s">
        <v>5964</v>
      </c>
      <c r="I651" s="16" t="s">
        <v>5965</v>
      </c>
      <c r="J651" s="16" t="s">
        <v>86</v>
      </c>
      <c r="K651" s="16" t="s">
        <v>448</v>
      </c>
      <c r="L651" s="16" t="s">
        <v>5966</v>
      </c>
      <c r="M651" s="16" t="s">
        <v>136</v>
      </c>
      <c r="N651" s="16" t="s">
        <v>5967</v>
      </c>
      <c r="O651" s="16" t="s">
        <v>5968</v>
      </c>
      <c r="P651" s="16" t="s">
        <v>5969</v>
      </c>
      <c r="Q651" s="16" t="s">
        <v>1815</v>
      </c>
      <c r="R651" s="16" t="s">
        <v>3598</v>
      </c>
      <c r="S651" s="19" t="s">
        <v>5970</v>
      </c>
      <c r="T651" s="20" t="s">
        <v>40</v>
      </c>
      <c r="U651" s="16" t="s">
        <v>5495</v>
      </c>
      <c r="V651" s="16" t="s">
        <v>5971</v>
      </c>
      <c r="W651" s="30" t="s">
        <v>5972</v>
      </c>
      <c r="X651" s="18" t="s">
        <v>542</v>
      </c>
      <c r="Y651" s="18" t="s">
        <v>98</v>
      </c>
      <c r="Z651" s="18" t="s">
        <v>1815</v>
      </c>
      <c r="AA651" s="16" t="s">
        <v>4525</v>
      </c>
      <c r="AB651" s="16" t="s">
        <v>5892</v>
      </c>
      <c r="AC651" s="16" t="s">
        <v>4527</v>
      </c>
      <c r="AD651" s="123" t="str">
        <f t="shared" si="10"/>
        <v>External Transfer-NBE</v>
      </c>
      <c r="AE651" s="123" t="str">
        <f>VLOOKUP(Table1[[#This Row],[Name of bank]],'اكواد البنوك'!$A$2:$B$34,2,0)</f>
        <v>NBEGEGCXXXX</v>
      </c>
      <c r="AF651" s="21" t="s">
        <v>2337</v>
      </c>
      <c r="AG651" s="15" t="s">
        <v>167</v>
      </c>
    </row>
    <row r="652" spans="1:33">
      <c r="A652" s="14">
        <v>651</v>
      </c>
      <c r="B652" s="14" t="s">
        <v>5960</v>
      </c>
      <c r="C652" s="14" t="s">
        <v>5083</v>
      </c>
      <c r="D652" s="15" t="s">
        <v>1839</v>
      </c>
      <c r="E652" s="16" t="s">
        <v>5973</v>
      </c>
      <c r="F652" s="32" t="s">
        <v>10138</v>
      </c>
      <c r="G652" s="17" t="s">
        <v>5974</v>
      </c>
      <c r="H652" s="18" t="s">
        <v>5975</v>
      </c>
      <c r="I652" s="16" t="s">
        <v>5976</v>
      </c>
      <c r="J652" s="16" t="s">
        <v>86</v>
      </c>
      <c r="K652" s="16" t="s">
        <v>2593</v>
      </c>
      <c r="L652" s="16">
        <v>59510920</v>
      </c>
      <c r="M652" s="16" t="s">
        <v>234</v>
      </c>
      <c r="N652" s="16" t="s">
        <v>5977</v>
      </c>
      <c r="O652" s="16" t="s">
        <v>5978</v>
      </c>
      <c r="P652" s="16" t="s">
        <v>5979</v>
      </c>
      <c r="Q652" s="16" t="s">
        <v>1815</v>
      </c>
      <c r="R652" s="16" t="s">
        <v>3598</v>
      </c>
      <c r="S652" s="19" t="s">
        <v>5973</v>
      </c>
      <c r="T652" s="20" t="s">
        <v>223</v>
      </c>
      <c r="U652" s="16" t="s">
        <v>5980</v>
      </c>
      <c r="V652" s="16" t="s">
        <v>5981</v>
      </c>
      <c r="W652" s="30" t="s">
        <v>5982</v>
      </c>
      <c r="X652" s="18" t="s">
        <v>542</v>
      </c>
      <c r="Y652" s="18" t="s">
        <v>98</v>
      </c>
      <c r="Z652" s="18" t="s">
        <v>1815</v>
      </c>
      <c r="AA652" s="16" t="s">
        <v>4525</v>
      </c>
      <c r="AB652" s="16" t="s">
        <v>5892</v>
      </c>
      <c r="AC652" s="16" t="s">
        <v>4527</v>
      </c>
      <c r="AD652" s="123" t="str">
        <f t="shared" si="10"/>
        <v>External Transfer-Other banks</v>
      </c>
      <c r="AE652" s="123" t="str">
        <f>VLOOKUP(Table1[[#This Row],[Name of bank]],'اكواد البنوك'!$A$2:$B$34,2,0)</f>
        <v>NBADEGCAXXX</v>
      </c>
      <c r="AF652" s="21" t="s">
        <v>2574</v>
      </c>
      <c r="AG652" s="15" t="s">
        <v>3069</v>
      </c>
    </row>
    <row r="653" spans="1:33">
      <c r="A653" s="14">
        <v>652</v>
      </c>
      <c r="B653" s="14" t="s">
        <v>5960</v>
      </c>
      <c r="C653" s="14" t="e">
        <v>#N/A</v>
      </c>
      <c r="D653" s="15" t="s">
        <v>1839</v>
      </c>
      <c r="E653" s="16" t="s">
        <v>5983</v>
      </c>
      <c r="F653" s="32" t="s">
        <v>5984</v>
      </c>
      <c r="G653" s="17" t="s">
        <v>5985</v>
      </c>
      <c r="H653" s="18" t="s">
        <v>5986</v>
      </c>
      <c r="I653" s="16" t="s">
        <v>5987</v>
      </c>
      <c r="J653" s="16" t="s">
        <v>86</v>
      </c>
      <c r="K653" s="16" t="s">
        <v>1910</v>
      </c>
      <c r="L653" s="16" t="s">
        <v>5988</v>
      </c>
      <c r="M653" s="16" t="s">
        <v>5601</v>
      </c>
      <c r="N653" s="16" t="s">
        <v>5989</v>
      </c>
      <c r="O653" s="16" t="s">
        <v>5990</v>
      </c>
      <c r="P653" s="16" t="s">
        <v>5991</v>
      </c>
      <c r="Q653" s="16" t="s">
        <v>1815</v>
      </c>
      <c r="R653" s="16" t="s">
        <v>3598</v>
      </c>
      <c r="S653" s="19" t="s">
        <v>5992</v>
      </c>
      <c r="T653" s="20" t="s">
        <v>307</v>
      </c>
      <c r="U653" s="16" t="s">
        <v>5993</v>
      </c>
      <c r="V653" s="16" t="s">
        <v>5994</v>
      </c>
      <c r="W653" s="30" t="s">
        <v>5995</v>
      </c>
      <c r="X653" s="18" t="s">
        <v>542</v>
      </c>
      <c r="Y653" s="18" t="s">
        <v>98</v>
      </c>
      <c r="Z653" s="18" t="s">
        <v>1815</v>
      </c>
      <c r="AA653" s="16" t="s">
        <v>4525</v>
      </c>
      <c r="AB653" s="16" t="s">
        <v>5892</v>
      </c>
      <c r="AC653" s="16" t="s">
        <v>4527</v>
      </c>
      <c r="AD653" s="123" t="str">
        <f t="shared" si="10"/>
        <v>External Transfer-Other banks</v>
      </c>
      <c r="AE653" s="123" t="str">
        <f>VLOOKUP(Table1[[#This Row],[Name of bank]],'اكواد البنوك'!$A$2:$B$34,2,0)</f>
        <v>CIBEEGCXXXX</v>
      </c>
      <c r="AF653" s="21" t="s">
        <v>4566</v>
      </c>
      <c r="AG653" s="15" t="s">
        <v>3069</v>
      </c>
    </row>
    <row r="654" spans="1:33">
      <c r="A654" s="14">
        <v>653</v>
      </c>
      <c r="B654" s="14" t="s">
        <v>5960</v>
      </c>
      <c r="C654" s="14" t="s">
        <v>5024</v>
      </c>
      <c r="D654" s="15" t="s">
        <v>1839</v>
      </c>
      <c r="E654" s="16" t="s">
        <v>5996</v>
      </c>
      <c r="F654" s="32" t="s">
        <v>5997</v>
      </c>
      <c r="G654" s="17" t="s">
        <v>5998</v>
      </c>
      <c r="H654" s="18" t="s">
        <v>5999</v>
      </c>
      <c r="I654" s="16" t="s">
        <v>6000</v>
      </c>
      <c r="J654" s="16" t="s">
        <v>86</v>
      </c>
      <c r="K654" s="16" t="s">
        <v>2196</v>
      </c>
      <c r="L654" s="16" t="s">
        <v>6001</v>
      </c>
      <c r="M654" s="16" t="s">
        <v>136</v>
      </c>
      <c r="N654" s="16" t="s">
        <v>6002</v>
      </c>
      <c r="O654" s="16" t="s">
        <v>6003</v>
      </c>
      <c r="P654" s="16" t="s">
        <v>6004</v>
      </c>
      <c r="Q654" s="16" t="s">
        <v>1815</v>
      </c>
      <c r="R654" s="16" t="s">
        <v>3598</v>
      </c>
      <c r="S654" s="19" t="s">
        <v>5996</v>
      </c>
      <c r="T654" s="20" t="s">
        <v>40</v>
      </c>
      <c r="U654" s="16" t="s">
        <v>6005</v>
      </c>
      <c r="V654" s="16" t="s">
        <v>6006</v>
      </c>
      <c r="W654" s="30" t="s">
        <v>6007</v>
      </c>
      <c r="X654" s="18" t="s">
        <v>542</v>
      </c>
      <c r="Y654" s="18" t="s">
        <v>98</v>
      </c>
      <c r="Z654" s="18" t="s">
        <v>1815</v>
      </c>
      <c r="AA654" s="16" t="s">
        <v>4525</v>
      </c>
      <c r="AB654" s="16" t="s">
        <v>5892</v>
      </c>
      <c r="AC654" s="16" t="s">
        <v>4527</v>
      </c>
      <c r="AD654" s="123" t="str">
        <f t="shared" si="10"/>
        <v>External Transfer-NBE</v>
      </c>
      <c r="AE654" s="123" t="str">
        <f>VLOOKUP(Table1[[#This Row],[Name of bank]],'اكواد البنوك'!$A$2:$B$34,2,0)</f>
        <v>NBEGEGCXXXX</v>
      </c>
      <c r="AF654" s="21" t="s">
        <v>6008</v>
      </c>
      <c r="AG654" s="15" t="s">
        <v>3069</v>
      </c>
    </row>
    <row r="655" spans="1:33">
      <c r="A655" s="14">
        <v>654</v>
      </c>
      <c r="B655" s="14" t="s">
        <v>5960</v>
      </c>
      <c r="C655" s="14" t="s">
        <v>5307</v>
      </c>
      <c r="D655" s="15" t="s">
        <v>1839</v>
      </c>
      <c r="E655" s="16" t="s">
        <v>6009</v>
      </c>
      <c r="F655" s="32" t="s">
        <v>10096</v>
      </c>
      <c r="G655" s="17" t="s">
        <v>6011</v>
      </c>
      <c r="H655" s="18" t="s">
        <v>6012</v>
      </c>
      <c r="I655" s="16" t="s">
        <v>6013</v>
      </c>
      <c r="J655" s="16" t="s">
        <v>173</v>
      </c>
      <c r="K655" s="16" t="s">
        <v>269</v>
      </c>
      <c r="L655" s="16" t="s">
        <v>6014</v>
      </c>
      <c r="M655" s="16" t="s">
        <v>136</v>
      </c>
      <c r="N655" s="16" t="s">
        <v>6015</v>
      </c>
      <c r="O655" s="16" t="s">
        <v>6016</v>
      </c>
      <c r="P655" s="16" t="s">
        <v>6017</v>
      </c>
      <c r="Q655" s="16" t="s">
        <v>1815</v>
      </c>
      <c r="R655" s="16" t="s">
        <v>3598</v>
      </c>
      <c r="S655" s="19" t="s">
        <v>6010</v>
      </c>
      <c r="T655" s="20" t="s">
        <v>40</v>
      </c>
      <c r="U655" s="16" t="s">
        <v>6018</v>
      </c>
      <c r="V655" s="16" t="s">
        <v>6019</v>
      </c>
      <c r="W655" s="30" t="s">
        <v>6020</v>
      </c>
      <c r="X655" s="18" t="s">
        <v>542</v>
      </c>
      <c r="Y655" s="18" t="s">
        <v>98</v>
      </c>
      <c r="Z655" s="18" t="s">
        <v>1815</v>
      </c>
      <c r="AA655" s="16" t="s">
        <v>4525</v>
      </c>
      <c r="AB655" s="16" t="s">
        <v>5892</v>
      </c>
      <c r="AC655" s="16" t="s">
        <v>4527</v>
      </c>
      <c r="AD655" s="123" t="str">
        <f t="shared" si="10"/>
        <v>External Transfer-NBE</v>
      </c>
      <c r="AE655" s="123" t="str">
        <f>VLOOKUP(Table1[[#This Row],[Name of bank]],'اكواد البنوك'!$A$2:$B$34,2,0)</f>
        <v>NBEGEGCXXXX</v>
      </c>
      <c r="AF655" s="21" t="s">
        <v>2532</v>
      </c>
      <c r="AG655" s="15" t="s">
        <v>3069</v>
      </c>
    </row>
    <row r="656" spans="1:33">
      <c r="A656" s="14">
        <v>655</v>
      </c>
      <c r="B656" s="14" t="s">
        <v>6021</v>
      </c>
      <c r="C656" s="14" t="s">
        <v>5163</v>
      </c>
      <c r="D656" s="15" t="s">
        <v>1839</v>
      </c>
      <c r="E656" s="16" t="s">
        <v>6022</v>
      </c>
      <c r="F656" s="32" t="s">
        <v>6023</v>
      </c>
      <c r="G656" s="17" t="s">
        <v>6024</v>
      </c>
      <c r="H656" s="18" t="s">
        <v>6025</v>
      </c>
      <c r="I656" s="16" t="s">
        <v>4712</v>
      </c>
      <c r="J656" s="16" t="s">
        <v>173</v>
      </c>
      <c r="K656" s="16" t="s">
        <v>148</v>
      </c>
      <c r="L656" s="16" t="s">
        <v>136</v>
      </c>
      <c r="M656" s="16" t="s">
        <v>136</v>
      </c>
      <c r="N656" s="16">
        <v>29711260100311</v>
      </c>
      <c r="O656" s="16" t="s">
        <v>6026</v>
      </c>
      <c r="P656" s="16" t="s">
        <v>6027</v>
      </c>
      <c r="Q656" s="16" t="s">
        <v>1815</v>
      </c>
      <c r="R656" s="16" t="s">
        <v>3598</v>
      </c>
      <c r="S656" s="19" t="s">
        <v>6022</v>
      </c>
      <c r="T656" s="20" t="s">
        <v>1238</v>
      </c>
      <c r="U656" s="16" t="s">
        <v>6028</v>
      </c>
      <c r="V656" s="16">
        <v>71265508001</v>
      </c>
      <c r="W656" s="30" t="s">
        <v>6029</v>
      </c>
      <c r="X656" s="18" t="s">
        <v>542</v>
      </c>
      <c r="Y656" s="18" t="s">
        <v>98</v>
      </c>
      <c r="Z656" s="18" t="s">
        <v>1815</v>
      </c>
      <c r="AA656" s="16" t="s">
        <v>4525</v>
      </c>
      <c r="AB656" s="16" t="s">
        <v>5892</v>
      </c>
      <c r="AC656" s="16" t="s">
        <v>4527</v>
      </c>
      <c r="AD656" s="123" t="str">
        <f t="shared" si="10"/>
        <v>External Transfer-Other banks</v>
      </c>
      <c r="AE656" s="123" t="str">
        <f>VLOOKUP(Table1[[#This Row],[Name of bank]],'اكواد البنوك'!$A$2:$B$34,2,0)</f>
        <v>EBBKEGCXXXX</v>
      </c>
      <c r="AF656" s="21" t="s">
        <v>4107</v>
      </c>
      <c r="AG656" s="15" t="s">
        <v>167</v>
      </c>
    </row>
    <row r="657" spans="1:33">
      <c r="A657" s="14">
        <v>656</v>
      </c>
      <c r="B657" s="14" t="s">
        <v>6021</v>
      </c>
      <c r="C657" s="14" t="s">
        <v>5024</v>
      </c>
      <c r="D657" s="15" t="s">
        <v>1839</v>
      </c>
      <c r="E657" s="16" t="s">
        <v>6030</v>
      </c>
      <c r="F657" s="32" t="s">
        <v>6031</v>
      </c>
      <c r="G657" s="17" t="s">
        <v>6032</v>
      </c>
      <c r="H657" s="18" t="s">
        <v>6033</v>
      </c>
      <c r="I657" s="16" t="s">
        <v>4888</v>
      </c>
      <c r="J657" s="16" t="s">
        <v>86</v>
      </c>
      <c r="K657" s="16" t="s">
        <v>6034</v>
      </c>
      <c r="L657" s="16" t="s">
        <v>6035</v>
      </c>
      <c r="M657" s="16">
        <v>308727649</v>
      </c>
      <c r="N657" s="16" t="s">
        <v>6036</v>
      </c>
      <c r="O657" s="16" t="s">
        <v>6037</v>
      </c>
      <c r="P657" s="16" t="s">
        <v>6038</v>
      </c>
      <c r="Q657" s="16" t="s">
        <v>1815</v>
      </c>
      <c r="R657" s="16" t="s">
        <v>3598</v>
      </c>
      <c r="S657" s="19" t="s">
        <v>6030</v>
      </c>
      <c r="T657" s="20" t="s">
        <v>176</v>
      </c>
      <c r="U657" s="16" t="s">
        <v>6039</v>
      </c>
      <c r="V657" s="16" t="s">
        <v>6040</v>
      </c>
      <c r="W657" s="30" t="s">
        <v>6041</v>
      </c>
      <c r="X657" s="18" t="s">
        <v>542</v>
      </c>
      <c r="Y657" s="18" t="s">
        <v>98</v>
      </c>
      <c r="Z657" s="18" t="s">
        <v>1815</v>
      </c>
      <c r="AA657" s="16" t="s">
        <v>4525</v>
      </c>
      <c r="AB657" s="16" t="s">
        <v>5892</v>
      </c>
      <c r="AC657" s="16" t="s">
        <v>4527</v>
      </c>
      <c r="AD657" s="123" t="str">
        <f t="shared" si="10"/>
        <v>External Transfer-Other banks</v>
      </c>
      <c r="AE657" s="123" t="str">
        <f>VLOOKUP(Table1[[#This Row],[Name of bank]],'اكواد البنوك'!$A$2:$B$34,2,0)</f>
        <v>BMISEGCXXXX</v>
      </c>
      <c r="AF657" s="21" t="s">
        <v>6042</v>
      </c>
      <c r="AG657" s="15" t="s">
        <v>3069</v>
      </c>
    </row>
    <row r="658" spans="1:33">
      <c r="A658" s="14">
        <v>657</v>
      </c>
      <c r="B658" s="14" t="s">
        <v>6021</v>
      </c>
      <c r="C658" s="14" t="e">
        <v>#N/A</v>
      </c>
      <c r="D658" s="15" t="s">
        <v>1839</v>
      </c>
      <c r="E658" s="16" t="s">
        <v>6043</v>
      </c>
      <c r="F658" s="32" t="s">
        <v>6044</v>
      </c>
      <c r="G658" s="17" t="s">
        <v>6045</v>
      </c>
      <c r="H658" s="18" t="s">
        <v>6046</v>
      </c>
      <c r="I658" s="16" t="s">
        <v>6047</v>
      </c>
      <c r="J658" s="16" t="s">
        <v>86</v>
      </c>
      <c r="K658" s="16" t="s">
        <v>6048</v>
      </c>
      <c r="L658" s="16" t="s">
        <v>6049</v>
      </c>
      <c r="M658" s="16" t="s">
        <v>977</v>
      </c>
      <c r="N658" s="16" t="s">
        <v>6050</v>
      </c>
      <c r="O658" s="16" t="s">
        <v>6051</v>
      </c>
      <c r="P658" s="16" t="s">
        <v>6052</v>
      </c>
      <c r="Q658" s="16" t="s">
        <v>1815</v>
      </c>
      <c r="R658" s="16" t="s">
        <v>3598</v>
      </c>
      <c r="S658" s="19" t="s">
        <v>6053</v>
      </c>
      <c r="T658" s="20" t="s">
        <v>93</v>
      </c>
      <c r="U658" s="16" t="s">
        <v>6054</v>
      </c>
      <c r="V658" s="16" t="s">
        <v>6055</v>
      </c>
      <c r="W658" s="30" t="s">
        <v>6056</v>
      </c>
      <c r="X658" s="18" t="s">
        <v>542</v>
      </c>
      <c r="Y658" s="18" t="s">
        <v>98</v>
      </c>
      <c r="Z658" s="18" t="s">
        <v>1815</v>
      </c>
      <c r="AA658" s="16" t="s">
        <v>4525</v>
      </c>
      <c r="AB658" s="16" t="s">
        <v>5892</v>
      </c>
      <c r="AC658" s="16" t="s">
        <v>4527</v>
      </c>
      <c r="AD658" s="123" t="str">
        <f t="shared" si="10"/>
        <v>External Transfer-Other banks</v>
      </c>
      <c r="AE658" s="123" t="str">
        <f>VLOOKUP(Table1[[#This Row],[Name of bank]],'اكواد البنوك'!$A$2:$B$34,2,0)</f>
        <v>QNBAEGCXXXX</v>
      </c>
      <c r="AF658" s="21" t="s">
        <v>3614</v>
      </c>
      <c r="AG658" s="15" t="s">
        <v>3069</v>
      </c>
    </row>
    <row r="659" spans="1:33">
      <c r="A659" s="14">
        <v>658</v>
      </c>
      <c r="B659" s="14" t="s">
        <v>6021</v>
      </c>
      <c r="C659" s="14" t="s">
        <v>5709</v>
      </c>
      <c r="D659" s="15" t="s">
        <v>1839</v>
      </c>
      <c r="E659" s="16" t="s">
        <v>6057</v>
      </c>
      <c r="F659" s="32" t="s">
        <v>6058</v>
      </c>
      <c r="G659" s="17" t="s">
        <v>6059</v>
      </c>
      <c r="H659" s="18" t="s">
        <v>6060</v>
      </c>
      <c r="I659" s="16" t="s">
        <v>6061</v>
      </c>
      <c r="J659" s="16" t="s">
        <v>86</v>
      </c>
      <c r="K659" s="16" t="s">
        <v>2008</v>
      </c>
      <c r="L659" s="16" t="s">
        <v>6062</v>
      </c>
      <c r="M659" s="16" t="s">
        <v>136</v>
      </c>
      <c r="N659" s="16" t="s">
        <v>6063</v>
      </c>
      <c r="O659" s="16" t="s">
        <v>6064</v>
      </c>
      <c r="P659" s="16" t="s">
        <v>6065</v>
      </c>
      <c r="Q659" s="16" t="s">
        <v>1815</v>
      </c>
      <c r="R659" s="16" t="s">
        <v>3598</v>
      </c>
      <c r="S659" s="19" t="s">
        <v>6057</v>
      </c>
      <c r="T659" s="20" t="s">
        <v>40</v>
      </c>
      <c r="U659" s="16" t="s">
        <v>3058</v>
      </c>
      <c r="V659" s="16" t="s">
        <v>6066</v>
      </c>
      <c r="W659" s="30" t="s">
        <v>6067</v>
      </c>
      <c r="X659" s="18" t="s">
        <v>542</v>
      </c>
      <c r="Y659" s="18" t="s">
        <v>98</v>
      </c>
      <c r="Z659" s="18" t="s">
        <v>1815</v>
      </c>
      <c r="AA659" s="16" t="s">
        <v>4525</v>
      </c>
      <c r="AB659" s="16" t="s">
        <v>5892</v>
      </c>
      <c r="AC659" s="16" t="s">
        <v>4527</v>
      </c>
      <c r="AD659" s="123" t="str">
        <f t="shared" si="10"/>
        <v>External Transfer-NBE</v>
      </c>
      <c r="AE659" s="123" t="str">
        <f>VLOOKUP(Table1[[#This Row],[Name of bank]],'اكواد البنوك'!$A$2:$B$34,2,0)</f>
        <v>NBEGEGCXXXX</v>
      </c>
      <c r="AF659" s="21" t="s">
        <v>6068</v>
      </c>
      <c r="AG659" s="15" t="s">
        <v>3069</v>
      </c>
    </row>
    <row r="660" spans="1:33">
      <c r="A660" s="14">
        <v>659</v>
      </c>
      <c r="B660" s="14" t="s">
        <v>6069</v>
      </c>
      <c r="C660" s="14" t="s">
        <v>5307</v>
      </c>
      <c r="D660" s="15" t="s">
        <v>1839</v>
      </c>
      <c r="E660" s="16" t="s">
        <v>6070</v>
      </c>
      <c r="F660" s="32" t="s">
        <v>6071</v>
      </c>
      <c r="G660" s="17" t="s">
        <v>6072</v>
      </c>
      <c r="H660" s="18" t="s">
        <v>6073</v>
      </c>
      <c r="I660" s="16" t="s">
        <v>2185</v>
      </c>
      <c r="J660" s="16" t="s">
        <v>1845</v>
      </c>
      <c r="K660" s="16" t="s">
        <v>1966</v>
      </c>
      <c r="L660" s="16" t="s">
        <v>6074</v>
      </c>
      <c r="M660" s="16">
        <v>100675891</v>
      </c>
      <c r="N660" s="16" t="s">
        <v>6075</v>
      </c>
      <c r="O660" s="16" t="s">
        <v>6076</v>
      </c>
      <c r="P660" s="16" t="s">
        <v>6077</v>
      </c>
      <c r="Q660" s="16" t="s">
        <v>1815</v>
      </c>
      <c r="R660" s="16" t="s">
        <v>3598</v>
      </c>
      <c r="S660" s="19" t="s">
        <v>6078</v>
      </c>
      <c r="T660" s="20" t="s">
        <v>40</v>
      </c>
      <c r="U660" s="16" t="s">
        <v>6079</v>
      </c>
      <c r="V660" s="16" t="s">
        <v>6080</v>
      </c>
      <c r="W660" s="30" t="s">
        <v>6081</v>
      </c>
      <c r="X660" s="18" t="s">
        <v>542</v>
      </c>
      <c r="Y660" s="18" t="s">
        <v>98</v>
      </c>
      <c r="Z660" s="18" t="s">
        <v>1815</v>
      </c>
      <c r="AA660" s="16" t="s">
        <v>4525</v>
      </c>
      <c r="AB660" s="16" t="s">
        <v>5892</v>
      </c>
      <c r="AC660" s="16" t="s">
        <v>4527</v>
      </c>
      <c r="AD660" s="123" t="str">
        <f t="shared" si="10"/>
        <v>External Transfer-NBE</v>
      </c>
      <c r="AE660" s="123" t="str">
        <f>VLOOKUP(Table1[[#This Row],[Name of bank]],'اكواد البنوك'!$A$2:$B$34,2,0)</f>
        <v>NBEGEGCXXXX</v>
      </c>
      <c r="AF660" s="21" t="s">
        <v>1062</v>
      </c>
      <c r="AG660" s="15" t="s">
        <v>167</v>
      </c>
    </row>
    <row r="661" spans="1:33">
      <c r="A661" s="14">
        <v>660</v>
      </c>
      <c r="B661" s="14" t="s">
        <v>6069</v>
      </c>
      <c r="C661" s="14" t="e">
        <v>#N/A</v>
      </c>
      <c r="D661" s="15" t="s">
        <v>1839</v>
      </c>
      <c r="E661" s="16" t="s">
        <v>6082</v>
      </c>
      <c r="F661" s="32" t="s">
        <v>6083</v>
      </c>
      <c r="G661" s="17" t="s">
        <v>6084</v>
      </c>
      <c r="H661" s="18" t="s">
        <v>6085</v>
      </c>
      <c r="I661" s="16" t="s">
        <v>6086</v>
      </c>
      <c r="J661" s="16" t="s">
        <v>86</v>
      </c>
      <c r="K661" s="16" t="s">
        <v>384</v>
      </c>
      <c r="L661" s="16" t="s">
        <v>6087</v>
      </c>
      <c r="M661" s="16" t="s">
        <v>136</v>
      </c>
      <c r="N661" s="16" t="s">
        <v>6088</v>
      </c>
      <c r="O661" s="16" t="s">
        <v>6089</v>
      </c>
      <c r="P661" s="16" t="s">
        <v>6090</v>
      </c>
      <c r="Q661" s="16" t="s">
        <v>1815</v>
      </c>
      <c r="R661" s="16" t="s">
        <v>3598</v>
      </c>
      <c r="S661" s="19" t="s">
        <v>6082</v>
      </c>
      <c r="T661" s="20" t="s">
        <v>40</v>
      </c>
      <c r="U661" s="16" t="s">
        <v>4046</v>
      </c>
      <c r="V661" s="16" t="s">
        <v>6091</v>
      </c>
      <c r="W661" s="30" t="s">
        <v>6092</v>
      </c>
      <c r="X661" s="18" t="s">
        <v>542</v>
      </c>
      <c r="Y661" s="18" t="s">
        <v>98</v>
      </c>
      <c r="Z661" s="18" t="s">
        <v>1815</v>
      </c>
      <c r="AA661" s="16" t="s">
        <v>4525</v>
      </c>
      <c r="AB661" s="16" t="s">
        <v>5892</v>
      </c>
      <c r="AC661" s="16" t="s">
        <v>4527</v>
      </c>
      <c r="AD661" s="123" t="str">
        <f t="shared" si="10"/>
        <v>External Transfer-NBE</v>
      </c>
      <c r="AE661" s="123" t="str">
        <f>VLOOKUP(Table1[[#This Row],[Name of bank]],'اكواد البنوك'!$A$2:$B$34,2,0)</f>
        <v>NBEGEGCXXXX</v>
      </c>
      <c r="AF661" s="21" t="s">
        <v>739</v>
      </c>
      <c r="AG661" s="15" t="s">
        <v>3069</v>
      </c>
    </row>
    <row r="662" spans="1:33">
      <c r="A662" s="14">
        <v>661</v>
      </c>
      <c r="B662" s="14" t="s">
        <v>6069</v>
      </c>
      <c r="C662" s="14" t="s">
        <v>5834</v>
      </c>
      <c r="D662" s="15" t="s">
        <v>1839</v>
      </c>
      <c r="E662" s="16" t="s">
        <v>6093</v>
      </c>
      <c r="F662" s="32" t="s">
        <v>10193</v>
      </c>
      <c r="G662" s="17" t="s">
        <v>6094</v>
      </c>
      <c r="H662" s="18" t="s">
        <v>6095</v>
      </c>
      <c r="I662" s="16" t="s">
        <v>6096</v>
      </c>
      <c r="J662" s="16" t="s">
        <v>86</v>
      </c>
      <c r="K662" s="16" t="s">
        <v>6097</v>
      </c>
      <c r="L662" s="16" t="s">
        <v>6098</v>
      </c>
      <c r="M662" s="16" t="s">
        <v>136</v>
      </c>
      <c r="N662" s="16" t="s">
        <v>6099</v>
      </c>
      <c r="O662" s="16" t="s">
        <v>6100</v>
      </c>
      <c r="P662" s="16" t="s">
        <v>6101</v>
      </c>
      <c r="Q662" s="16" t="s">
        <v>1815</v>
      </c>
      <c r="R662" s="16" t="s">
        <v>3598</v>
      </c>
      <c r="S662" s="19" t="s">
        <v>6102</v>
      </c>
      <c r="T662" s="20" t="s">
        <v>40</v>
      </c>
      <c r="U662" s="16" t="s">
        <v>6103</v>
      </c>
      <c r="V662" s="16" t="s">
        <v>6104</v>
      </c>
      <c r="W662" s="30" t="s">
        <v>6105</v>
      </c>
      <c r="X662" s="18" t="s">
        <v>542</v>
      </c>
      <c r="Y662" s="18" t="s">
        <v>98</v>
      </c>
      <c r="Z662" s="18" t="s">
        <v>1815</v>
      </c>
      <c r="AA662" s="16" t="s">
        <v>4525</v>
      </c>
      <c r="AB662" s="16" t="s">
        <v>5892</v>
      </c>
      <c r="AC662" s="16" t="s">
        <v>4527</v>
      </c>
      <c r="AD662" s="123" t="str">
        <f t="shared" si="10"/>
        <v>External Transfer-NBE</v>
      </c>
      <c r="AE662" s="123" t="str">
        <f>VLOOKUP(Table1[[#This Row],[Name of bank]],'اكواد البنوك'!$A$2:$B$34,2,0)</f>
        <v>NBEGEGCXXXX</v>
      </c>
      <c r="AF662" s="21" t="s">
        <v>6106</v>
      </c>
      <c r="AG662" s="15" t="s">
        <v>3069</v>
      </c>
    </row>
    <row r="663" spans="1:33">
      <c r="A663" s="14">
        <v>662</v>
      </c>
      <c r="B663" s="14" t="s">
        <v>6069</v>
      </c>
      <c r="C663" s="14" t="s">
        <v>6435</v>
      </c>
      <c r="D663" s="15" t="s">
        <v>1839</v>
      </c>
      <c r="E663" s="16" t="s">
        <v>6107</v>
      </c>
      <c r="F663" s="32" t="s">
        <v>6108</v>
      </c>
      <c r="G663" s="17" t="s">
        <v>6109</v>
      </c>
      <c r="H663" s="18" t="s">
        <v>6110</v>
      </c>
      <c r="I663" s="16" t="s">
        <v>1951</v>
      </c>
      <c r="J663" s="16" t="s">
        <v>86</v>
      </c>
      <c r="K663" s="16" t="s">
        <v>4330</v>
      </c>
      <c r="L663" s="16" t="s">
        <v>6111</v>
      </c>
      <c r="M663" s="16">
        <v>484568809</v>
      </c>
      <c r="N663" s="16">
        <v>28701050105184</v>
      </c>
      <c r="O663" s="16" t="s">
        <v>6112</v>
      </c>
      <c r="P663" s="16" t="s">
        <v>6113</v>
      </c>
      <c r="Q663" s="16" t="s">
        <v>1815</v>
      </c>
      <c r="R663" s="16" t="s">
        <v>3598</v>
      </c>
      <c r="S663" s="19" t="s">
        <v>6114</v>
      </c>
      <c r="T663" s="20" t="s">
        <v>176</v>
      </c>
      <c r="U663" s="16" t="s">
        <v>6115</v>
      </c>
      <c r="V663" s="16" t="s">
        <v>6116</v>
      </c>
      <c r="W663" s="30" t="s">
        <v>6117</v>
      </c>
      <c r="X663" s="18" t="s">
        <v>542</v>
      </c>
      <c r="Y663" s="18" t="s">
        <v>98</v>
      </c>
      <c r="Z663" s="18" t="s">
        <v>1815</v>
      </c>
      <c r="AA663" s="16" t="s">
        <v>4525</v>
      </c>
      <c r="AB663" s="16" t="s">
        <v>5892</v>
      </c>
      <c r="AC663" s="16" t="s">
        <v>4527</v>
      </c>
      <c r="AD663" s="123" t="str">
        <f t="shared" si="10"/>
        <v>External Transfer-Other banks</v>
      </c>
      <c r="AE663" s="123" t="str">
        <f>VLOOKUP(Table1[[#This Row],[Name of bank]],'اكواد البنوك'!$A$2:$B$34,2,0)</f>
        <v>BMISEGCXXXX</v>
      </c>
      <c r="AF663" s="21" t="s">
        <v>5191</v>
      </c>
      <c r="AG663" s="15" t="s">
        <v>3069</v>
      </c>
    </row>
    <row r="664" spans="1:33">
      <c r="A664" s="14">
        <v>663</v>
      </c>
      <c r="B664" s="14" t="s">
        <v>639</v>
      </c>
      <c r="C664" s="14" t="s">
        <v>4935</v>
      </c>
      <c r="D664" s="15" t="s">
        <v>1827</v>
      </c>
      <c r="E664" s="16" t="s">
        <v>6118</v>
      </c>
      <c r="F664" s="32" t="s">
        <v>6119</v>
      </c>
      <c r="G664" s="17" t="s">
        <v>6120</v>
      </c>
      <c r="H664" s="18" t="s">
        <v>6121</v>
      </c>
      <c r="I664" s="16" t="s">
        <v>1827</v>
      </c>
      <c r="J664" s="16" t="e">
        <v>#N/A</v>
      </c>
      <c r="K664" s="16" t="e">
        <v>#N/A</v>
      </c>
      <c r="L664" s="16" t="e">
        <v>#N/A</v>
      </c>
      <c r="M664" s="16" t="s">
        <v>1827</v>
      </c>
      <c r="N664" s="16"/>
      <c r="O664" s="16" t="e">
        <v>#N/A</v>
      </c>
      <c r="P664" s="16"/>
      <c r="Q664" s="16"/>
      <c r="R664" s="16"/>
      <c r="S664" s="19"/>
      <c r="T664" s="20" t="s">
        <v>40</v>
      </c>
      <c r="U664" s="16"/>
      <c r="V664" s="16"/>
      <c r="W664" s="30">
        <v>57</v>
      </c>
      <c r="X664" s="18" t="s">
        <v>78</v>
      </c>
      <c r="Y664" s="18" t="s">
        <v>43</v>
      </c>
      <c r="Z664" s="18" t="s">
        <v>1815</v>
      </c>
      <c r="AA664" s="16" t="s">
        <v>4525</v>
      </c>
      <c r="AB664" s="16" t="s">
        <v>5892</v>
      </c>
      <c r="AC664" s="16" t="s">
        <v>4527</v>
      </c>
      <c r="AD664" s="123" t="str">
        <f t="shared" si="10"/>
        <v>Internal Transfer</v>
      </c>
      <c r="AE664" s="123" t="str">
        <f>VLOOKUP(Table1[[#This Row],[Name of bank]],'اكواد البنوك'!$A$2:$B$34,2,0)</f>
        <v>NBEGEGCXXXX</v>
      </c>
      <c r="AF664" s="21" t="s">
        <v>6122</v>
      </c>
      <c r="AG664" s="15" t="s">
        <v>3069</v>
      </c>
    </row>
    <row r="665" spans="1:33">
      <c r="A665" s="14">
        <v>664</v>
      </c>
      <c r="B665" s="14" t="s">
        <v>639</v>
      </c>
      <c r="C665" s="14" t="e">
        <v>#N/A</v>
      </c>
      <c r="D665" s="15" t="s">
        <v>1839</v>
      </c>
      <c r="E665" s="16" t="s">
        <v>6123</v>
      </c>
      <c r="F665" s="32" t="s">
        <v>6124</v>
      </c>
      <c r="G665" s="17" t="s">
        <v>6125</v>
      </c>
      <c r="H665" s="18" t="s">
        <v>6126</v>
      </c>
      <c r="I665" s="16" t="s">
        <v>6127</v>
      </c>
      <c r="J665" s="16" t="s">
        <v>86</v>
      </c>
      <c r="K665" s="16" t="s">
        <v>6128</v>
      </c>
      <c r="L665" s="16">
        <v>75168113</v>
      </c>
      <c r="M665" s="16" t="s">
        <v>136</v>
      </c>
      <c r="N665" s="16" t="s">
        <v>6129</v>
      </c>
      <c r="O665" s="16" t="s">
        <v>6130</v>
      </c>
      <c r="P665" s="16" t="s">
        <v>6131</v>
      </c>
      <c r="Q665" s="16" t="s">
        <v>1815</v>
      </c>
      <c r="R665" s="16" t="s">
        <v>3598</v>
      </c>
      <c r="S665" s="19" t="s">
        <v>6132</v>
      </c>
      <c r="T665" s="20" t="s">
        <v>93</v>
      </c>
      <c r="U665" s="16" t="s">
        <v>4696</v>
      </c>
      <c r="V665" s="16" t="s">
        <v>6133</v>
      </c>
      <c r="W665" s="30" t="s">
        <v>6134</v>
      </c>
      <c r="X665" s="18" t="s">
        <v>97</v>
      </c>
      <c r="Y665" s="18" t="s">
        <v>98</v>
      </c>
      <c r="Z665" s="18" t="s">
        <v>1815</v>
      </c>
      <c r="AA665" s="16" t="s">
        <v>4525</v>
      </c>
      <c r="AB665" s="16" t="s">
        <v>5892</v>
      </c>
      <c r="AC665" s="16" t="s">
        <v>4527</v>
      </c>
      <c r="AD665" s="123" t="str">
        <f t="shared" si="10"/>
        <v>External Transfer-Other banks</v>
      </c>
      <c r="AE665" s="123" t="str">
        <f>VLOOKUP(Table1[[#This Row],[Name of bank]],'اكواد البنوك'!$A$2:$B$34,2,0)</f>
        <v>QNBAEGCXXXX</v>
      </c>
      <c r="AF665" s="21" t="s">
        <v>3614</v>
      </c>
      <c r="AG665" s="15" t="s">
        <v>3069</v>
      </c>
    </row>
    <row r="666" spans="1:33">
      <c r="A666" s="14">
        <v>665</v>
      </c>
      <c r="B666" s="14" t="s">
        <v>6135</v>
      </c>
      <c r="C666" s="14" t="s">
        <v>9989</v>
      </c>
      <c r="D666" s="15" t="s">
        <v>1839</v>
      </c>
      <c r="E666" s="16" t="s">
        <v>6136</v>
      </c>
      <c r="F666" s="32" t="s">
        <v>10038</v>
      </c>
      <c r="G666" s="17" t="s">
        <v>6137</v>
      </c>
      <c r="H666" s="18" t="s">
        <v>6138</v>
      </c>
      <c r="I666" s="16" t="s">
        <v>6139</v>
      </c>
      <c r="J666" s="16" t="s">
        <v>86</v>
      </c>
      <c r="K666" s="16" t="s">
        <v>106</v>
      </c>
      <c r="L666" s="16" t="s">
        <v>6140</v>
      </c>
      <c r="M666" s="16" t="s">
        <v>136</v>
      </c>
      <c r="N666" s="16" t="s">
        <v>6141</v>
      </c>
      <c r="O666" s="16" t="s">
        <v>6142</v>
      </c>
      <c r="P666" s="16" t="s">
        <v>6143</v>
      </c>
      <c r="Q666" s="16" t="s">
        <v>1815</v>
      </c>
      <c r="R666" s="16" t="s">
        <v>3598</v>
      </c>
      <c r="S666" s="19" t="s">
        <v>6144</v>
      </c>
      <c r="T666" s="20" t="s">
        <v>307</v>
      </c>
      <c r="U666" s="16" t="s">
        <v>6145</v>
      </c>
      <c r="V666" s="16" t="s">
        <v>6146</v>
      </c>
      <c r="W666" s="30" t="s">
        <v>6147</v>
      </c>
      <c r="X666" s="18" t="s">
        <v>542</v>
      </c>
      <c r="Y666" s="18" t="s">
        <v>98</v>
      </c>
      <c r="Z666" s="18" t="s">
        <v>1815</v>
      </c>
      <c r="AA666" s="16" t="s">
        <v>4525</v>
      </c>
      <c r="AB666" s="16" t="s">
        <v>5892</v>
      </c>
      <c r="AC666" s="16" t="s">
        <v>4527</v>
      </c>
      <c r="AD666" s="123" t="str">
        <f t="shared" si="10"/>
        <v>External Transfer-Other banks</v>
      </c>
      <c r="AE666" s="123" t="str">
        <f>VLOOKUP(Table1[[#This Row],[Name of bank]],'اكواد البنوك'!$A$2:$B$34,2,0)</f>
        <v>CIBEEGCXXXX</v>
      </c>
      <c r="AF666" s="21" t="s">
        <v>3767</v>
      </c>
      <c r="AG666" s="15" t="s">
        <v>167</v>
      </c>
    </row>
    <row r="667" spans="1:33">
      <c r="A667" s="14">
        <v>666</v>
      </c>
      <c r="B667" s="14" t="s">
        <v>6135</v>
      </c>
      <c r="C667" s="14" t="s">
        <v>5709</v>
      </c>
      <c r="D667" s="15" t="s">
        <v>1839</v>
      </c>
      <c r="E667" s="16" t="s">
        <v>6148</v>
      </c>
      <c r="F667" s="32" t="s">
        <v>6149</v>
      </c>
      <c r="G667" s="17" t="s">
        <v>6150</v>
      </c>
      <c r="H667" s="18" t="s">
        <v>6151</v>
      </c>
      <c r="I667" s="16" t="s">
        <v>6152</v>
      </c>
      <c r="J667" s="16" t="s">
        <v>173</v>
      </c>
      <c r="K667" s="16" t="s">
        <v>3999</v>
      </c>
      <c r="L667" s="16" t="s">
        <v>6153</v>
      </c>
      <c r="M667" s="16" t="s">
        <v>136</v>
      </c>
      <c r="N667" s="16" t="s">
        <v>6154</v>
      </c>
      <c r="O667" s="16" t="s">
        <v>6155</v>
      </c>
      <c r="P667" s="16" t="s">
        <v>6156</v>
      </c>
      <c r="Q667" s="16" t="s">
        <v>1815</v>
      </c>
      <c r="R667" s="16" t="s">
        <v>3598</v>
      </c>
      <c r="S667" s="19" t="s">
        <v>6148</v>
      </c>
      <c r="T667" s="20" t="s">
        <v>3600</v>
      </c>
      <c r="U667" s="16" t="s">
        <v>6157</v>
      </c>
      <c r="V667" s="16" t="s">
        <v>6158</v>
      </c>
      <c r="W667" s="30" t="s">
        <v>6159</v>
      </c>
      <c r="X667" s="18" t="s">
        <v>542</v>
      </c>
      <c r="Y667" s="18" t="s">
        <v>98</v>
      </c>
      <c r="Z667" s="18" t="s">
        <v>1815</v>
      </c>
      <c r="AA667" s="16" t="s">
        <v>4525</v>
      </c>
      <c r="AB667" s="16" t="s">
        <v>5892</v>
      </c>
      <c r="AC667" s="16" t="s">
        <v>4527</v>
      </c>
      <c r="AD667" s="123" t="str">
        <f t="shared" si="10"/>
        <v>External Transfer-Other banks</v>
      </c>
      <c r="AE667" s="123" t="str">
        <f>VLOOKUP(Table1[[#This Row],[Name of bank]],'اكواد البنوك'!$A$2:$B$34,2,0)</f>
        <v>EBILEGCXXXX</v>
      </c>
      <c r="AF667" s="21" t="s">
        <v>227</v>
      </c>
      <c r="AG667" s="15" t="s">
        <v>3069</v>
      </c>
    </row>
    <row r="668" spans="1:33">
      <c r="A668" s="14">
        <v>667</v>
      </c>
      <c r="B668" s="14" t="s">
        <v>6160</v>
      </c>
      <c r="C668" s="14" t="s">
        <v>5862</v>
      </c>
      <c r="D668" s="15" t="s">
        <v>1839</v>
      </c>
      <c r="E668" s="16" t="s">
        <v>6161</v>
      </c>
      <c r="F668" s="32" t="s">
        <v>10010</v>
      </c>
      <c r="G668" s="17" t="s">
        <v>6163</v>
      </c>
      <c r="H668" s="18" t="s">
        <v>6164</v>
      </c>
      <c r="I668" s="16" t="s">
        <v>6165</v>
      </c>
      <c r="J668" s="16" t="s">
        <v>173</v>
      </c>
      <c r="K668" s="16" t="s">
        <v>2131</v>
      </c>
      <c r="L668" s="16" t="s">
        <v>6166</v>
      </c>
      <c r="M668" s="16" t="s">
        <v>6167</v>
      </c>
      <c r="N668" s="16" t="s">
        <v>6168</v>
      </c>
      <c r="O668" s="16" t="s">
        <v>6169</v>
      </c>
      <c r="P668" s="16" t="s">
        <v>6170</v>
      </c>
      <c r="Q668" s="16" t="s">
        <v>1815</v>
      </c>
      <c r="R668" s="16" t="s">
        <v>3598</v>
      </c>
      <c r="S668" s="19" t="s">
        <v>6162</v>
      </c>
      <c r="T668" s="20" t="s">
        <v>40</v>
      </c>
      <c r="U668" s="16" t="s">
        <v>6171</v>
      </c>
      <c r="V668" s="16" t="s">
        <v>9854</v>
      </c>
      <c r="W668" s="30" t="s">
        <v>6172</v>
      </c>
      <c r="X668" s="18" t="s">
        <v>542</v>
      </c>
      <c r="Y668" s="18" t="s">
        <v>98</v>
      </c>
      <c r="Z668" s="18" t="s">
        <v>1815</v>
      </c>
      <c r="AA668" s="16" t="s">
        <v>4525</v>
      </c>
      <c r="AB668" s="16" t="s">
        <v>5892</v>
      </c>
      <c r="AC668" s="16" t="s">
        <v>4527</v>
      </c>
      <c r="AD668" s="123" t="str">
        <f t="shared" si="10"/>
        <v>External Transfer-NBE</v>
      </c>
      <c r="AE668" s="123" t="str">
        <f>VLOOKUP(Table1[[#This Row],[Name of bank]],'اكواد البنوك'!$A$2:$B$34,2,0)</f>
        <v>NBEGEGCXXXX</v>
      </c>
      <c r="AF668" s="21" t="s">
        <v>5318</v>
      </c>
      <c r="AG668" s="15" t="s">
        <v>167</v>
      </c>
    </row>
    <row r="669" spans="1:33">
      <c r="A669" s="14">
        <v>668</v>
      </c>
      <c r="B669" s="14" t="s">
        <v>6160</v>
      </c>
      <c r="C669" s="14" t="s">
        <v>5772</v>
      </c>
      <c r="D669" s="15" t="s">
        <v>1839</v>
      </c>
      <c r="E669" s="16" t="s">
        <v>6173</v>
      </c>
      <c r="F669" s="32" t="s">
        <v>5161</v>
      </c>
      <c r="G669" s="17" t="s">
        <v>6174</v>
      </c>
      <c r="H669" s="18" t="s">
        <v>6175</v>
      </c>
      <c r="I669" s="16" t="s">
        <v>6176</v>
      </c>
      <c r="J669" s="16" t="s">
        <v>173</v>
      </c>
      <c r="K669" s="16" t="s">
        <v>6177</v>
      </c>
      <c r="L669" s="16">
        <v>349488</v>
      </c>
      <c r="M669" s="16" t="s">
        <v>234</v>
      </c>
      <c r="N669" s="16" t="s">
        <v>6178</v>
      </c>
      <c r="O669" s="16" t="s">
        <v>6179</v>
      </c>
      <c r="P669" s="16" t="s">
        <v>6180</v>
      </c>
      <c r="Q669" s="16" t="s">
        <v>1815</v>
      </c>
      <c r="R669" s="16" t="s">
        <v>3598</v>
      </c>
      <c r="S669" s="19" t="s">
        <v>6173</v>
      </c>
      <c r="T669" s="20" t="s">
        <v>40</v>
      </c>
      <c r="U669" s="16" t="s">
        <v>6181</v>
      </c>
      <c r="V669" s="16" t="s">
        <v>5162</v>
      </c>
      <c r="W669" s="30" t="s">
        <v>6182</v>
      </c>
      <c r="X669" s="18" t="s">
        <v>542</v>
      </c>
      <c r="Y669" s="18" t="s">
        <v>98</v>
      </c>
      <c r="Z669" s="18" t="s">
        <v>1815</v>
      </c>
      <c r="AA669" s="16" t="s">
        <v>4525</v>
      </c>
      <c r="AB669" s="16" t="s">
        <v>5892</v>
      </c>
      <c r="AC669" s="16" t="s">
        <v>4527</v>
      </c>
      <c r="AD669" s="123" t="str">
        <f t="shared" si="10"/>
        <v>External Transfer-NBE</v>
      </c>
      <c r="AE669" s="123" t="str">
        <f>VLOOKUP(Table1[[#This Row],[Name of bank]],'اكواد البنوك'!$A$2:$B$34,2,0)</f>
        <v>NBEGEGCXXXX</v>
      </c>
      <c r="AF669" s="21" t="s">
        <v>6183</v>
      </c>
      <c r="AG669" s="15" t="s">
        <v>3069</v>
      </c>
    </row>
    <row r="670" spans="1:33">
      <c r="A670" s="14">
        <v>669</v>
      </c>
      <c r="B670" s="14" t="s">
        <v>6184</v>
      </c>
      <c r="C670" s="14" t="e">
        <v>#N/A</v>
      </c>
      <c r="D670" s="15" t="s">
        <v>1839</v>
      </c>
      <c r="E670" s="16" t="s">
        <v>6185</v>
      </c>
      <c r="F670" s="32" t="s">
        <v>10104</v>
      </c>
      <c r="G670" s="17" t="s">
        <v>6186</v>
      </c>
      <c r="H670" s="18" t="s">
        <v>6187</v>
      </c>
      <c r="I670" s="16" t="s">
        <v>6188</v>
      </c>
      <c r="J670" s="16" t="s">
        <v>173</v>
      </c>
      <c r="K670" s="16" t="s">
        <v>6189</v>
      </c>
      <c r="L670" s="16" t="s">
        <v>136</v>
      </c>
      <c r="M670" s="16" t="s">
        <v>136</v>
      </c>
      <c r="N670" s="16" t="s">
        <v>6190</v>
      </c>
      <c r="O670" s="16" t="s">
        <v>6191</v>
      </c>
      <c r="P670" s="16" t="s">
        <v>6192</v>
      </c>
      <c r="Q670" s="16" t="s">
        <v>1815</v>
      </c>
      <c r="R670" s="16" t="s">
        <v>3598</v>
      </c>
      <c r="S670" s="19" t="s">
        <v>6185</v>
      </c>
      <c r="T670" s="20" t="s">
        <v>93</v>
      </c>
      <c r="U670" s="16" t="s">
        <v>4075</v>
      </c>
      <c r="V670" s="16" t="s">
        <v>9855</v>
      </c>
      <c r="W670" s="30" t="s">
        <v>6193</v>
      </c>
      <c r="X670" s="18" t="s">
        <v>542</v>
      </c>
      <c r="Y670" s="18" t="s">
        <v>98</v>
      </c>
      <c r="Z670" s="18" t="s">
        <v>1815</v>
      </c>
      <c r="AA670" s="16" t="s">
        <v>4525</v>
      </c>
      <c r="AB670" s="16" t="s">
        <v>5892</v>
      </c>
      <c r="AC670" s="16" t="s">
        <v>4527</v>
      </c>
      <c r="AD670" s="123" t="str">
        <f t="shared" si="10"/>
        <v>External Transfer-Other banks</v>
      </c>
      <c r="AE670" s="123" t="str">
        <f>VLOOKUP(Table1[[#This Row],[Name of bank]],'اكواد البنوك'!$A$2:$B$34,2,0)</f>
        <v>QNBAEGCXXXX</v>
      </c>
      <c r="AF670" s="21" t="s">
        <v>1467</v>
      </c>
      <c r="AG670" s="15" t="s">
        <v>167</v>
      </c>
    </row>
    <row r="671" spans="1:33">
      <c r="A671" s="14">
        <v>670</v>
      </c>
      <c r="B671" s="14" t="s">
        <v>6184</v>
      </c>
      <c r="C671" s="14" t="s">
        <v>5932</v>
      </c>
      <c r="D671" s="15" t="s">
        <v>1839</v>
      </c>
      <c r="E671" s="16" t="s">
        <v>6194</v>
      </c>
      <c r="F671" s="32" t="s">
        <v>6195</v>
      </c>
      <c r="G671" s="17" t="s">
        <v>6196</v>
      </c>
      <c r="H671" s="18" t="s">
        <v>6197</v>
      </c>
      <c r="I671" s="16" t="s">
        <v>6198</v>
      </c>
      <c r="J671" s="16" t="s">
        <v>86</v>
      </c>
      <c r="K671" s="16" t="s">
        <v>3168</v>
      </c>
      <c r="L671" s="16" t="s">
        <v>977</v>
      </c>
      <c r="M671" s="16" t="s">
        <v>136</v>
      </c>
      <c r="N671" s="16" t="s">
        <v>6199</v>
      </c>
      <c r="O671" s="16" t="s">
        <v>6200</v>
      </c>
      <c r="P671" s="16" t="s">
        <v>6201</v>
      </c>
      <c r="Q671" s="16" t="s">
        <v>1815</v>
      </c>
      <c r="R671" s="16" t="s">
        <v>3598</v>
      </c>
      <c r="S671" s="19" t="s">
        <v>6202</v>
      </c>
      <c r="T671" s="20" t="s">
        <v>40</v>
      </c>
      <c r="U671" s="16" t="s">
        <v>6203</v>
      </c>
      <c r="V671" s="16" t="s">
        <v>6204</v>
      </c>
      <c r="W671" s="30" t="s">
        <v>6205</v>
      </c>
      <c r="X671" s="18" t="s">
        <v>542</v>
      </c>
      <c r="Y671" s="18" t="s">
        <v>98</v>
      </c>
      <c r="Z671" s="18" t="s">
        <v>1815</v>
      </c>
      <c r="AA671" s="16" t="s">
        <v>4525</v>
      </c>
      <c r="AB671" s="16" t="s">
        <v>5892</v>
      </c>
      <c r="AC671" s="16" t="s">
        <v>4527</v>
      </c>
      <c r="AD671" s="123" t="str">
        <f t="shared" si="10"/>
        <v>External Transfer-NBE</v>
      </c>
      <c r="AE671" s="123" t="str">
        <f>VLOOKUP(Table1[[#This Row],[Name of bank]],'اكواد البنوك'!$A$2:$B$34,2,0)</f>
        <v>NBEGEGCXXXX</v>
      </c>
      <c r="AF671" s="21" t="s">
        <v>6206</v>
      </c>
      <c r="AG671" s="15" t="s">
        <v>3069</v>
      </c>
    </row>
    <row r="672" spans="1:33">
      <c r="A672" s="14">
        <v>671</v>
      </c>
      <c r="B672" s="14" t="s">
        <v>6184</v>
      </c>
      <c r="C672" s="14" t="e">
        <v>#N/A</v>
      </c>
      <c r="D672" s="15" t="s">
        <v>1839</v>
      </c>
      <c r="E672" s="16" t="s">
        <v>6207</v>
      </c>
      <c r="F672" s="32" t="s">
        <v>6208</v>
      </c>
      <c r="G672" s="17" t="s">
        <v>6209</v>
      </c>
      <c r="H672" s="18" t="s">
        <v>6210</v>
      </c>
      <c r="I672" s="16" t="s">
        <v>6211</v>
      </c>
      <c r="J672" s="16" t="s">
        <v>86</v>
      </c>
      <c r="K672" s="16" t="s">
        <v>6212</v>
      </c>
      <c r="L672" s="16" t="s">
        <v>6213</v>
      </c>
      <c r="M672" s="16" t="s">
        <v>427</v>
      </c>
      <c r="N672" s="16" t="s">
        <v>6214</v>
      </c>
      <c r="O672" s="16" t="s">
        <v>6215</v>
      </c>
      <c r="P672" s="16" t="s">
        <v>6216</v>
      </c>
      <c r="Q672" s="16" t="s">
        <v>1815</v>
      </c>
      <c r="R672" s="16" t="s">
        <v>3598</v>
      </c>
      <c r="S672" s="19" t="s">
        <v>6208</v>
      </c>
      <c r="T672" s="20" t="s">
        <v>40</v>
      </c>
      <c r="U672" s="16" t="s">
        <v>6217</v>
      </c>
      <c r="V672" s="16" t="s">
        <v>6218</v>
      </c>
      <c r="W672" s="30" t="s">
        <v>6219</v>
      </c>
      <c r="X672" s="18" t="s">
        <v>542</v>
      </c>
      <c r="Y672" s="18" t="s">
        <v>98</v>
      </c>
      <c r="Z672" s="18" t="s">
        <v>1815</v>
      </c>
      <c r="AA672" s="16" t="s">
        <v>4525</v>
      </c>
      <c r="AB672" s="16" t="s">
        <v>5892</v>
      </c>
      <c r="AC672" s="16" t="s">
        <v>4527</v>
      </c>
      <c r="AD672" s="123" t="str">
        <f t="shared" si="10"/>
        <v>External Transfer-NBE</v>
      </c>
      <c r="AE672" s="123" t="str">
        <f>VLOOKUP(Table1[[#This Row],[Name of bank]],'اكواد البنوك'!$A$2:$B$34,2,0)</f>
        <v>NBEGEGCXXXX</v>
      </c>
      <c r="AF672" s="21" t="s">
        <v>6220</v>
      </c>
      <c r="AG672" s="15" t="s">
        <v>3069</v>
      </c>
    </row>
    <row r="673" spans="1:33">
      <c r="A673" s="14">
        <v>672</v>
      </c>
      <c r="B673" s="14" t="s">
        <v>6184</v>
      </c>
      <c r="C673" s="14" t="e">
        <v>#N/A</v>
      </c>
      <c r="D673" s="15" t="s">
        <v>1839</v>
      </c>
      <c r="E673" s="16" t="s">
        <v>6221</v>
      </c>
      <c r="F673" s="32" t="s">
        <v>6222</v>
      </c>
      <c r="G673" s="17" t="s">
        <v>6223</v>
      </c>
      <c r="H673" s="18" t="s">
        <v>6224</v>
      </c>
      <c r="I673" s="16" t="s">
        <v>6225</v>
      </c>
      <c r="J673" s="16" t="s">
        <v>86</v>
      </c>
      <c r="K673" s="16" t="s">
        <v>6226</v>
      </c>
      <c r="L673" s="16" t="s">
        <v>6227</v>
      </c>
      <c r="M673" s="16">
        <v>892171</v>
      </c>
      <c r="N673" s="16" t="s">
        <v>6228</v>
      </c>
      <c r="O673" s="16" t="s">
        <v>6229</v>
      </c>
      <c r="P673" s="16" t="s">
        <v>6230</v>
      </c>
      <c r="Q673" s="16" t="s">
        <v>1815</v>
      </c>
      <c r="R673" s="16" t="s">
        <v>3598</v>
      </c>
      <c r="S673" s="19" t="s">
        <v>6231</v>
      </c>
      <c r="T673" s="20" t="s">
        <v>908</v>
      </c>
      <c r="U673" s="16" t="s">
        <v>3633</v>
      </c>
      <c r="V673" s="16" t="s">
        <v>6232</v>
      </c>
      <c r="W673" s="30" t="s">
        <v>6233</v>
      </c>
      <c r="X673" s="18" t="s">
        <v>542</v>
      </c>
      <c r="Y673" s="18" t="s">
        <v>98</v>
      </c>
      <c r="Z673" s="18" t="s">
        <v>1815</v>
      </c>
      <c r="AA673" s="16" t="s">
        <v>4525</v>
      </c>
      <c r="AB673" s="16" t="s">
        <v>5892</v>
      </c>
      <c r="AC673" s="16" t="s">
        <v>4527</v>
      </c>
      <c r="AD673" s="123" t="str">
        <f t="shared" si="10"/>
        <v>External Transfer-Other banks</v>
      </c>
      <c r="AE673" s="123" t="str">
        <f>VLOOKUP(Table1[[#This Row],[Name of bank]],'اكواد البنوك'!$A$2:$B$34,2,0)</f>
        <v>ARAIEGCXXXX</v>
      </c>
      <c r="AF673" s="21" t="s">
        <v>3235</v>
      </c>
      <c r="AG673" s="15" t="s">
        <v>3069</v>
      </c>
    </row>
    <row r="674" spans="1:33">
      <c r="A674" s="14">
        <v>673</v>
      </c>
      <c r="B674" s="14" t="s">
        <v>73</v>
      </c>
      <c r="C674" s="14" t="e">
        <v>#N/A</v>
      </c>
      <c r="D674" s="15" t="s">
        <v>1839</v>
      </c>
      <c r="E674" s="16" t="s">
        <v>6234</v>
      </c>
      <c r="F674" s="32" t="s">
        <v>6235</v>
      </c>
      <c r="G674" s="17" t="s">
        <v>6236</v>
      </c>
      <c r="H674" s="18" t="s">
        <v>6237</v>
      </c>
      <c r="I674" s="16" t="s">
        <v>6238</v>
      </c>
      <c r="J674" s="16" t="s">
        <v>86</v>
      </c>
      <c r="K674" s="16" t="s">
        <v>6239</v>
      </c>
      <c r="L674" s="16">
        <v>52865753</v>
      </c>
      <c r="M674" s="16" t="s">
        <v>234</v>
      </c>
      <c r="N674" s="16" t="s">
        <v>6240</v>
      </c>
      <c r="O674" s="16" t="s">
        <v>6241</v>
      </c>
      <c r="P674" s="16" t="s">
        <v>6242</v>
      </c>
      <c r="Q674" s="16" t="s">
        <v>1815</v>
      </c>
      <c r="R674" s="16" t="s">
        <v>3598</v>
      </c>
      <c r="S674" s="19" t="s">
        <v>6243</v>
      </c>
      <c r="T674" s="20" t="s">
        <v>93</v>
      </c>
      <c r="U674" s="16" t="s">
        <v>4696</v>
      </c>
      <c r="V674" s="16" t="s">
        <v>6244</v>
      </c>
      <c r="W674" s="30" t="s">
        <v>6245</v>
      </c>
      <c r="X674" s="18" t="s">
        <v>6246</v>
      </c>
      <c r="Y674" s="18" t="s">
        <v>98</v>
      </c>
      <c r="Z674" s="18" t="s">
        <v>1815</v>
      </c>
      <c r="AA674" s="16" t="s">
        <v>4525</v>
      </c>
      <c r="AB674" s="16" t="s">
        <v>5892</v>
      </c>
      <c r="AC674" s="16" t="s">
        <v>4527</v>
      </c>
      <c r="AD674" s="123" t="str">
        <f t="shared" si="10"/>
        <v>External Transfer-Other banks</v>
      </c>
      <c r="AE674" s="123" t="str">
        <f>VLOOKUP(Table1[[#This Row],[Name of bank]],'اكواد البنوك'!$A$2:$B$34,2,0)</f>
        <v>QNBAEGCXXXX</v>
      </c>
      <c r="AF674" s="21" t="s">
        <v>3614</v>
      </c>
      <c r="AG674" s="15" t="s">
        <v>3069</v>
      </c>
    </row>
    <row r="675" spans="1:33">
      <c r="A675" s="14">
        <v>674</v>
      </c>
      <c r="B675" s="14" t="s">
        <v>73</v>
      </c>
      <c r="C675" s="14" t="e">
        <v>#N/A</v>
      </c>
      <c r="D675" s="15" t="s">
        <v>1839</v>
      </c>
      <c r="E675" s="16" t="s">
        <v>6247</v>
      </c>
      <c r="F675" s="32" t="s">
        <v>6248</v>
      </c>
      <c r="G675" s="17" t="s">
        <v>6249</v>
      </c>
      <c r="H675" s="18">
        <v>201097670932</v>
      </c>
      <c r="I675" s="16" t="s">
        <v>2882</v>
      </c>
      <c r="J675" s="16" t="s">
        <v>86</v>
      </c>
      <c r="K675" s="16" t="s">
        <v>269</v>
      </c>
      <c r="L675" s="16">
        <v>4772864</v>
      </c>
      <c r="M675" s="16" t="s">
        <v>136</v>
      </c>
      <c r="N675" s="16" t="s">
        <v>6250</v>
      </c>
      <c r="O675" s="16" t="s">
        <v>6251</v>
      </c>
      <c r="P675" s="16" t="s">
        <v>6252</v>
      </c>
      <c r="Q675" s="16" t="s">
        <v>1815</v>
      </c>
      <c r="R675" s="16" t="s">
        <v>3598</v>
      </c>
      <c r="S675" s="19" t="s">
        <v>6253</v>
      </c>
      <c r="T675" s="20" t="s">
        <v>176</v>
      </c>
      <c r="U675" s="16" t="s">
        <v>6254</v>
      </c>
      <c r="V675" s="16" t="s">
        <v>6255</v>
      </c>
      <c r="W675" s="30" t="s">
        <v>6256</v>
      </c>
      <c r="X675" s="18" t="s">
        <v>97</v>
      </c>
      <c r="Y675" s="18" t="s">
        <v>98</v>
      </c>
      <c r="Z675" s="18" t="s">
        <v>1815</v>
      </c>
      <c r="AA675" s="16" t="s">
        <v>4525</v>
      </c>
      <c r="AB675" s="16" t="s">
        <v>5892</v>
      </c>
      <c r="AC675" s="16" t="s">
        <v>4527</v>
      </c>
      <c r="AD675" s="123" t="str">
        <f t="shared" si="10"/>
        <v>External Transfer-Other banks</v>
      </c>
      <c r="AE675" s="123" t="str">
        <f>VLOOKUP(Table1[[#This Row],[Name of bank]],'اكواد البنوك'!$A$2:$B$34,2,0)</f>
        <v>BMISEGCXXXX</v>
      </c>
      <c r="AF675" s="21" t="s">
        <v>2347</v>
      </c>
      <c r="AG675" s="15" t="s">
        <v>3069</v>
      </c>
    </row>
    <row r="676" spans="1:33">
      <c r="A676" s="14">
        <v>675</v>
      </c>
      <c r="B676" s="14" t="s">
        <v>6257</v>
      </c>
      <c r="C676" s="14" t="s">
        <v>5796</v>
      </c>
      <c r="D676" s="15" t="s">
        <v>1839</v>
      </c>
      <c r="E676" s="16" t="s">
        <v>6258</v>
      </c>
      <c r="F676" s="32" t="s">
        <v>6259</v>
      </c>
      <c r="G676" s="17" t="s">
        <v>6260</v>
      </c>
      <c r="H676" s="18" t="s">
        <v>6261</v>
      </c>
      <c r="I676" s="16" t="s">
        <v>542</v>
      </c>
      <c r="J676" s="16" t="s">
        <v>86</v>
      </c>
      <c r="K676" s="16" t="s">
        <v>6262</v>
      </c>
      <c r="L676" s="16" t="s">
        <v>6263</v>
      </c>
      <c r="M676" s="16" t="s">
        <v>6264</v>
      </c>
      <c r="N676" s="16" t="s">
        <v>6265</v>
      </c>
      <c r="O676" s="16" t="s">
        <v>6266</v>
      </c>
      <c r="P676" s="16" t="s">
        <v>6267</v>
      </c>
      <c r="Q676" s="16" t="s">
        <v>1815</v>
      </c>
      <c r="R676" s="16" t="s">
        <v>3598</v>
      </c>
      <c r="S676" s="19" t="s">
        <v>6258</v>
      </c>
      <c r="T676" s="20" t="s">
        <v>223</v>
      </c>
      <c r="U676" s="16" t="s">
        <v>6268</v>
      </c>
      <c r="V676" s="16" t="s">
        <v>6269</v>
      </c>
      <c r="W676" s="30" t="s">
        <v>6270</v>
      </c>
      <c r="X676" s="18" t="s">
        <v>542</v>
      </c>
      <c r="Y676" s="18" t="s">
        <v>98</v>
      </c>
      <c r="Z676" s="18" t="s">
        <v>1815</v>
      </c>
      <c r="AA676" s="16" t="s">
        <v>4525</v>
      </c>
      <c r="AB676" s="16" t="s">
        <v>5892</v>
      </c>
      <c r="AC676" s="16" t="s">
        <v>4527</v>
      </c>
      <c r="AD676" s="123" t="str">
        <f t="shared" si="10"/>
        <v>External Transfer-Other banks</v>
      </c>
      <c r="AE676" s="123" t="str">
        <f>VLOOKUP(Table1[[#This Row],[Name of bank]],'اكواد البنوك'!$A$2:$B$34,2,0)</f>
        <v>NBADEGCAXXX</v>
      </c>
      <c r="AF676" s="21" t="s">
        <v>6220</v>
      </c>
      <c r="AG676" s="15" t="s">
        <v>167</v>
      </c>
    </row>
    <row r="677" spans="1:33">
      <c r="A677" s="14">
        <v>676</v>
      </c>
      <c r="B677" s="14" t="s">
        <v>6257</v>
      </c>
      <c r="C677" s="14" t="s">
        <v>5960</v>
      </c>
      <c r="D677" s="15" t="s">
        <v>1839</v>
      </c>
      <c r="E677" s="16" t="s">
        <v>6271</v>
      </c>
      <c r="F677" s="32" t="s">
        <v>6278</v>
      </c>
      <c r="G677" s="17" t="s">
        <v>6272</v>
      </c>
      <c r="H677" s="18" t="s">
        <v>6273</v>
      </c>
      <c r="I677" s="16" t="s">
        <v>1868</v>
      </c>
      <c r="J677" s="16" t="s">
        <v>86</v>
      </c>
      <c r="K677" s="16" t="s">
        <v>160</v>
      </c>
      <c r="L677" s="16" t="s">
        <v>6274</v>
      </c>
      <c r="M677" s="16" t="s">
        <v>3976</v>
      </c>
      <c r="N677" s="16" t="s">
        <v>6275</v>
      </c>
      <c r="O677" s="16" t="s">
        <v>6276</v>
      </c>
      <c r="P677" s="16" t="s">
        <v>6277</v>
      </c>
      <c r="Q677" s="16" t="s">
        <v>1815</v>
      </c>
      <c r="R677" s="16" t="s">
        <v>3598</v>
      </c>
      <c r="S677" s="19" t="s">
        <v>6278</v>
      </c>
      <c r="T677" s="20" t="s">
        <v>40</v>
      </c>
      <c r="U677" s="16" t="s">
        <v>3112</v>
      </c>
      <c r="V677" s="16" t="s">
        <v>6279</v>
      </c>
      <c r="W677" s="30" t="s">
        <v>6280</v>
      </c>
      <c r="X677" s="18" t="s">
        <v>542</v>
      </c>
      <c r="Y677" s="18" t="s">
        <v>98</v>
      </c>
      <c r="Z677" s="18" t="s">
        <v>1815</v>
      </c>
      <c r="AA677" s="16" t="s">
        <v>4525</v>
      </c>
      <c r="AB677" s="16" t="s">
        <v>5892</v>
      </c>
      <c r="AC677" s="16" t="s">
        <v>4527</v>
      </c>
      <c r="AD677" s="123" t="str">
        <f t="shared" si="10"/>
        <v>External Transfer-NBE</v>
      </c>
      <c r="AE677" s="123" t="str">
        <f>VLOOKUP(Table1[[#This Row],[Name of bank]],'اكواد البنوك'!$A$2:$B$34,2,0)</f>
        <v>NBEGEGCXXXX</v>
      </c>
      <c r="AF677" s="21" t="s">
        <v>3114</v>
      </c>
      <c r="AG677" s="15" t="s">
        <v>3069</v>
      </c>
    </row>
    <row r="678" spans="1:33">
      <c r="A678" s="14">
        <v>677</v>
      </c>
      <c r="B678" s="14" t="s">
        <v>6281</v>
      </c>
      <c r="C678" s="14" t="e">
        <v>#N/A</v>
      </c>
      <c r="D678" s="15" t="s">
        <v>1839</v>
      </c>
      <c r="E678" s="16" t="s">
        <v>6282</v>
      </c>
      <c r="F678" s="32" t="s">
        <v>6283</v>
      </c>
      <c r="G678" s="17" t="s">
        <v>6284</v>
      </c>
      <c r="H678" s="18" t="s">
        <v>6285</v>
      </c>
      <c r="I678" s="16" t="s">
        <v>6286</v>
      </c>
      <c r="J678" s="16" t="s">
        <v>1845</v>
      </c>
      <c r="K678" s="16" t="s">
        <v>6287</v>
      </c>
      <c r="L678" s="16">
        <v>49999940</v>
      </c>
      <c r="M678" s="16">
        <v>100675891</v>
      </c>
      <c r="N678" s="16" t="s">
        <v>6288</v>
      </c>
      <c r="O678" s="16" t="s">
        <v>6289</v>
      </c>
      <c r="P678" s="16" t="s">
        <v>6290</v>
      </c>
      <c r="Q678" s="16" t="s">
        <v>1815</v>
      </c>
      <c r="R678" s="16" t="s">
        <v>3598</v>
      </c>
      <c r="S678" s="19" t="s">
        <v>6291</v>
      </c>
      <c r="T678" s="20" t="s">
        <v>6292</v>
      </c>
      <c r="U678" s="16" t="s">
        <v>6293</v>
      </c>
      <c r="V678" s="16" t="s">
        <v>6294</v>
      </c>
      <c r="W678" s="30" t="s">
        <v>6295</v>
      </c>
      <c r="X678" s="18" t="s">
        <v>542</v>
      </c>
      <c r="Y678" s="18" t="s">
        <v>98</v>
      </c>
      <c r="Z678" s="18" t="s">
        <v>1815</v>
      </c>
      <c r="AA678" s="16" t="s">
        <v>4525</v>
      </c>
      <c r="AB678" s="16" t="s">
        <v>5892</v>
      </c>
      <c r="AC678" s="16" t="s">
        <v>4527</v>
      </c>
      <c r="AD678" s="123" t="str">
        <f t="shared" si="10"/>
        <v>External Transfer-Other banks</v>
      </c>
      <c r="AE678" s="123" t="str">
        <f>VLOOKUP(Table1[[#This Row],[Name of bank]],'اكواد البنوك'!$A$2:$B$34,2,0)</f>
        <v>FIEGEGCXXXX</v>
      </c>
      <c r="AF678" s="21" t="s">
        <v>5248</v>
      </c>
      <c r="AG678" s="15" t="s">
        <v>3069</v>
      </c>
    </row>
    <row r="679" spans="1:33">
      <c r="A679" s="14">
        <v>678</v>
      </c>
      <c r="B679" s="14" t="s">
        <v>6281</v>
      </c>
      <c r="C679" s="14" t="e">
        <v>#N/A</v>
      </c>
      <c r="D679" s="15" t="s">
        <v>1839</v>
      </c>
      <c r="E679" s="16" t="s">
        <v>6297</v>
      </c>
      <c r="F679" s="32" t="s">
        <v>6298</v>
      </c>
      <c r="G679" s="17" t="s">
        <v>6299</v>
      </c>
      <c r="H679" s="18" t="s">
        <v>6300</v>
      </c>
      <c r="I679" s="16" t="s">
        <v>6301</v>
      </c>
      <c r="J679" s="16" t="s">
        <v>86</v>
      </c>
      <c r="K679" s="16" t="s">
        <v>448</v>
      </c>
      <c r="L679" s="16" t="s">
        <v>6302</v>
      </c>
      <c r="M679" s="16" t="s">
        <v>3782</v>
      </c>
      <c r="N679" s="16" t="s">
        <v>6303</v>
      </c>
      <c r="O679" s="16" t="s">
        <v>6304</v>
      </c>
      <c r="P679" s="16" t="s">
        <v>6305</v>
      </c>
      <c r="Q679" s="16" t="s">
        <v>1815</v>
      </c>
      <c r="R679" s="16" t="s">
        <v>3598</v>
      </c>
      <c r="S679" s="19" t="s">
        <v>6306</v>
      </c>
      <c r="T679" s="20" t="s">
        <v>40</v>
      </c>
      <c r="U679" s="16" t="s">
        <v>5020</v>
      </c>
      <c r="V679" s="16" t="s">
        <v>6307</v>
      </c>
      <c r="W679" s="30" t="s">
        <v>6308</v>
      </c>
      <c r="X679" s="18" t="s">
        <v>542</v>
      </c>
      <c r="Y679" s="18" t="s">
        <v>98</v>
      </c>
      <c r="Z679" s="18" t="s">
        <v>1815</v>
      </c>
      <c r="AA679" s="16" t="s">
        <v>4525</v>
      </c>
      <c r="AB679" s="16" t="s">
        <v>5892</v>
      </c>
      <c r="AC679" s="16" t="s">
        <v>4527</v>
      </c>
      <c r="AD679" s="123" t="str">
        <f t="shared" si="10"/>
        <v>External Transfer-NBE</v>
      </c>
      <c r="AE679" s="123" t="str">
        <f>VLOOKUP(Table1[[#This Row],[Name of bank]],'اكواد البنوك'!$A$2:$B$34,2,0)</f>
        <v>NBEGEGCXXXX</v>
      </c>
      <c r="AF679" s="21" t="s">
        <v>5023</v>
      </c>
      <c r="AG679" s="15" t="s">
        <v>3069</v>
      </c>
    </row>
    <row r="680" spans="1:33">
      <c r="A680" s="14">
        <v>679</v>
      </c>
      <c r="B680" s="14" t="s">
        <v>6309</v>
      </c>
      <c r="C680" s="14" t="s">
        <v>6021</v>
      </c>
      <c r="D680" s="15" t="s">
        <v>1839</v>
      </c>
      <c r="E680" s="16" t="s">
        <v>6310</v>
      </c>
      <c r="F680" s="32" t="s">
        <v>10046</v>
      </c>
      <c r="G680" s="17" t="s">
        <v>6311</v>
      </c>
      <c r="H680" s="18" t="s">
        <v>6312</v>
      </c>
      <c r="I680" s="16" t="s">
        <v>6313</v>
      </c>
      <c r="J680" s="16" t="s">
        <v>86</v>
      </c>
      <c r="K680" s="16" t="s">
        <v>6314</v>
      </c>
      <c r="L680" s="16" t="s">
        <v>6315</v>
      </c>
      <c r="M680" s="16" t="s">
        <v>136</v>
      </c>
      <c r="N680" s="16" t="s">
        <v>6316</v>
      </c>
      <c r="O680" s="16" t="s">
        <v>6317</v>
      </c>
      <c r="P680" s="16" t="s">
        <v>6318</v>
      </c>
      <c r="Q680" s="16" t="s">
        <v>1815</v>
      </c>
      <c r="R680" s="16" t="s">
        <v>1849</v>
      </c>
      <c r="S680" s="19" t="s">
        <v>6310</v>
      </c>
      <c r="T680" s="20" t="s">
        <v>223</v>
      </c>
      <c r="U680" s="16" t="s">
        <v>5653</v>
      </c>
      <c r="V680" s="16" t="s">
        <v>6319</v>
      </c>
      <c r="W680" s="113" t="s">
        <v>6320</v>
      </c>
      <c r="X680" s="18" t="s">
        <v>542</v>
      </c>
      <c r="Y680" s="18" t="s">
        <v>98</v>
      </c>
      <c r="Z680" s="18" t="s">
        <v>1815</v>
      </c>
      <c r="AA680" s="16" t="s">
        <v>4525</v>
      </c>
      <c r="AB680" s="16" t="s">
        <v>5892</v>
      </c>
      <c r="AC680" s="16" t="s">
        <v>4527</v>
      </c>
      <c r="AD680" s="123" t="str">
        <f t="shared" si="10"/>
        <v>External Transfer-Other banks</v>
      </c>
      <c r="AE680" s="123" t="str">
        <f>VLOOKUP(Table1[[#This Row],[Name of bank]],'اكواد البنوك'!$A$2:$B$34,2,0)</f>
        <v>NBADEGCAXXX</v>
      </c>
      <c r="AF680" s="114" t="s">
        <v>3185</v>
      </c>
      <c r="AG680" s="15" t="s">
        <v>10381</v>
      </c>
    </row>
    <row r="681" spans="1:33">
      <c r="A681" s="14">
        <v>680</v>
      </c>
      <c r="B681" s="14" t="s">
        <v>6309</v>
      </c>
      <c r="C681" s="14" t="s">
        <v>5960</v>
      </c>
      <c r="D681" s="15" t="s">
        <v>1839</v>
      </c>
      <c r="E681" s="16" t="s">
        <v>6321</v>
      </c>
      <c r="F681" s="32" t="s">
        <v>6322</v>
      </c>
      <c r="G681" s="17" t="s">
        <v>6323</v>
      </c>
      <c r="H681" s="18" t="s">
        <v>6324</v>
      </c>
      <c r="I681" s="16" t="s">
        <v>6325</v>
      </c>
      <c r="J681" s="16" t="s">
        <v>86</v>
      </c>
      <c r="K681" s="16" t="s">
        <v>6326</v>
      </c>
      <c r="L681" s="16" t="s">
        <v>6327</v>
      </c>
      <c r="M681" s="16" t="s">
        <v>136</v>
      </c>
      <c r="N681" s="16" t="s">
        <v>6328</v>
      </c>
      <c r="O681" s="16" t="s">
        <v>6329</v>
      </c>
      <c r="P681" s="16" t="s">
        <v>6330</v>
      </c>
      <c r="Q681" s="16" t="s">
        <v>1815</v>
      </c>
      <c r="R681" s="16" t="s">
        <v>3598</v>
      </c>
      <c r="S681" s="19" t="s">
        <v>6331</v>
      </c>
      <c r="T681" s="20" t="s">
        <v>176</v>
      </c>
      <c r="U681" s="16" t="s">
        <v>6332</v>
      </c>
      <c r="V681" s="16" t="s">
        <v>6333</v>
      </c>
      <c r="W681" s="30" t="s">
        <v>6334</v>
      </c>
      <c r="X681" s="18" t="s">
        <v>542</v>
      </c>
      <c r="Y681" s="18" t="s">
        <v>98</v>
      </c>
      <c r="Z681" s="18" t="s">
        <v>1815</v>
      </c>
      <c r="AA681" s="16" t="s">
        <v>4525</v>
      </c>
      <c r="AB681" s="16" t="s">
        <v>5892</v>
      </c>
      <c r="AC681" s="16" t="s">
        <v>4527</v>
      </c>
      <c r="AD681" s="123" t="str">
        <f t="shared" si="10"/>
        <v>External Transfer-Other banks</v>
      </c>
      <c r="AE681" s="123" t="str">
        <f>VLOOKUP(Table1[[#This Row],[Name of bank]],'اكواد البنوك'!$A$2:$B$34,2,0)</f>
        <v>BMISEGCXXXX</v>
      </c>
      <c r="AF681" s="21" t="s">
        <v>3984</v>
      </c>
      <c r="AG681" s="15" t="s">
        <v>3069</v>
      </c>
    </row>
    <row r="682" spans="1:33">
      <c r="A682" s="14">
        <v>681</v>
      </c>
      <c r="B682" s="14" t="s">
        <v>6335</v>
      </c>
      <c r="C682" s="14" t="e">
        <v>#N/A</v>
      </c>
      <c r="D682" s="15" t="s">
        <v>1839</v>
      </c>
      <c r="E682" s="16" t="s">
        <v>6336</v>
      </c>
      <c r="F682" s="32" t="s">
        <v>6337</v>
      </c>
      <c r="G682" s="17" t="s">
        <v>6338</v>
      </c>
      <c r="H682" s="18" t="s">
        <v>6339</v>
      </c>
      <c r="I682" s="16" t="s">
        <v>6340</v>
      </c>
      <c r="J682" s="16" t="s">
        <v>86</v>
      </c>
      <c r="K682" s="16" t="s">
        <v>160</v>
      </c>
      <c r="L682" s="16" t="s">
        <v>6341</v>
      </c>
      <c r="M682" s="16" t="s">
        <v>136</v>
      </c>
      <c r="N682" s="16" t="s">
        <v>6342</v>
      </c>
      <c r="O682" s="16" t="s">
        <v>6343</v>
      </c>
      <c r="P682" s="16" t="s">
        <v>6344</v>
      </c>
      <c r="Q682" s="16" t="s">
        <v>1815</v>
      </c>
      <c r="R682" s="16" t="s">
        <v>3598</v>
      </c>
      <c r="S682" s="19" t="s">
        <v>6345</v>
      </c>
      <c r="T682" s="20" t="s">
        <v>40</v>
      </c>
      <c r="U682" s="16" t="s">
        <v>6346</v>
      </c>
      <c r="V682" s="16" t="s">
        <v>6347</v>
      </c>
      <c r="W682" s="30" t="s">
        <v>6348</v>
      </c>
      <c r="X682" s="18" t="s">
        <v>542</v>
      </c>
      <c r="Y682" s="18" t="s">
        <v>98</v>
      </c>
      <c r="Z682" s="18" t="s">
        <v>1815</v>
      </c>
      <c r="AA682" s="16" t="s">
        <v>4525</v>
      </c>
      <c r="AB682" s="16"/>
      <c r="AC682" s="16"/>
      <c r="AD682" s="123" t="str">
        <f t="shared" si="10"/>
        <v>External Transfer-NBE</v>
      </c>
      <c r="AE682" s="123" t="str">
        <f>VLOOKUP(Table1[[#This Row],[Name of bank]],'اكواد البنوك'!$A$2:$B$34,2,0)</f>
        <v>NBEGEGCXXXX</v>
      </c>
      <c r="AF682" s="21" t="s">
        <v>6349</v>
      </c>
      <c r="AG682" s="15" t="s">
        <v>3069</v>
      </c>
    </row>
    <row r="683" spans="1:33">
      <c r="A683" s="14">
        <v>682</v>
      </c>
      <c r="B683" s="14" t="s">
        <v>6335</v>
      </c>
      <c r="C683" s="14" t="s">
        <v>6335</v>
      </c>
      <c r="D683" s="15" t="s">
        <v>1839</v>
      </c>
      <c r="E683" s="16" t="s">
        <v>6350</v>
      </c>
      <c r="F683" s="32" t="s">
        <v>10077</v>
      </c>
      <c r="G683" s="17" t="s">
        <v>6351</v>
      </c>
      <c r="H683" s="18" t="s">
        <v>6352</v>
      </c>
      <c r="I683" s="16" t="s">
        <v>6353</v>
      </c>
      <c r="J683" s="16" t="s">
        <v>86</v>
      </c>
      <c r="K683" s="16" t="s">
        <v>4169</v>
      </c>
      <c r="L683" s="16">
        <v>68806614</v>
      </c>
      <c r="M683" s="16" t="s">
        <v>234</v>
      </c>
      <c r="N683" s="16" t="s">
        <v>6354</v>
      </c>
      <c r="O683" s="16" t="s">
        <v>6355</v>
      </c>
      <c r="P683" s="16" t="s">
        <v>6356</v>
      </c>
      <c r="Q683" s="16" t="s">
        <v>1815</v>
      </c>
      <c r="R683" s="16" t="s">
        <v>3598</v>
      </c>
      <c r="S683" s="19" t="s">
        <v>6357</v>
      </c>
      <c r="T683" s="20" t="s">
        <v>40</v>
      </c>
      <c r="U683" s="16" t="s">
        <v>4308</v>
      </c>
      <c r="V683" s="16" t="s">
        <v>6358</v>
      </c>
      <c r="W683" s="30" t="s">
        <v>6359</v>
      </c>
      <c r="X683" s="18" t="s">
        <v>542</v>
      </c>
      <c r="Y683" s="18" t="s">
        <v>98</v>
      </c>
      <c r="Z683" s="18" t="s">
        <v>1815</v>
      </c>
      <c r="AA683" s="16" t="s">
        <v>4525</v>
      </c>
      <c r="AB683" s="16" t="s">
        <v>5892</v>
      </c>
      <c r="AC683" s="16" t="s">
        <v>4527</v>
      </c>
      <c r="AD683" s="123" t="str">
        <f t="shared" si="10"/>
        <v>External Transfer-NBE</v>
      </c>
      <c r="AE683" s="123" t="str">
        <f>VLOOKUP(Table1[[#This Row],[Name of bank]],'اكواد البنوك'!$A$2:$B$34,2,0)</f>
        <v>NBEGEGCXXXX</v>
      </c>
      <c r="AF683" s="21" t="s">
        <v>4311</v>
      </c>
      <c r="AG683" s="15" t="s">
        <v>3069</v>
      </c>
    </row>
    <row r="684" spans="1:33">
      <c r="A684" s="14">
        <v>683</v>
      </c>
      <c r="B684" s="14" t="s">
        <v>6335</v>
      </c>
      <c r="C684" s="14" t="e">
        <v>#N/A</v>
      </c>
      <c r="D684" s="15" t="s">
        <v>1839</v>
      </c>
      <c r="E684" s="16" t="s">
        <v>6360</v>
      </c>
      <c r="F684" s="32" t="s">
        <v>6361</v>
      </c>
      <c r="G684" s="17" t="s">
        <v>6362</v>
      </c>
      <c r="H684" s="18" t="s">
        <v>6363</v>
      </c>
      <c r="I684" s="16" t="s">
        <v>6364</v>
      </c>
      <c r="J684" s="16" t="s">
        <v>173</v>
      </c>
      <c r="K684" s="16" t="s">
        <v>6365</v>
      </c>
      <c r="L684" s="16" t="s">
        <v>6366</v>
      </c>
      <c r="M684" s="16" t="s">
        <v>234</v>
      </c>
      <c r="N684" s="16" t="s">
        <v>6367</v>
      </c>
      <c r="O684" s="16" t="s">
        <v>6368</v>
      </c>
      <c r="P684" s="16" t="s">
        <v>6369</v>
      </c>
      <c r="Q684" s="16" t="s">
        <v>1815</v>
      </c>
      <c r="R684" s="16" t="s">
        <v>3598</v>
      </c>
      <c r="S684" s="19" t="s">
        <v>6361</v>
      </c>
      <c r="T684" s="20" t="s">
        <v>40</v>
      </c>
      <c r="U684" s="16" t="s">
        <v>4994</v>
      </c>
      <c r="V684" s="16" t="s">
        <v>6370</v>
      </c>
      <c r="W684" s="30" t="s">
        <v>6371</v>
      </c>
      <c r="X684" s="18" t="s">
        <v>542</v>
      </c>
      <c r="Y684" s="18" t="s">
        <v>98</v>
      </c>
      <c r="Z684" s="18" t="s">
        <v>1815</v>
      </c>
      <c r="AA684" s="16" t="s">
        <v>4525</v>
      </c>
      <c r="AB684" s="16" t="s">
        <v>5892</v>
      </c>
      <c r="AC684" s="16" t="s">
        <v>4527</v>
      </c>
      <c r="AD684" s="123" t="str">
        <f t="shared" si="10"/>
        <v>External Transfer-NBE</v>
      </c>
      <c r="AE684" s="123" t="str">
        <f>VLOOKUP(Table1[[#This Row],[Name of bank]],'اكواد البنوك'!$A$2:$B$34,2,0)</f>
        <v>NBEGEGCXXXX</v>
      </c>
      <c r="AF684" s="21" t="s">
        <v>4997</v>
      </c>
      <c r="AG684" s="15" t="s">
        <v>3069</v>
      </c>
    </row>
    <row r="685" spans="1:33">
      <c r="A685" s="14">
        <v>684</v>
      </c>
      <c r="B685" s="14" t="s">
        <v>6335</v>
      </c>
      <c r="C685" s="14" t="s">
        <v>5655</v>
      </c>
      <c r="D685" s="15" t="s">
        <v>1839</v>
      </c>
      <c r="E685" s="16" t="s">
        <v>6372</v>
      </c>
      <c r="F685" s="32" t="s">
        <v>6373</v>
      </c>
      <c r="G685" s="17" t="s">
        <v>6374</v>
      </c>
      <c r="H685" s="18" t="s">
        <v>6375</v>
      </c>
      <c r="I685" s="16" t="s">
        <v>6376</v>
      </c>
      <c r="J685" s="16" t="s">
        <v>173</v>
      </c>
      <c r="K685" s="16" t="s">
        <v>6377</v>
      </c>
      <c r="L685" s="16" t="s">
        <v>6378</v>
      </c>
      <c r="M685" s="16" t="s">
        <v>136</v>
      </c>
      <c r="N685" s="16" t="s">
        <v>6379</v>
      </c>
      <c r="O685" s="16" t="s">
        <v>6380</v>
      </c>
      <c r="P685" s="16" t="s">
        <v>6381</v>
      </c>
      <c r="Q685" s="16" t="s">
        <v>1815</v>
      </c>
      <c r="R685" s="16" t="s">
        <v>3598</v>
      </c>
      <c r="S685" s="19" t="s">
        <v>6382</v>
      </c>
      <c r="T685" s="20" t="s">
        <v>176</v>
      </c>
      <c r="U685" s="16" t="s">
        <v>6383</v>
      </c>
      <c r="V685" s="16" t="s">
        <v>6384</v>
      </c>
      <c r="W685" s="30" t="s">
        <v>6385</v>
      </c>
      <c r="X685" s="18" t="s">
        <v>542</v>
      </c>
      <c r="Y685" s="18" t="s">
        <v>98</v>
      </c>
      <c r="Z685" s="18" t="s">
        <v>1815</v>
      </c>
      <c r="AA685" s="16" t="s">
        <v>4525</v>
      </c>
      <c r="AB685" s="16" t="s">
        <v>5892</v>
      </c>
      <c r="AC685" s="16" t="s">
        <v>4527</v>
      </c>
      <c r="AD685" s="123" t="str">
        <f t="shared" si="10"/>
        <v>External Transfer-Other banks</v>
      </c>
      <c r="AE685" s="123" t="str">
        <f>VLOOKUP(Table1[[#This Row],[Name of bank]],'اكواد البنوك'!$A$2:$B$34,2,0)</f>
        <v>BMISEGCXXXX</v>
      </c>
      <c r="AF685" s="21" t="s">
        <v>6386</v>
      </c>
      <c r="AG685" s="15" t="s">
        <v>3069</v>
      </c>
    </row>
    <row r="686" spans="1:33">
      <c r="A686" s="14">
        <v>685</v>
      </c>
      <c r="B686" s="14" t="s">
        <v>6335</v>
      </c>
      <c r="C686" s="14" t="s">
        <v>73</v>
      </c>
      <c r="D686" s="15" t="s">
        <v>1839</v>
      </c>
      <c r="E686" s="16" t="s">
        <v>6387</v>
      </c>
      <c r="F686" s="32" t="s">
        <v>6388</v>
      </c>
      <c r="G686" s="17" t="s">
        <v>6389</v>
      </c>
      <c r="H686" s="18" t="s">
        <v>6390</v>
      </c>
      <c r="I686" s="16" t="s">
        <v>5814</v>
      </c>
      <c r="J686" s="16" t="s">
        <v>86</v>
      </c>
      <c r="K686" s="16" t="s">
        <v>6391</v>
      </c>
      <c r="L686" s="16" t="s">
        <v>6392</v>
      </c>
      <c r="M686" s="16" t="s">
        <v>234</v>
      </c>
      <c r="N686" s="16" t="s">
        <v>6393</v>
      </c>
      <c r="O686" s="16" t="s">
        <v>6394</v>
      </c>
      <c r="P686" s="16" t="s">
        <v>6395</v>
      </c>
      <c r="Q686" s="16" t="s">
        <v>1815</v>
      </c>
      <c r="R686" s="16" t="s">
        <v>3598</v>
      </c>
      <c r="S686" s="19" t="s">
        <v>6396</v>
      </c>
      <c r="T686" s="20" t="s">
        <v>176</v>
      </c>
      <c r="U686" s="16" t="s">
        <v>4577</v>
      </c>
      <c r="V686" s="16" t="s">
        <v>6397</v>
      </c>
      <c r="W686" s="30" t="s">
        <v>6398</v>
      </c>
      <c r="X686" s="18" t="s">
        <v>542</v>
      </c>
      <c r="Y686" s="18" t="s">
        <v>98</v>
      </c>
      <c r="Z686" s="18" t="s">
        <v>1815</v>
      </c>
      <c r="AA686" s="16" t="s">
        <v>4525</v>
      </c>
      <c r="AB686" s="16" t="s">
        <v>5892</v>
      </c>
      <c r="AC686" s="16" t="s">
        <v>4527</v>
      </c>
      <c r="AD686" s="123" t="str">
        <f t="shared" si="10"/>
        <v>External Transfer-Other banks</v>
      </c>
      <c r="AE686" s="123" t="str">
        <f>VLOOKUP(Table1[[#This Row],[Name of bank]],'اكواد البنوك'!$A$2:$B$34,2,0)</f>
        <v>BMISEGCXXXX</v>
      </c>
      <c r="AF686" s="21" t="s">
        <v>2347</v>
      </c>
      <c r="AG686" s="15" t="s">
        <v>3069</v>
      </c>
    </row>
    <row r="687" spans="1:33">
      <c r="A687" s="14">
        <v>686</v>
      </c>
      <c r="B687" s="14" t="s">
        <v>206</v>
      </c>
      <c r="C687" s="14" t="s">
        <v>73</v>
      </c>
      <c r="D687" s="15" t="s">
        <v>1827</v>
      </c>
      <c r="E687" s="16" t="s">
        <v>6399</v>
      </c>
      <c r="F687" s="32" t="s">
        <v>6400</v>
      </c>
      <c r="G687" s="17" t="s">
        <v>6401</v>
      </c>
      <c r="H687" s="18" t="s">
        <v>6402</v>
      </c>
      <c r="I687" s="16" t="s">
        <v>1827</v>
      </c>
      <c r="J687" s="16" t="e">
        <v>#N/A</v>
      </c>
      <c r="K687" s="16" t="e">
        <v>#N/A</v>
      </c>
      <c r="L687" s="16" t="e">
        <v>#N/A</v>
      </c>
      <c r="M687" s="16" t="s">
        <v>1827</v>
      </c>
      <c r="N687" s="16"/>
      <c r="O687" s="16"/>
      <c r="P687" s="16"/>
      <c r="Q687" s="16"/>
      <c r="R687" s="16"/>
      <c r="S687" s="19"/>
      <c r="T687" s="20" t="s">
        <v>40</v>
      </c>
      <c r="U687" s="16"/>
      <c r="V687" s="16"/>
      <c r="W687" s="30">
        <v>55</v>
      </c>
      <c r="X687" s="18" t="s">
        <v>78</v>
      </c>
      <c r="Y687" s="18" t="s">
        <v>43</v>
      </c>
      <c r="Z687" s="18" t="s">
        <v>1815</v>
      </c>
      <c r="AA687" s="16" t="s">
        <v>4525</v>
      </c>
      <c r="AB687" s="16" t="s">
        <v>5892</v>
      </c>
      <c r="AC687" s="16" t="s">
        <v>4527</v>
      </c>
      <c r="AD687" s="123" t="str">
        <f t="shared" si="10"/>
        <v>Internal Transfer</v>
      </c>
      <c r="AE687" s="123" t="str">
        <f>VLOOKUP(Table1[[#This Row],[Name of bank]],'اكواد البنوك'!$A$2:$B$34,2,0)</f>
        <v>NBEGEGCXXXX</v>
      </c>
      <c r="AF687" s="21">
        <v>55</v>
      </c>
      <c r="AG687" s="15" t="s">
        <v>3069</v>
      </c>
    </row>
    <row r="688" spans="1:33">
      <c r="A688" s="14">
        <v>687</v>
      </c>
      <c r="B688" s="14" t="s">
        <v>206</v>
      </c>
      <c r="C688" s="14" t="s">
        <v>73</v>
      </c>
      <c r="D688" s="15" t="s">
        <v>1839</v>
      </c>
      <c r="E688" s="16" t="s">
        <v>6404</v>
      </c>
      <c r="F688" s="32" t="s">
        <v>6405</v>
      </c>
      <c r="G688" s="17" t="s">
        <v>6406</v>
      </c>
      <c r="H688" s="18" t="s">
        <v>6407</v>
      </c>
      <c r="I688" s="16" t="s">
        <v>6408</v>
      </c>
      <c r="J688" s="16" t="s">
        <v>173</v>
      </c>
      <c r="K688" s="16" t="s">
        <v>106</v>
      </c>
      <c r="L688" s="16">
        <v>55506137</v>
      </c>
      <c r="M688" s="16" t="s">
        <v>977</v>
      </c>
      <c r="N688" s="16" t="s">
        <v>6409</v>
      </c>
      <c r="O688" s="16" t="s">
        <v>6410</v>
      </c>
      <c r="P688" s="16" t="s">
        <v>6411</v>
      </c>
      <c r="Q688" s="16" t="s">
        <v>1815</v>
      </c>
      <c r="R688" s="16" t="s">
        <v>3598</v>
      </c>
      <c r="S688" s="19" t="s">
        <v>6405</v>
      </c>
      <c r="T688" s="20" t="s">
        <v>40</v>
      </c>
      <c r="U688" s="16" t="s">
        <v>5217</v>
      </c>
      <c r="V688" s="16" t="s">
        <v>6412</v>
      </c>
      <c r="W688" s="30" t="s">
        <v>6413</v>
      </c>
      <c r="X688" s="18" t="s">
        <v>97</v>
      </c>
      <c r="Y688" s="18" t="s">
        <v>98</v>
      </c>
      <c r="Z688" s="18" t="s">
        <v>1815</v>
      </c>
      <c r="AA688" s="16" t="s">
        <v>4525</v>
      </c>
      <c r="AB688" s="16" t="s">
        <v>5892</v>
      </c>
      <c r="AC688" s="16" t="s">
        <v>4527</v>
      </c>
      <c r="AD688" s="123" t="str">
        <f t="shared" si="10"/>
        <v>External Transfer-NBE</v>
      </c>
      <c r="AE688" s="123" t="str">
        <f>VLOOKUP(Table1[[#This Row],[Name of bank]],'اكواد البنوك'!$A$2:$B$34,2,0)</f>
        <v>NBEGEGCXXXX</v>
      </c>
      <c r="AF688" s="21" t="s">
        <v>4965</v>
      </c>
      <c r="AG688" s="15" t="s">
        <v>3069</v>
      </c>
    </row>
    <row r="689" spans="1:33">
      <c r="A689" s="14">
        <v>688</v>
      </c>
      <c r="B689" s="14" t="s">
        <v>6414</v>
      </c>
      <c r="C689" s="14" t="s">
        <v>5307</v>
      </c>
      <c r="D689" s="15" t="s">
        <v>1839</v>
      </c>
      <c r="E689" s="16" t="s">
        <v>6415</v>
      </c>
      <c r="F689" s="32" t="s">
        <v>10170</v>
      </c>
      <c r="G689" s="17" t="s">
        <v>6416</v>
      </c>
      <c r="H689" s="18" t="s">
        <v>6417</v>
      </c>
      <c r="I689" s="16" t="s">
        <v>2882</v>
      </c>
      <c r="J689" s="16" t="s">
        <v>86</v>
      </c>
      <c r="K689" s="16" t="s">
        <v>1206</v>
      </c>
      <c r="L689" s="16" t="s">
        <v>6418</v>
      </c>
      <c r="M689" s="16" t="s">
        <v>136</v>
      </c>
      <c r="N689" s="16" t="s">
        <v>6419</v>
      </c>
      <c r="O689" s="16" t="s">
        <v>6420</v>
      </c>
      <c r="P689" s="16" t="s">
        <v>6421</v>
      </c>
      <c r="Q689" s="16" t="s">
        <v>1815</v>
      </c>
      <c r="R689" s="16" t="s">
        <v>3598</v>
      </c>
      <c r="S689" s="19" t="s">
        <v>6422</v>
      </c>
      <c r="T689" s="20" t="s">
        <v>176</v>
      </c>
      <c r="U689" s="16" t="s">
        <v>4577</v>
      </c>
      <c r="V689" s="16" t="s">
        <v>6423</v>
      </c>
      <c r="W689" s="30" t="s">
        <v>6424</v>
      </c>
      <c r="X689" s="18" t="s">
        <v>542</v>
      </c>
      <c r="Y689" s="18" t="s">
        <v>98</v>
      </c>
      <c r="Z689" s="18" t="s">
        <v>1815</v>
      </c>
      <c r="AA689" s="16" t="s">
        <v>4525</v>
      </c>
      <c r="AB689" s="16" t="s">
        <v>5892</v>
      </c>
      <c r="AC689" s="16" t="s">
        <v>4527</v>
      </c>
      <c r="AD689" s="123" t="str">
        <f t="shared" si="10"/>
        <v>External Transfer-Other banks</v>
      </c>
      <c r="AE689" s="123" t="str">
        <f>VLOOKUP(Table1[[#This Row],[Name of bank]],'اكواد البنوك'!$A$2:$B$34,2,0)</f>
        <v>BMISEGCXXXX</v>
      </c>
      <c r="AF689" s="21" t="s">
        <v>2347</v>
      </c>
      <c r="AG689" s="15" t="s">
        <v>10381</v>
      </c>
    </row>
    <row r="690" spans="1:33">
      <c r="A690" s="14">
        <v>689</v>
      </c>
      <c r="B690" s="14" t="s">
        <v>6414</v>
      </c>
      <c r="C690" s="14" t="s">
        <v>6257</v>
      </c>
      <c r="D690" s="15" t="s">
        <v>1839</v>
      </c>
      <c r="E690" s="16" t="s">
        <v>6425</v>
      </c>
      <c r="F690" s="32" t="s">
        <v>10009</v>
      </c>
      <c r="G690" s="17" t="s">
        <v>6426</v>
      </c>
      <c r="H690" s="18" t="s">
        <v>6427</v>
      </c>
      <c r="I690" s="16" t="s">
        <v>6428</v>
      </c>
      <c r="J690" s="16" t="s">
        <v>86</v>
      </c>
      <c r="K690" s="16" t="s">
        <v>2593</v>
      </c>
      <c r="L690" s="16">
        <v>67657092</v>
      </c>
      <c r="M690" s="16" t="s">
        <v>234</v>
      </c>
      <c r="N690" s="16" t="s">
        <v>6429</v>
      </c>
      <c r="O690" s="16" t="s">
        <v>6430</v>
      </c>
      <c r="P690" s="16" t="s">
        <v>6431</v>
      </c>
      <c r="Q690" s="16" t="s">
        <v>1815</v>
      </c>
      <c r="R690" s="16" t="s">
        <v>3598</v>
      </c>
      <c r="S690" s="19" t="s">
        <v>6432</v>
      </c>
      <c r="T690" s="20" t="s">
        <v>223</v>
      </c>
      <c r="U690" s="16" t="s">
        <v>2583</v>
      </c>
      <c r="V690" s="16" t="s">
        <v>6433</v>
      </c>
      <c r="W690" s="30" t="s">
        <v>6434</v>
      </c>
      <c r="X690" s="18" t="s">
        <v>542</v>
      </c>
      <c r="Y690" s="18" t="s">
        <v>98</v>
      </c>
      <c r="Z690" s="18" t="s">
        <v>1815</v>
      </c>
      <c r="AA690" s="16" t="s">
        <v>4525</v>
      </c>
      <c r="AB690" s="16" t="s">
        <v>5892</v>
      </c>
      <c r="AC690" s="16" t="s">
        <v>4527</v>
      </c>
      <c r="AD690" s="123" t="str">
        <f t="shared" si="10"/>
        <v>External Transfer-Other banks</v>
      </c>
      <c r="AE690" s="123" t="str">
        <f>VLOOKUP(Table1[[#This Row],[Name of bank]],'اكواد البنوك'!$A$2:$B$34,2,0)</f>
        <v>NBADEGCAXXX</v>
      </c>
      <c r="AF690" s="21" t="s">
        <v>3185</v>
      </c>
      <c r="AG690" s="15" t="s">
        <v>3069</v>
      </c>
    </row>
    <row r="691" spans="1:33">
      <c r="A691" s="14">
        <v>690</v>
      </c>
      <c r="B691" s="14" t="s">
        <v>6435</v>
      </c>
      <c r="C691" s="14" t="e">
        <v>#N/A</v>
      </c>
      <c r="D691" s="15" t="s">
        <v>1839</v>
      </c>
      <c r="E691" s="16" t="s">
        <v>6436</v>
      </c>
      <c r="F691" s="32" t="s">
        <v>6437</v>
      </c>
      <c r="G691" s="17" t="s">
        <v>6438</v>
      </c>
      <c r="H691" s="18" t="s">
        <v>6439</v>
      </c>
      <c r="I691" s="16" t="s">
        <v>6440</v>
      </c>
      <c r="J691" s="16" t="s">
        <v>86</v>
      </c>
      <c r="K691" s="16" t="s">
        <v>269</v>
      </c>
      <c r="L691" s="16" t="s">
        <v>6441</v>
      </c>
      <c r="M691" s="16" t="s">
        <v>136</v>
      </c>
      <c r="N691" s="16" t="s">
        <v>6442</v>
      </c>
      <c r="O691" s="16" t="s">
        <v>6443</v>
      </c>
      <c r="P691" s="16" t="s">
        <v>6444</v>
      </c>
      <c r="Q691" s="16" t="s">
        <v>1815</v>
      </c>
      <c r="R691" s="16" t="s">
        <v>3598</v>
      </c>
      <c r="S691" s="55" t="s">
        <v>6445</v>
      </c>
      <c r="T691" s="56" t="s">
        <v>93</v>
      </c>
      <c r="U691" s="57" t="s">
        <v>4075</v>
      </c>
      <c r="V691" s="57" t="s">
        <v>6446</v>
      </c>
      <c r="W691" s="59" t="s">
        <v>6447</v>
      </c>
      <c r="X691" s="61" t="s">
        <v>542</v>
      </c>
      <c r="Y691" s="61" t="s">
        <v>98</v>
      </c>
      <c r="Z691" s="61" t="s">
        <v>1815</v>
      </c>
      <c r="AA691" s="57" t="s">
        <v>4525</v>
      </c>
      <c r="AB691" s="57" t="s">
        <v>5892</v>
      </c>
      <c r="AC691" s="57" t="s">
        <v>4527</v>
      </c>
      <c r="AD691" s="127" t="str">
        <f t="shared" si="10"/>
        <v>External Transfer-Other banks</v>
      </c>
      <c r="AE691" s="127" t="str">
        <f>VLOOKUP(Table1[[#This Row],[Name of bank]],'اكواد البنوك'!$A$2:$B$34,2,0)</f>
        <v>QNBAEGCXXXX</v>
      </c>
      <c r="AF691" s="1" t="s">
        <v>560</v>
      </c>
      <c r="AG691" s="63" t="s">
        <v>3069</v>
      </c>
    </row>
    <row r="692" spans="1:33">
      <c r="A692" s="14">
        <v>691</v>
      </c>
      <c r="B692" s="14" t="s">
        <v>6435</v>
      </c>
      <c r="C692" s="14" t="e">
        <v>#N/A</v>
      </c>
      <c r="D692" s="15" t="s">
        <v>1839</v>
      </c>
      <c r="E692" s="16" t="s">
        <v>6448</v>
      </c>
      <c r="F692" s="32" t="s">
        <v>6449</v>
      </c>
      <c r="G692" s="17" t="s">
        <v>6450</v>
      </c>
      <c r="H692" s="18" t="s">
        <v>6451</v>
      </c>
      <c r="I692" s="16" t="s">
        <v>6452</v>
      </c>
      <c r="J692" s="16" t="s">
        <v>173</v>
      </c>
      <c r="K692" s="16" t="s">
        <v>553</v>
      </c>
      <c r="L692" s="16" t="s">
        <v>6453</v>
      </c>
      <c r="M692" s="16" t="s">
        <v>136</v>
      </c>
      <c r="N692" s="16" t="s">
        <v>6453</v>
      </c>
      <c r="O692" s="16" t="s">
        <v>6454</v>
      </c>
      <c r="P692" s="16" t="s">
        <v>6455</v>
      </c>
      <c r="Q692" s="16" t="s">
        <v>1815</v>
      </c>
      <c r="R692" s="16" t="s">
        <v>3598</v>
      </c>
      <c r="S692" s="19" t="s">
        <v>6448</v>
      </c>
      <c r="T692" s="20" t="s">
        <v>40</v>
      </c>
      <c r="U692" s="16" t="s">
        <v>6456</v>
      </c>
      <c r="V692" s="16" t="s">
        <v>6457</v>
      </c>
      <c r="W692" s="30" t="s">
        <v>6458</v>
      </c>
      <c r="X692" s="18" t="s">
        <v>542</v>
      </c>
      <c r="Y692" s="18" t="s">
        <v>98</v>
      </c>
      <c r="Z692" s="18" t="s">
        <v>1815</v>
      </c>
      <c r="AA692" s="16" t="s">
        <v>4525</v>
      </c>
      <c r="AB692" s="16" t="s">
        <v>5892</v>
      </c>
      <c r="AC692" s="16" t="s">
        <v>4527</v>
      </c>
      <c r="AD692" s="123" t="str">
        <f t="shared" si="10"/>
        <v>External Transfer-NBE</v>
      </c>
      <c r="AE692" s="123" t="str">
        <f>VLOOKUP(Table1[[#This Row],[Name of bank]],'اكواد البنوك'!$A$2:$B$34,2,0)</f>
        <v>NBEGEGCXXXX</v>
      </c>
      <c r="AF692" s="21" t="s">
        <v>6459</v>
      </c>
      <c r="AG692" s="15" t="s">
        <v>3069</v>
      </c>
    </row>
    <row r="693" spans="1:33">
      <c r="A693" s="14">
        <v>692</v>
      </c>
      <c r="B693" s="14" t="s">
        <v>6435</v>
      </c>
      <c r="C693" s="14" t="s">
        <v>4950</v>
      </c>
      <c r="D693" s="15" t="s">
        <v>1839</v>
      </c>
      <c r="E693" s="16" t="s">
        <v>6460</v>
      </c>
      <c r="F693" s="32" t="s">
        <v>6461</v>
      </c>
      <c r="G693" s="17" t="s">
        <v>6462</v>
      </c>
      <c r="H693" s="18" t="s">
        <v>6463</v>
      </c>
      <c r="I693" s="16" t="s">
        <v>6464</v>
      </c>
      <c r="J693" s="16" t="s">
        <v>86</v>
      </c>
      <c r="K693" s="16" t="s">
        <v>6465</v>
      </c>
      <c r="L693" s="16" t="s">
        <v>6466</v>
      </c>
      <c r="M693" s="16" t="s">
        <v>427</v>
      </c>
      <c r="N693" s="16" t="s">
        <v>6467</v>
      </c>
      <c r="O693" s="16" t="s">
        <v>6468</v>
      </c>
      <c r="P693" s="16" t="s">
        <v>6469</v>
      </c>
      <c r="Q693" s="16" t="s">
        <v>1815</v>
      </c>
      <c r="R693" s="16" t="s">
        <v>3598</v>
      </c>
      <c r="S693" s="19" t="s">
        <v>6470</v>
      </c>
      <c r="T693" s="20" t="s">
        <v>176</v>
      </c>
      <c r="U693" s="16" t="s">
        <v>152</v>
      </c>
      <c r="V693" s="16" t="s">
        <v>6471</v>
      </c>
      <c r="W693" s="30" t="s">
        <v>6472</v>
      </c>
      <c r="X693" s="18" t="s">
        <v>542</v>
      </c>
      <c r="Y693" s="18" t="s">
        <v>98</v>
      </c>
      <c r="Z693" s="18" t="s">
        <v>1815</v>
      </c>
      <c r="AA693" s="16" t="s">
        <v>4525</v>
      </c>
      <c r="AB693" s="16" t="s">
        <v>5892</v>
      </c>
      <c r="AC693" s="16" t="s">
        <v>4527</v>
      </c>
      <c r="AD693" s="123" t="str">
        <f t="shared" si="10"/>
        <v>External Transfer-Other banks</v>
      </c>
      <c r="AE693" s="123" t="str">
        <f>VLOOKUP(Table1[[#This Row],[Name of bank]],'اكواد البنوك'!$A$2:$B$34,2,0)</f>
        <v>BMISEGCXXXX</v>
      </c>
      <c r="AF693" s="21" t="s">
        <v>5448</v>
      </c>
      <c r="AG693" s="15" t="s">
        <v>3069</v>
      </c>
    </row>
    <row r="694" spans="1:33">
      <c r="A694" s="14">
        <v>693</v>
      </c>
      <c r="B694" s="14" t="s">
        <v>6435</v>
      </c>
      <c r="C694" s="14" t="e">
        <v>#N/A</v>
      </c>
      <c r="D694" s="15" t="s">
        <v>1839</v>
      </c>
      <c r="E694" s="16" t="s">
        <v>6473</v>
      </c>
      <c r="F694" s="32" t="s">
        <v>6474</v>
      </c>
      <c r="G694" s="17" t="s">
        <v>6475</v>
      </c>
      <c r="H694" s="18" t="s">
        <v>6476</v>
      </c>
      <c r="I694" s="16" t="s">
        <v>2616</v>
      </c>
      <c r="J694" s="16" t="s">
        <v>1845</v>
      </c>
      <c r="K694" s="16" t="s">
        <v>6477</v>
      </c>
      <c r="L694" s="16" t="s">
        <v>6478</v>
      </c>
      <c r="M694" s="16">
        <v>100675891</v>
      </c>
      <c r="N694" s="16" t="s">
        <v>6479</v>
      </c>
      <c r="O694" s="16" t="s">
        <v>6480</v>
      </c>
      <c r="P694" s="16" t="s">
        <v>6481</v>
      </c>
      <c r="Q694" s="16" t="s">
        <v>1815</v>
      </c>
      <c r="R694" s="16" t="s">
        <v>3598</v>
      </c>
      <c r="S694" s="19" t="s">
        <v>6482</v>
      </c>
      <c r="T694" s="20" t="s">
        <v>40</v>
      </c>
      <c r="U694" s="16" t="s">
        <v>5677</v>
      </c>
      <c r="V694" s="16" t="s">
        <v>6483</v>
      </c>
      <c r="W694" s="30" t="s">
        <v>6484</v>
      </c>
      <c r="X694" s="18" t="s">
        <v>542</v>
      </c>
      <c r="Y694" s="18" t="s">
        <v>98</v>
      </c>
      <c r="Z694" s="18" t="s">
        <v>1815</v>
      </c>
      <c r="AA694" s="16" t="s">
        <v>4525</v>
      </c>
      <c r="AB694" s="16" t="s">
        <v>5892</v>
      </c>
      <c r="AC694" s="16" t="s">
        <v>4527</v>
      </c>
      <c r="AD694" s="123" t="str">
        <f t="shared" si="10"/>
        <v>External Transfer-NBE</v>
      </c>
      <c r="AE694" s="123" t="str">
        <f>VLOOKUP(Table1[[#This Row],[Name of bank]],'اكواد البنوك'!$A$2:$B$34,2,0)</f>
        <v>NBEGEGCXXXX</v>
      </c>
      <c r="AF694" s="21" t="s">
        <v>6485</v>
      </c>
      <c r="AG694" s="15" t="s">
        <v>3069</v>
      </c>
    </row>
    <row r="695" spans="1:33">
      <c r="A695" s="14">
        <v>694</v>
      </c>
      <c r="B695" s="14" t="s">
        <v>6435</v>
      </c>
      <c r="C695" s="14" t="s">
        <v>6335</v>
      </c>
      <c r="D695" s="15" t="s">
        <v>1839</v>
      </c>
      <c r="E695" s="16" t="s">
        <v>6486</v>
      </c>
      <c r="F695" s="32" t="s">
        <v>6487</v>
      </c>
      <c r="G695" s="17" t="s">
        <v>6488</v>
      </c>
      <c r="H695" s="18" t="s">
        <v>6489</v>
      </c>
      <c r="I695" s="16" t="s">
        <v>6490</v>
      </c>
      <c r="J695" s="16" t="s">
        <v>173</v>
      </c>
      <c r="K695" s="16" t="s">
        <v>6491</v>
      </c>
      <c r="L695" s="16" t="s">
        <v>6492</v>
      </c>
      <c r="M695" s="16" t="s">
        <v>136</v>
      </c>
      <c r="N695" s="16" t="s">
        <v>6493</v>
      </c>
      <c r="O695" s="16" t="s">
        <v>6494</v>
      </c>
      <c r="P695" s="16" t="s">
        <v>6495</v>
      </c>
      <c r="Q695" s="16" t="s">
        <v>1815</v>
      </c>
      <c r="R695" s="16" t="s">
        <v>3598</v>
      </c>
      <c r="S695" s="19" t="s">
        <v>6486</v>
      </c>
      <c r="T695" s="20" t="s">
        <v>40</v>
      </c>
      <c r="U695" s="16" t="s">
        <v>5677</v>
      </c>
      <c r="V695" s="16" t="s">
        <v>6496</v>
      </c>
      <c r="W695" s="30" t="s">
        <v>6497</v>
      </c>
      <c r="X695" s="18" t="s">
        <v>542</v>
      </c>
      <c r="Y695" s="18" t="s">
        <v>98</v>
      </c>
      <c r="Z695" s="18" t="s">
        <v>1815</v>
      </c>
      <c r="AA695" s="16" t="s">
        <v>4525</v>
      </c>
      <c r="AB695" s="16" t="s">
        <v>5892</v>
      </c>
      <c r="AC695" s="16" t="s">
        <v>4527</v>
      </c>
      <c r="AD695" s="123" t="str">
        <f t="shared" si="10"/>
        <v>External Transfer-NBE</v>
      </c>
      <c r="AE695" s="123" t="str">
        <f>VLOOKUP(Table1[[#This Row],[Name of bank]],'اكواد البنوك'!$A$2:$B$34,2,0)</f>
        <v>NBEGEGCXXXX</v>
      </c>
      <c r="AF695" s="21" t="s">
        <v>6485</v>
      </c>
      <c r="AG695" s="15" t="s">
        <v>3069</v>
      </c>
    </row>
    <row r="696" spans="1:33">
      <c r="A696" s="14">
        <v>695</v>
      </c>
      <c r="B696" s="14" t="s">
        <v>6498</v>
      </c>
      <c r="C696" s="14" t="e">
        <v>#N/A</v>
      </c>
      <c r="D696" s="15" t="s">
        <v>1839</v>
      </c>
      <c r="E696" s="16" t="s">
        <v>6499</v>
      </c>
      <c r="F696" s="32" t="s">
        <v>6500</v>
      </c>
      <c r="G696" s="17" t="s">
        <v>6501</v>
      </c>
      <c r="H696" s="18" t="s">
        <v>6502</v>
      </c>
      <c r="I696" s="16" t="s">
        <v>6503</v>
      </c>
      <c r="J696" s="16" t="s">
        <v>2035</v>
      </c>
      <c r="K696" s="16" t="s">
        <v>6504</v>
      </c>
      <c r="L696" s="16">
        <v>22798676</v>
      </c>
      <c r="M696" s="16" t="s">
        <v>977</v>
      </c>
      <c r="N696" s="16" t="s">
        <v>6505</v>
      </c>
      <c r="O696" s="16" t="s">
        <v>6506</v>
      </c>
      <c r="P696" s="16" t="s">
        <v>6507</v>
      </c>
      <c r="Q696" s="16" t="s">
        <v>1815</v>
      </c>
      <c r="R696" s="16" t="s">
        <v>3598</v>
      </c>
      <c r="S696" s="19" t="s">
        <v>6508</v>
      </c>
      <c r="T696" s="20" t="s">
        <v>1914</v>
      </c>
      <c r="U696" s="16" t="s">
        <v>1926</v>
      </c>
      <c r="V696" s="16" t="s">
        <v>6509</v>
      </c>
      <c r="W696" s="30" t="s">
        <v>6510</v>
      </c>
      <c r="X696" s="18" t="s">
        <v>542</v>
      </c>
      <c r="Y696" s="18" t="s">
        <v>98</v>
      </c>
      <c r="Z696" s="18" t="s">
        <v>1815</v>
      </c>
      <c r="AA696" s="16" t="s">
        <v>4525</v>
      </c>
      <c r="AB696" s="16" t="s">
        <v>5892</v>
      </c>
      <c r="AC696" s="16" t="s">
        <v>4527</v>
      </c>
      <c r="AD696" s="123" t="str">
        <f t="shared" si="10"/>
        <v>External Transfer-Other banks</v>
      </c>
      <c r="AE696" s="123" t="str">
        <f>VLOOKUP(Table1[[#This Row],[Name of bank]],'اكواد البنوك'!$A$2:$B$34,2,0)</f>
        <v>MSHQEGCAXXX</v>
      </c>
      <c r="AF696" s="21" t="s">
        <v>129</v>
      </c>
      <c r="AG696" s="15" t="s">
        <v>3069</v>
      </c>
    </row>
    <row r="697" spans="1:33">
      <c r="A697" s="14">
        <v>696</v>
      </c>
      <c r="B697" s="14" t="s">
        <v>6498</v>
      </c>
      <c r="C697" s="14" t="e">
        <v>#N/A</v>
      </c>
      <c r="D697" s="15" t="s">
        <v>1839</v>
      </c>
      <c r="E697" s="16" t="s">
        <v>6511</v>
      </c>
      <c r="F697" s="32" t="s">
        <v>6512</v>
      </c>
      <c r="G697" s="17" t="s">
        <v>6513</v>
      </c>
      <c r="H697" s="18" t="s">
        <v>6514</v>
      </c>
      <c r="I697" s="16" t="s">
        <v>6515</v>
      </c>
      <c r="J697" s="16" t="s">
        <v>86</v>
      </c>
      <c r="K697" s="16" t="s">
        <v>6516</v>
      </c>
      <c r="L697" s="16" t="s">
        <v>6517</v>
      </c>
      <c r="M697" s="16">
        <v>286616947</v>
      </c>
      <c r="N697" s="16" t="s">
        <v>6518</v>
      </c>
      <c r="O697" s="16" t="s">
        <v>6519</v>
      </c>
      <c r="P697" s="16" t="s">
        <v>6520</v>
      </c>
      <c r="Q697" s="16" t="s">
        <v>1815</v>
      </c>
      <c r="R697" s="16" t="s">
        <v>3598</v>
      </c>
      <c r="S697" s="19" t="s">
        <v>6511</v>
      </c>
      <c r="T697" s="20" t="s">
        <v>93</v>
      </c>
      <c r="U697" s="16" t="s">
        <v>2529</v>
      </c>
      <c r="V697" s="16" t="s">
        <v>6521</v>
      </c>
      <c r="W697" s="30" t="s">
        <v>6522</v>
      </c>
      <c r="X697" s="18" t="s">
        <v>542</v>
      </c>
      <c r="Y697" s="18" t="s">
        <v>98</v>
      </c>
      <c r="Z697" s="18" t="s">
        <v>1815</v>
      </c>
      <c r="AA697" s="16" t="s">
        <v>4525</v>
      </c>
      <c r="AB697" s="16" t="s">
        <v>5892</v>
      </c>
      <c r="AC697" s="16" t="s">
        <v>4527</v>
      </c>
      <c r="AD697" s="123" t="str">
        <f t="shared" si="10"/>
        <v>External Transfer-Other banks</v>
      </c>
      <c r="AE697" s="123" t="str">
        <f>VLOOKUP(Table1[[#This Row],[Name of bank]],'اكواد البنوك'!$A$2:$B$34,2,0)</f>
        <v>QNBAEGCXXXX</v>
      </c>
      <c r="AF697" s="21" t="s">
        <v>560</v>
      </c>
      <c r="AG697" s="15" t="s">
        <v>3069</v>
      </c>
    </row>
    <row r="698" spans="1:33">
      <c r="A698" s="14">
        <v>697</v>
      </c>
      <c r="B698" s="14" t="s">
        <v>6523</v>
      </c>
      <c r="C698" s="14" t="e">
        <v>#N/A</v>
      </c>
      <c r="D698" s="15" t="s">
        <v>1839</v>
      </c>
      <c r="E698" s="16" t="s">
        <v>6524</v>
      </c>
      <c r="F698" s="32" t="s">
        <v>6525</v>
      </c>
      <c r="G698" s="17" t="s">
        <v>6526</v>
      </c>
      <c r="H698" s="18" t="s">
        <v>6527</v>
      </c>
      <c r="I698" s="16" t="s">
        <v>6528</v>
      </c>
      <c r="J698" s="16" t="s">
        <v>86</v>
      </c>
      <c r="K698" s="16" t="s">
        <v>6529</v>
      </c>
      <c r="L698" s="16" t="s">
        <v>6530</v>
      </c>
      <c r="M698" s="16" t="s">
        <v>136</v>
      </c>
      <c r="N698" s="16" t="s">
        <v>6531</v>
      </c>
      <c r="O698" s="16" t="s">
        <v>6532</v>
      </c>
      <c r="P698" s="16" t="s">
        <v>6533</v>
      </c>
      <c r="Q698" s="16" t="s">
        <v>1815</v>
      </c>
      <c r="R698" s="16" t="s">
        <v>3598</v>
      </c>
      <c r="S698" s="19" t="s">
        <v>6534</v>
      </c>
      <c r="T698" s="20" t="s">
        <v>6535</v>
      </c>
      <c r="U698" s="16" t="s">
        <v>6536</v>
      </c>
      <c r="V698" s="16" t="s">
        <v>6537</v>
      </c>
      <c r="W698" s="30" t="s">
        <v>6538</v>
      </c>
      <c r="X698" s="18" t="s">
        <v>542</v>
      </c>
      <c r="Y698" s="18" t="s">
        <v>98</v>
      </c>
      <c r="Z698" s="18" t="s">
        <v>1815</v>
      </c>
      <c r="AA698" s="16" t="s">
        <v>4525</v>
      </c>
      <c r="AB698" s="16" t="s">
        <v>5892</v>
      </c>
      <c r="AC698" s="16" t="s">
        <v>4527</v>
      </c>
      <c r="AD698" s="123" t="str">
        <f t="shared" si="10"/>
        <v>External Transfer-Other banks</v>
      </c>
      <c r="AE698" s="123" t="str">
        <f>VLOOKUP(Table1[[#This Row],[Name of bank]],'اكواد البنوك'!$A$2:$B$34,2,0)</f>
        <v>WABAEGCXXXX</v>
      </c>
      <c r="AF698" s="21" t="s">
        <v>5248</v>
      </c>
      <c r="AG698" s="15" t="s">
        <v>3069</v>
      </c>
    </row>
    <row r="699" spans="1:33">
      <c r="A699" s="14">
        <v>698</v>
      </c>
      <c r="B699" s="14" t="s">
        <v>6523</v>
      </c>
      <c r="C699" s="14" t="s">
        <v>5635</v>
      </c>
      <c r="D699" s="15" t="s">
        <v>1839</v>
      </c>
      <c r="E699" s="16" t="s">
        <v>6540</v>
      </c>
      <c r="F699" s="32" t="s">
        <v>6541</v>
      </c>
      <c r="G699" s="17" t="s">
        <v>6542</v>
      </c>
      <c r="H699" s="18" t="s">
        <v>6543</v>
      </c>
      <c r="I699" s="16" t="s">
        <v>6544</v>
      </c>
      <c r="J699" s="16" t="s">
        <v>86</v>
      </c>
      <c r="K699" s="16" t="s">
        <v>6545</v>
      </c>
      <c r="L699" s="16" t="s">
        <v>6546</v>
      </c>
      <c r="M699" s="16" t="s">
        <v>136</v>
      </c>
      <c r="N699" s="16" t="s">
        <v>6547</v>
      </c>
      <c r="O699" s="16" t="s">
        <v>6548</v>
      </c>
      <c r="P699" s="16" t="s">
        <v>6549</v>
      </c>
      <c r="Q699" s="16" t="s">
        <v>1815</v>
      </c>
      <c r="R699" s="16" t="s">
        <v>3598</v>
      </c>
      <c r="S699" s="19" t="s">
        <v>6550</v>
      </c>
      <c r="T699" s="20" t="s">
        <v>93</v>
      </c>
      <c r="U699" s="16" t="s">
        <v>4696</v>
      </c>
      <c r="V699" s="16" t="s">
        <v>6551</v>
      </c>
      <c r="W699" s="30" t="s">
        <v>6552</v>
      </c>
      <c r="X699" s="18" t="s">
        <v>542</v>
      </c>
      <c r="Y699" s="18" t="s">
        <v>98</v>
      </c>
      <c r="Z699" s="18" t="s">
        <v>1815</v>
      </c>
      <c r="AA699" s="16" t="s">
        <v>4525</v>
      </c>
      <c r="AB699" s="16" t="s">
        <v>5892</v>
      </c>
      <c r="AC699" s="16" t="s">
        <v>4527</v>
      </c>
      <c r="AD699" s="123" t="str">
        <f t="shared" si="10"/>
        <v>External Transfer-Other banks</v>
      </c>
      <c r="AE699" s="123" t="str">
        <f>VLOOKUP(Table1[[#This Row],[Name of bank]],'اكواد البنوك'!$A$2:$B$34,2,0)</f>
        <v>QNBAEGCXXXX</v>
      </c>
      <c r="AF699" s="21" t="s">
        <v>3614</v>
      </c>
      <c r="AG699" s="15" t="s">
        <v>3069</v>
      </c>
    </row>
    <row r="700" spans="1:33">
      <c r="A700" s="14">
        <v>699</v>
      </c>
      <c r="B700" s="14" t="s">
        <v>6553</v>
      </c>
      <c r="C700" s="14" t="e">
        <v>#N/A</v>
      </c>
      <c r="D700" s="15" t="s">
        <v>1839</v>
      </c>
      <c r="E700" s="16" t="s">
        <v>6554</v>
      </c>
      <c r="F700" s="32" t="s">
        <v>6555</v>
      </c>
      <c r="G700" s="17" t="s">
        <v>6556</v>
      </c>
      <c r="H700" s="18" t="s">
        <v>6557</v>
      </c>
      <c r="I700" s="16" t="s">
        <v>2842</v>
      </c>
      <c r="J700" s="16" t="s">
        <v>86</v>
      </c>
      <c r="K700" s="16" t="s">
        <v>2593</v>
      </c>
      <c r="L700" s="16" t="s">
        <v>6558</v>
      </c>
      <c r="M700" s="16" t="s">
        <v>136</v>
      </c>
      <c r="N700" s="16" t="s">
        <v>6559</v>
      </c>
      <c r="O700" s="16" t="s">
        <v>6560</v>
      </c>
      <c r="P700" s="16" t="s">
        <v>6561</v>
      </c>
      <c r="Q700" s="16" t="s">
        <v>1815</v>
      </c>
      <c r="R700" s="16" t="s">
        <v>3598</v>
      </c>
      <c r="S700" s="19" t="s">
        <v>6555</v>
      </c>
      <c r="T700" s="20" t="s">
        <v>40</v>
      </c>
      <c r="U700" s="16" t="s">
        <v>6562</v>
      </c>
      <c r="V700" s="16" t="s">
        <v>6563</v>
      </c>
      <c r="W700" s="30" t="s">
        <v>6564</v>
      </c>
      <c r="X700" s="18" t="s">
        <v>542</v>
      </c>
      <c r="Y700" s="18" t="s">
        <v>98</v>
      </c>
      <c r="Z700" s="18" t="s">
        <v>1815</v>
      </c>
      <c r="AA700" s="16" t="s">
        <v>4525</v>
      </c>
      <c r="AB700" s="16" t="s">
        <v>5892</v>
      </c>
      <c r="AC700" s="16" t="s">
        <v>4527</v>
      </c>
      <c r="AD700" s="123" t="str">
        <f t="shared" si="10"/>
        <v>External Transfer-NBE</v>
      </c>
      <c r="AE700" s="123" t="str">
        <f>VLOOKUP(Table1[[#This Row],[Name of bank]],'اكواد البنوك'!$A$2:$B$34,2,0)</f>
        <v>NBEGEGCXXXX</v>
      </c>
      <c r="AF700" s="21" t="s">
        <v>6565</v>
      </c>
      <c r="AG700" s="15" t="s">
        <v>3069</v>
      </c>
    </row>
    <row r="701" spans="1:33">
      <c r="A701" s="14">
        <v>700</v>
      </c>
      <c r="B701" s="14" t="s">
        <v>6553</v>
      </c>
      <c r="C701" s="14" t="s">
        <v>6581</v>
      </c>
      <c r="D701" s="15" t="s">
        <v>1839</v>
      </c>
      <c r="E701" s="16" t="s">
        <v>6566</v>
      </c>
      <c r="F701" s="32" t="s">
        <v>6567</v>
      </c>
      <c r="G701" s="17" t="s">
        <v>6568</v>
      </c>
      <c r="H701" s="18" t="s">
        <v>6569</v>
      </c>
      <c r="I701" s="16" t="s">
        <v>6570</v>
      </c>
      <c r="J701" s="16" t="s">
        <v>86</v>
      </c>
      <c r="K701" s="16" t="s">
        <v>6571</v>
      </c>
      <c r="L701" s="16" t="s">
        <v>6572</v>
      </c>
      <c r="M701" s="16" t="s">
        <v>136</v>
      </c>
      <c r="N701" s="16" t="s">
        <v>6573</v>
      </c>
      <c r="O701" s="16" t="s">
        <v>6574</v>
      </c>
      <c r="P701" s="16" t="s">
        <v>6575</v>
      </c>
      <c r="Q701" s="16" t="s">
        <v>1815</v>
      </c>
      <c r="R701" s="16" t="s">
        <v>3598</v>
      </c>
      <c r="S701" s="19" t="s">
        <v>6576</v>
      </c>
      <c r="T701" s="20" t="s">
        <v>908</v>
      </c>
      <c r="U701" s="16" t="s">
        <v>6577</v>
      </c>
      <c r="V701" s="16" t="s">
        <v>6578</v>
      </c>
      <c r="W701" s="30" t="s">
        <v>6579</v>
      </c>
      <c r="X701" s="18" t="s">
        <v>542</v>
      </c>
      <c r="Y701" s="18" t="s">
        <v>98</v>
      </c>
      <c r="Z701" s="18" t="s">
        <v>1815</v>
      </c>
      <c r="AA701" s="16" t="s">
        <v>4525</v>
      </c>
      <c r="AB701" s="16" t="s">
        <v>5892</v>
      </c>
      <c r="AC701" s="16" t="s">
        <v>4527</v>
      </c>
      <c r="AD701" s="123" t="str">
        <f t="shared" si="10"/>
        <v>External Transfer-Other banks</v>
      </c>
      <c r="AE701" s="123" t="str">
        <f>VLOOKUP(Table1[[#This Row],[Name of bank]],'اكواد البنوك'!$A$2:$B$34,2,0)</f>
        <v>ARAIEGCXXXX</v>
      </c>
      <c r="AF701" s="21" t="s">
        <v>6580</v>
      </c>
      <c r="AG701" s="15" t="s">
        <v>3069</v>
      </c>
    </row>
    <row r="702" spans="1:33">
      <c r="A702" s="14">
        <v>701</v>
      </c>
      <c r="B702" s="14" t="s">
        <v>6581</v>
      </c>
      <c r="C702" s="14" t="s">
        <v>5083</v>
      </c>
      <c r="D702" s="15" t="s">
        <v>1839</v>
      </c>
      <c r="E702" s="16" t="s">
        <v>6582</v>
      </c>
      <c r="F702" s="32" t="s">
        <v>6583</v>
      </c>
      <c r="G702" s="17" t="s">
        <v>6584</v>
      </c>
      <c r="H702" s="18" t="s">
        <v>6585</v>
      </c>
      <c r="I702" s="16" t="s">
        <v>6586</v>
      </c>
      <c r="J702" s="16" t="s">
        <v>86</v>
      </c>
      <c r="K702" s="16" t="s">
        <v>106</v>
      </c>
      <c r="L702" s="16" t="s">
        <v>6587</v>
      </c>
      <c r="M702" s="16" t="s">
        <v>3782</v>
      </c>
      <c r="N702" s="16" t="s">
        <v>6588</v>
      </c>
      <c r="O702" s="16" t="s">
        <v>6589</v>
      </c>
      <c r="P702" s="16" t="s">
        <v>6590</v>
      </c>
      <c r="Q702" s="16" t="s">
        <v>1815</v>
      </c>
      <c r="R702" s="16" t="s">
        <v>3598</v>
      </c>
      <c r="S702" s="19" t="s">
        <v>6583</v>
      </c>
      <c r="T702" s="20" t="s">
        <v>40</v>
      </c>
      <c r="U702" s="16" t="s">
        <v>2802</v>
      </c>
      <c r="V702" s="16" t="s">
        <v>6591</v>
      </c>
      <c r="W702" s="30" t="s">
        <v>6592</v>
      </c>
      <c r="X702" s="18" t="s">
        <v>542</v>
      </c>
      <c r="Y702" s="18" t="s">
        <v>98</v>
      </c>
      <c r="Z702" s="18" t="s">
        <v>1815</v>
      </c>
      <c r="AA702" s="16" t="s">
        <v>4525</v>
      </c>
      <c r="AB702" s="16" t="s">
        <v>5892</v>
      </c>
      <c r="AC702" s="16" t="s">
        <v>4527</v>
      </c>
      <c r="AD702" s="123" t="str">
        <f t="shared" si="10"/>
        <v>External Transfer-NBE</v>
      </c>
      <c r="AE702" s="123" t="str">
        <f>VLOOKUP(Table1[[#This Row],[Name of bank]],'اكواد البنوك'!$A$2:$B$34,2,0)</f>
        <v>NBEGEGCXXXX</v>
      </c>
      <c r="AF702" s="21" t="s">
        <v>2586</v>
      </c>
      <c r="AG702" s="15" t="s">
        <v>3069</v>
      </c>
    </row>
    <row r="703" spans="1:33">
      <c r="A703" s="14">
        <v>702</v>
      </c>
      <c r="B703" s="14" t="s">
        <v>6581</v>
      </c>
      <c r="C703" s="14" t="e">
        <v>#N/A</v>
      </c>
      <c r="D703" s="15" t="s">
        <v>1839</v>
      </c>
      <c r="E703" s="16" t="s">
        <v>6593</v>
      </c>
      <c r="F703" s="32" t="s">
        <v>6594</v>
      </c>
      <c r="G703" s="17" t="s">
        <v>6595</v>
      </c>
      <c r="H703" s="18" t="s">
        <v>6596</v>
      </c>
      <c r="I703" s="16" t="s">
        <v>6597</v>
      </c>
      <c r="J703" s="16" t="s">
        <v>173</v>
      </c>
      <c r="K703" s="16" t="s">
        <v>148</v>
      </c>
      <c r="L703" s="16" t="s">
        <v>6598</v>
      </c>
      <c r="M703" s="16" t="s">
        <v>136</v>
      </c>
      <c r="N703" s="16" t="s">
        <v>6599</v>
      </c>
      <c r="O703" s="16" t="s">
        <v>6600</v>
      </c>
      <c r="P703" s="16" t="s">
        <v>6601</v>
      </c>
      <c r="Q703" s="16" t="s">
        <v>1815</v>
      </c>
      <c r="R703" s="16" t="s">
        <v>3598</v>
      </c>
      <c r="S703" s="19" t="s">
        <v>6602</v>
      </c>
      <c r="T703" s="20" t="s">
        <v>40</v>
      </c>
      <c r="U703" s="16" t="s">
        <v>6603</v>
      </c>
      <c r="V703" s="16">
        <v>140</v>
      </c>
      <c r="W703" s="30" t="s">
        <v>6604</v>
      </c>
      <c r="X703" s="18" t="s">
        <v>542</v>
      </c>
      <c r="Y703" s="18" t="s">
        <v>98</v>
      </c>
      <c r="Z703" s="18" t="s">
        <v>1815</v>
      </c>
      <c r="AA703" s="16" t="s">
        <v>4525</v>
      </c>
      <c r="AB703" s="16" t="s">
        <v>5892</v>
      </c>
      <c r="AC703" s="16" t="s">
        <v>4527</v>
      </c>
      <c r="AD703" s="123" t="str">
        <f t="shared" si="10"/>
        <v>External Transfer-NBE</v>
      </c>
      <c r="AE703" s="123" t="str">
        <f>VLOOKUP(Table1[[#This Row],[Name of bank]],'اكواد البنوك'!$A$2:$B$34,2,0)</f>
        <v>NBEGEGCXXXX</v>
      </c>
      <c r="AF703" s="21" t="s">
        <v>2648</v>
      </c>
      <c r="AG703" s="15" t="s">
        <v>3069</v>
      </c>
    </row>
    <row r="704" spans="1:33">
      <c r="A704" s="14">
        <v>703</v>
      </c>
      <c r="B704" s="14" t="s">
        <v>6605</v>
      </c>
      <c r="C704" s="14" t="e">
        <v>#N/A</v>
      </c>
      <c r="D704" s="15" t="s">
        <v>1839</v>
      </c>
      <c r="E704" s="16" t="s">
        <v>6606</v>
      </c>
      <c r="F704" s="32" t="s">
        <v>6607</v>
      </c>
      <c r="G704" s="17" t="s">
        <v>6608</v>
      </c>
      <c r="H704" s="18" t="s">
        <v>6609</v>
      </c>
      <c r="I704" s="16" t="s">
        <v>5575</v>
      </c>
      <c r="J704" s="16" t="s">
        <v>86</v>
      </c>
      <c r="K704" s="16" t="s">
        <v>553</v>
      </c>
      <c r="L704" s="16" t="s">
        <v>136</v>
      </c>
      <c r="M704" s="16" t="s">
        <v>136</v>
      </c>
      <c r="N704" s="16" t="s">
        <v>6610</v>
      </c>
      <c r="O704" s="16" t="s">
        <v>6611</v>
      </c>
      <c r="P704" s="16" t="s">
        <v>6612</v>
      </c>
      <c r="Q704" s="16" t="s">
        <v>1815</v>
      </c>
      <c r="R704" s="16" t="s">
        <v>3598</v>
      </c>
      <c r="S704" s="19" t="s">
        <v>6613</v>
      </c>
      <c r="T704" s="20" t="s">
        <v>40</v>
      </c>
      <c r="U704" s="16" t="s">
        <v>6614</v>
      </c>
      <c r="V704" s="16" t="s">
        <v>6615</v>
      </c>
      <c r="W704" s="30" t="s">
        <v>6616</v>
      </c>
      <c r="X704" s="18" t="s">
        <v>542</v>
      </c>
      <c r="Y704" s="18" t="s">
        <v>98</v>
      </c>
      <c r="Z704" s="18" t="s">
        <v>1815</v>
      </c>
      <c r="AA704" s="16" t="s">
        <v>4525</v>
      </c>
      <c r="AB704" s="16" t="s">
        <v>5892</v>
      </c>
      <c r="AC704" s="16" t="s">
        <v>4527</v>
      </c>
      <c r="AD704" s="123" t="str">
        <f t="shared" si="10"/>
        <v>External Transfer-NBE</v>
      </c>
      <c r="AE704" s="123" t="str">
        <f>VLOOKUP(Table1[[#This Row],[Name of bank]],'اكواد البنوك'!$A$2:$B$34,2,0)</f>
        <v>NBEGEGCXXXX</v>
      </c>
      <c r="AF704" s="21" t="s">
        <v>2707</v>
      </c>
      <c r="AG704" s="15" t="s">
        <v>3069</v>
      </c>
    </row>
    <row r="705" spans="1:33">
      <c r="A705" s="14">
        <v>704</v>
      </c>
      <c r="B705" s="14" t="s">
        <v>6605</v>
      </c>
      <c r="C705" s="14" t="s">
        <v>6309</v>
      </c>
      <c r="D705" s="15" t="s">
        <v>1839</v>
      </c>
      <c r="E705" s="16" t="s">
        <v>6617</v>
      </c>
      <c r="F705" s="32" t="s">
        <v>6618</v>
      </c>
      <c r="G705" s="17" t="s">
        <v>6619</v>
      </c>
      <c r="H705" s="18" t="s">
        <v>6620</v>
      </c>
      <c r="I705" s="16" t="s">
        <v>6621</v>
      </c>
      <c r="J705" s="16" t="s">
        <v>173</v>
      </c>
      <c r="K705" s="16" t="s">
        <v>438</v>
      </c>
      <c r="L705" s="16" t="s">
        <v>6622</v>
      </c>
      <c r="M705" s="16" t="s">
        <v>136</v>
      </c>
      <c r="N705" s="16" t="s">
        <v>6623</v>
      </c>
      <c r="O705" s="16" t="s">
        <v>6624</v>
      </c>
      <c r="P705" s="16" t="s">
        <v>6625</v>
      </c>
      <c r="Q705" s="16" t="s">
        <v>1815</v>
      </c>
      <c r="R705" s="16" t="s">
        <v>3598</v>
      </c>
      <c r="S705" s="19" t="s">
        <v>6626</v>
      </c>
      <c r="T705" s="20" t="s">
        <v>341</v>
      </c>
      <c r="U705" s="16" t="s">
        <v>6627</v>
      </c>
      <c r="V705" s="16" t="s">
        <v>6628</v>
      </c>
      <c r="W705" s="30" t="s">
        <v>6629</v>
      </c>
      <c r="X705" s="18" t="s">
        <v>542</v>
      </c>
      <c r="Y705" s="18" t="s">
        <v>98</v>
      </c>
      <c r="Z705" s="18" t="s">
        <v>1815</v>
      </c>
      <c r="AA705" s="16" t="s">
        <v>4525</v>
      </c>
      <c r="AB705" s="16" t="s">
        <v>5892</v>
      </c>
      <c r="AC705" s="16" t="s">
        <v>4527</v>
      </c>
      <c r="AD705" s="123" t="str">
        <f t="shared" si="10"/>
        <v>External Transfer-Other banks</v>
      </c>
      <c r="AE705" s="123" t="str">
        <f>VLOOKUP(Table1[[#This Row],[Name of bank]],'اكواد البنوك'!$A$2:$B$34,2,0)</f>
        <v>AGRIEGCXXXX</v>
      </c>
      <c r="AF705" s="21" t="s">
        <v>346</v>
      </c>
      <c r="AG705" s="15" t="s">
        <v>3069</v>
      </c>
    </row>
    <row r="706" spans="1:33">
      <c r="A706" s="14">
        <v>705</v>
      </c>
      <c r="B706" s="14" t="s">
        <v>6630</v>
      </c>
      <c r="C706" s="14" t="s">
        <v>6630</v>
      </c>
      <c r="D706" s="15" t="s">
        <v>1839</v>
      </c>
      <c r="E706" s="16" t="s">
        <v>6631</v>
      </c>
      <c r="F706" s="32" t="s">
        <v>6632</v>
      </c>
      <c r="G706" s="17" t="s">
        <v>6633</v>
      </c>
      <c r="H706" s="18" t="s">
        <v>6634</v>
      </c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9" t="s">
        <v>6631</v>
      </c>
      <c r="T706" s="20" t="s">
        <v>40</v>
      </c>
      <c r="U706" s="16" t="s">
        <v>3504</v>
      </c>
      <c r="V706" s="16"/>
      <c r="W706" s="30" t="s">
        <v>6635</v>
      </c>
      <c r="X706" s="18" t="s">
        <v>542</v>
      </c>
      <c r="Y706" s="18" t="s">
        <v>98</v>
      </c>
      <c r="Z706" s="18" t="s">
        <v>1815</v>
      </c>
      <c r="AA706" s="16" t="s">
        <v>4525</v>
      </c>
      <c r="AB706" s="16" t="s">
        <v>5892</v>
      </c>
      <c r="AC706" s="16" t="s">
        <v>4527</v>
      </c>
      <c r="AD706" s="123" t="str">
        <f t="shared" ref="AD706:AD769" si="11">IF(ISNUMBER(SEARCH("EXTERNAL CASH",T706)),
   "EXTERNAL CASH",
   IF(ISNUMBER(SEARCH("شيك من القاهرة",T706)),
      "FUE",
      IF(ISNUMBER(SEARCH("INTERNAL CASH",T706)),
         "INTRNAL CASH",
         IF(Y706="IP",
            "Internal Transfer",
            IF(ISNUMBER(SEARCH("National Bank of Egypt",T706)),
               "External Transfer-NBE",
               "External Transfer-Other banks"
            )
         )
      )
   )
)</f>
        <v>External Transfer-NBE</v>
      </c>
      <c r="AE706" s="123" t="str">
        <f>VLOOKUP(Table1[[#This Row],[Name of bank]],'اكواد البنوك'!$A$2:$B$34,2,0)</f>
        <v>NBEGEGCXXXX</v>
      </c>
      <c r="AF706" s="21" t="s">
        <v>3507</v>
      </c>
      <c r="AG706" s="15" t="s">
        <v>3069</v>
      </c>
    </row>
    <row r="707" spans="1:33">
      <c r="A707" s="14">
        <v>706</v>
      </c>
      <c r="B707" s="14" t="s">
        <v>6636</v>
      </c>
      <c r="C707" s="14" t="e">
        <v>#N/A</v>
      </c>
      <c r="D707" s="15" t="s">
        <v>1839</v>
      </c>
      <c r="E707" s="16" t="s">
        <v>6637</v>
      </c>
      <c r="F707" s="32" t="s">
        <v>6638</v>
      </c>
      <c r="G707" s="17" t="s">
        <v>6639</v>
      </c>
      <c r="H707" s="18" t="s">
        <v>6640</v>
      </c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9" t="s">
        <v>6637</v>
      </c>
      <c r="T707" s="20" t="s">
        <v>176</v>
      </c>
      <c r="U707" s="16" t="s">
        <v>6641</v>
      </c>
      <c r="V707" s="16"/>
      <c r="W707" s="30" t="s">
        <v>6642</v>
      </c>
      <c r="X707" s="18" t="s">
        <v>542</v>
      </c>
      <c r="Y707" s="18" t="s">
        <v>98</v>
      </c>
      <c r="Z707" s="18" t="s">
        <v>1815</v>
      </c>
      <c r="AA707" s="16" t="s">
        <v>4525</v>
      </c>
      <c r="AB707" s="16" t="s">
        <v>5892</v>
      </c>
      <c r="AC707" s="16" t="s">
        <v>4527</v>
      </c>
      <c r="AD707" s="123" t="str">
        <f t="shared" si="11"/>
        <v>External Transfer-Other banks</v>
      </c>
      <c r="AE707" s="123" t="str">
        <f>VLOOKUP(Table1[[#This Row],[Name of bank]],'اكواد البنوك'!$A$2:$B$34,2,0)</f>
        <v>BMISEGCXXXX</v>
      </c>
      <c r="AF707" s="21" t="s">
        <v>4189</v>
      </c>
      <c r="AG707" s="15" t="s">
        <v>3069</v>
      </c>
    </row>
    <row r="708" spans="1:33">
      <c r="A708" s="14">
        <v>707</v>
      </c>
      <c r="B708" s="14" t="s">
        <v>6636</v>
      </c>
      <c r="C708" s="14" t="s">
        <v>6630</v>
      </c>
      <c r="D708" s="15" t="s">
        <v>1839</v>
      </c>
      <c r="E708" s="16" t="s">
        <v>6643</v>
      </c>
      <c r="F708" s="32" t="s">
        <v>6644</v>
      </c>
      <c r="G708" s="17" t="s">
        <v>6645</v>
      </c>
      <c r="H708" s="18">
        <v>201225267658</v>
      </c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9" t="s">
        <v>6643</v>
      </c>
      <c r="T708" s="20" t="s">
        <v>40</v>
      </c>
      <c r="U708" s="16" t="s">
        <v>6646</v>
      </c>
      <c r="V708" s="16"/>
      <c r="W708" s="30" t="s">
        <v>6647</v>
      </c>
      <c r="X708" s="18" t="s">
        <v>542</v>
      </c>
      <c r="Y708" s="18" t="s">
        <v>98</v>
      </c>
      <c r="Z708" s="18" t="s">
        <v>1815</v>
      </c>
      <c r="AA708" s="16" t="s">
        <v>4525</v>
      </c>
      <c r="AB708" s="16" t="s">
        <v>5892</v>
      </c>
      <c r="AC708" s="16" t="s">
        <v>4527</v>
      </c>
      <c r="AD708" s="123" t="str">
        <f t="shared" si="11"/>
        <v>External Transfer-NBE</v>
      </c>
      <c r="AE708" s="123" t="str">
        <f>VLOOKUP(Table1[[#This Row],[Name of bank]],'اكواد البنوك'!$A$2:$B$34,2,0)</f>
        <v>NBEGEGCXXXX</v>
      </c>
      <c r="AF708" s="21" t="s">
        <v>3369</v>
      </c>
      <c r="AG708" s="15" t="s">
        <v>3069</v>
      </c>
    </row>
    <row r="709" spans="1:33">
      <c r="A709" s="14">
        <v>708</v>
      </c>
      <c r="B709" s="14" t="s">
        <v>6648</v>
      </c>
      <c r="C709" s="14" t="s">
        <v>6648</v>
      </c>
      <c r="D709" s="15" t="s">
        <v>1839</v>
      </c>
      <c r="E709" s="16" t="s">
        <v>6649</v>
      </c>
      <c r="F709" s="32" t="s">
        <v>6650</v>
      </c>
      <c r="G709" s="17" t="s">
        <v>6651</v>
      </c>
      <c r="H709" s="18">
        <v>201001918275</v>
      </c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9" t="s">
        <v>6649</v>
      </c>
      <c r="T709" s="20" t="s">
        <v>40</v>
      </c>
      <c r="U709" s="16" t="s">
        <v>2802</v>
      </c>
      <c r="V709" s="16"/>
      <c r="W709" s="30" t="s">
        <v>6652</v>
      </c>
      <c r="X709" s="18" t="s">
        <v>542</v>
      </c>
      <c r="Y709" s="18" t="s">
        <v>98</v>
      </c>
      <c r="Z709" s="18" t="s">
        <v>1815</v>
      </c>
      <c r="AA709" s="16" t="s">
        <v>4525</v>
      </c>
      <c r="AB709" s="16" t="s">
        <v>5892</v>
      </c>
      <c r="AC709" s="16" t="s">
        <v>4527</v>
      </c>
      <c r="AD709" s="123" t="str">
        <f t="shared" si="11"/>
        <v>External Transfer-NBE</v>
      </c>
      <c r="AE709" s="123" t="str">
        <f>VLOOKUP(Table1[[#This Row],[Name of bank]],'اكواد البنوك'!$A$2:$B$34,2,0)</f>
        <v>NBEGEGCXXXX</v>
      </c>
      <c r="AF709" s="21" t="s">
        <v>6653</v>
      </c>
      <c r="AG709" s="15" t="s">
        <v>3069</v>
      </c>
    </row>
    <row r="710" spans="1:33">
      <c r="A710" s="14">
        <v>709</v>
      </c>
      <c r="B710" s="14" t="s">
        <v>6654</v>
      </c>
      <c r="C710" s="14" t="s">
        <v>5887</v>
      </c>
      <c r="D710" s="15" t="s">
        <v>1703</v>
      </c>
      <c r="E710" s="16" t="s">
        <v>6655</v>
      </c>
      <c r="F710" s="32" t="s">
        <v>6656</v>
      </c>
      <c r="G710" s="17" t="s">
        <v>6657</v>
      </c>
      <c r="H710" s="18" t="s">
        <v>6658</v>
      </c>
      <c r="I710" s="16" t="s">
        <v>1703</v>
      </c>
      <c r="J710" s="16" t="e">
        <v>#N/A</v>
      </c>
      <c r="K710" s="16" t="e">
        <v>#N/A</v>
      </c>
      <c r="L710" s="16" t="e">
        <v>#N/A</v>
      </c>
      <c r="M710" s="16" t="s">
        <v>3065</v>
      </c>
      <c r="N710" s="16"/>
      <c r="O710" s="16"/>
      <c r="P710" s="16"/>
      <c r="Q710" s="16"/>
      <c r="R710" s="16"/>
      <c r="S710" s="19"/>
      <c r="T710" s="20" t="s">
        <v>40</v>
      </c>
      <c r="U710" s="16"/>
      <c r="V710" s="16"/>
      <c r="W710" s="30">
        <v>24</v>
      </c>
      <c r="X710" s="18" t="s">
        <v>31</v>
      </c>
      <c r="Y710" s="18" t="s">
        <v>43</v>
      </c>
      <c r="Z710" s="18" t="s">
        <v>1815</v>
      </c>
      <c r="AA710" s="16" t="s">
        <v>4525</v>
      </c>
      <c r="AB710" s="16" t="s">
        <v>6659</v>
      </c>
      <c r="AC710" s="16" t="s">
        <v>4527</v>
      </c>
      <c r="AD710" s="123" t="str">
        <f t="shared" si="11"/>
        <v>Internal Transfer</v>
      </c>
      <c r="AE710" s="123" t="str">
        <f>VLOOKUP(Table1[[#This Row],[Name of bank]],'اكواد البنوك'!$A$2:$B$34,2,0)</f>
        <v>NBEGEGCXXXX</v>
      </c>
      <c r="AF710" s="21" t="s">
        <v>6660</v>
      </c>
      <c r="AG710" s="15" t="s">
        <v>3069</v>
      </c>
    </row>
    <row r="711" spans="1:33">
      <c r="A711" s="14">
        <v>710</v>
      </c>
      <c r="B711" s="14" t="s">
        <v>6654</v>
      </c>
      <c r="C711" s="14" t="e">
        <v>#N/A</v>
      </c>
      <c r="D711" s="15" t="s">
        <v>1855</v>
      </c>
      <c r="E711" s="16" t="s">
        <v>6661</v>
      </c>
      <c r="F711" s="32" t="s">
        <v>10064</v>
      </c>
      <c r="G711" s="17" t="s">
        <v>6662</v>
      </c>
      <c r="H711" s="18" t="s">
        <v>6663</v>
      </c>
      <c r="I711" s="16" t="s">
        <v>1858</v>
      </c>
      <c r="J711" s="16" t="s">
        <v>86</v>
      </c>
      <c r="K711" s="16" t="s">
        <v>3472</v>
      </c>
      <c r="L711" s="16" t="s">
        <v>136</v>
      </c>
      <c r="M711" s="16" t="s">
        <v>136</v>
      </c>
      <c r="N711" s="16">
        <v>30106100104102</v>
      </c>
      <c r="O711" s="16" t="s">
        <v>6664</v>
      </c>
      <c r="P711" s="16" t="s">
        <v>6665</v>
      </c>
      <c r="Q711" s="16" t="s">
        <v>1815</v>
      </c>
      <c r="R711" s="16" t="s">
        <v>3598</v>
      </c>
      <c r="S711" s="19" t="s">
        <v>6666</v>
      </c>
      <c r="T711" s="20" t="s">
        <v>307</v>
      </c>
      <c r="U711" s="16" t="s">
        <v>1926</v>
      </c>
      <c r="V711" s="16">
        <v>100055084321</v>
      </c>
      <c r="W711" s="30" t="s">
        <v>6667</v>
      </c>
      <c r="X711" s="18" t="s">
        <v>66</v>
      </c>
      <c r="Y711" s="18" t="s">
        <v>98</v>
      </c>
      <c r="Z711" s="18" t="s">
        <v>1815</v>
      </c>
      <c r="AA711" s="16" t="s">
        <v>4525</v>
      </c>
      <c r="AB711" s="16" t="s">
        <v>6659</v>
      </c>
      <c r="AC711" s="16" t="s">
        <v>4527</v>
      </c>
      <c r="AD711" s="123" t="str">
        <f t="shared" si="11"/>
        <v>External Transfer-Other banks</v>
      </c>
      <c r="AE711" s="123" t="str">
        <f>VLOOKUP(Table1[[#This Row],[Name of bank]],'اكواد البنوك'!$A$2:$B$34,2,0)</f>
        <v>CIBEEGCXXXX</v>
      </c>
      <c r="AF711" s="21" t="s">
        <v>2574</v>
      </c>
      <c r="AG711" s="15" t="s">
        <v>167</v>
      </c>
    </row>
    <row r="712" spans="1:33">
      <c r="A712" s="14">
        <v>711</v>
      </c>
      <c r="B712" s="14" t="s">
        <v>6654</v>
      </c>
      <c r="C712" s="14" t="s">
        <v>5887</v>
      </c>
      <c r="D712" s="15" t="s">
        <v>1718</v>
      </c>
      <c r="E712" s="16" t="s">
        <v>6668</v>
      </c>
      <c r="F712" s="32" t="s">
        <v>6669</v>
      </c>
      <c r="G712" s="17" t="s">
        <v>6670</v>
      </c>
      <c r="H712" s="18" t="s">
        <v>6671</v>
      </c>
      <c r="I712" s="16" t="s">
        <v>1718</v>
      </c>
      <c r="J712" s="16" t="e">
        <v>#N/A</v>
      </c>
      <c r="K712" s="16" t="e">
        <v>#N/A</v>
      </c>
      <c r="L712" s="16" t="e">
        <v>#N/A</v>
      </c>
      <c r="M712" s="16" t="s">
        <v>1718</v>
      </c>
      <c r="N712" s="16"/>
      <c r="O712" s="16"/>
      <c r="P712" s="16"/>
      <c r="Q712" s="16"/>
      <c r="R712" s="16"/>
      <c r="S712" s="19"/>
      <c r="T712" s="20" t="s">
        <v>40</v>
      </c>
      <c r="U712" s="16"/>
      <c r="V712" s="16"/>
      <c r="W712" s="30" t="s">
        <v>1718</v>
      </c>
      <c r="X712" s="18" t="s">
        <v>66</v>
      </c>
      <c r="Y712" s="18" t="s">
        <v>43</v>
      </c>
      <c r="Z712" s="18" t="s">
        <v>1815</v>
      </c>
      <c r="AA712" s="16" t="s">
        <v>4525</v>
      </c>
      <c r="AB712" s="16" t="s">
        <v>6659</v>
      </c>
      <c r="AC712" s="16" t="s">
        <v>4527</v>
      </c>
      <c r="AD712" s="123" t="str">
        <f t="shared" si="11"/>
        <v>Internal Transfer</v>
      </c>
      <c r="AE712" s="123" t="str">
        <f>VLOOKUP(Table1[[#This Row],[Name of bank]],'اكواد البنوك'!$A$2:$B$34,2,0)</f>
        <v>NBEGEGCXXXX</v>
      </c>
      <c r="AF712" s="30" t="s">
        <v>1718</v>
      </c>
      <c r="AG712" s="15" t="s">
        <v>3069</v>
      </c>
    </row>
    <row r="713" spans="1:33">
      <c r="A713" s="14">
        <v>712</v>
      </c>
      <c r="B713" s="14" t="s">
        <v>2446</v>
      </c>
      <c r="C713" s="14" t="s">
        <v>4935</v>
      </c>
      <c r="D713" s="15" t="s">
        <v>1703</v>
      </c>
      <c r="E713" s="16" t="s">
        <v>6672</v>
      </c>
      <c r="F713" s="32" t="s">
        <v>6673</v>
      </c>
      <c r="G713" s="17" t="s">
        <v>6674</v>
      </c>
      <c r="H713" s="18" t="s">
        <v>6675</v>
      </c>
      <c r="I713" s="16" t="s">
        <v>1703</v>
      </c>
      <c r="J713" s="16" t="e">
        <v>#N/A</v>
      </c>
      <c r="K713" s="16" t="e">
        <v>#N/A</v>
      </c>
      <c r="L713" s="16" t="e">
        <v>#N/A</v>
      </c>
      <c r="M713" s="16" t="s">
        <v>3065</v>
      </c>
      <c r="N713" s="16"/>
      <c r="O713" s="16" t="s">
        <v>3065</v>
      </c>
      <c r="P713" s="16"/>
      <c r="Q713" s="16"/>
      <c r="R713" s="16"/>
      <c r="S713" s="19"/>
      <c r="T713" s="20" t="s">
        <v>40</v>
      </c>
      <c r="U713" s="16"/>
      <c r="V713" s="16" t="s">
        <v>6676</v>
      </c>
      <c r="W713" s="30" t="s">
        <v>6677</v>
      </c>
      <c r="X713" s="18" t="s">
        <v>78</v>
      </c>
      <c r="Y713" s="18" t="s">
        <v>43</v>
      </c>
      <c r="Z713" s="18" t="s">
        <v>1815</v>
      </c>
      <c r="AA713" s="16" t="s">
        <v>4525</v>
      </c>
      <c r="AB713" s="16" t="s">
        <v>6659</v>
      </c>
      <c r="AC713" s="16" t="s">
        <v>4527</v>
      </c>
      <c r="AD713" s="123" t="str">
        <f t="shared" si="11"/>
        <v>Internal Transfer</v>
      </c>
      <c r="AE713" s="123" t="str">
        <f>VLOOKUP(Table1[[#This Row],[Name of bank]],'اكواد البنوك'!$A$2:$B$34,2,0)</f>
        <v>NBEGEGCXXXX</v>
      </c>
      <c r="AF713" s="21">
        <v>22</v>
      </c>
      <c r="AG713" s="15" t="s">
        <v>3069</v>
      </c>
    </row>
    <row r="714" spans="1:33">
      <c r="A714" s="14">
        <v>713</v>
      </c>
      <c r="B714" s="14" t="s">
        <v>2446</v>
      </c>
      <c r="C714" s="14" t="s">
        <v>4935</v>
      </c>
      <c r="D714" s="15" t="s">
        <v>1839</v>
      </c>
      <c r="E714" s="16" t="s">
        <v>6678</v>
      </c>
      <c r="F714" s="32" t="s">
        <v>6679</v>
      </c>
      <c r="G714" s="17" t="s">
        <v>6680</v>
      </c>
      <c r="H714" s="18" t="s">
        <v>6681</v>
      </c>
      <c r="I714" s="16" t="s">
        <v>6682</v>
      </c>
      <c r="J714" s="16" t="s">
        <v>86</v>
      </c>
      <c r="K714" s="16" t="s">
        <v>6683</v>
      </c>
      <c r="L714" s="16">
        <v>57521401</v>
      </c>
      <c r="M714" s="16" t="s">
        <v>136</v>
      </c>
      <c r="N714" s="16" t="s">
        <v>6684</v>
      </c>
      <c r="O714" s="16" t="s">
        <v>6685</v>
      </c>
      <c r="P714" s="16" t="s">
        <v>6686</v>
      </c>
      <c r="Q714" s="16" t="s">
        <v>1815</v>
      </c>
      <c r="R714" s="16" t="s">
        <v>3598</v>
      </c>
      <c r="S714" s="19" t="s">
        <v>6687</v>
      </c>
      <c r="T714" s="20" t="s">
        <v>176</v>
      </c>
      <c r="U714" s="16" t="s">
        <v>4075</v>
      </c>
      <c r="V714" s="16" t="s">
        <v>6688</v>
      </c>
      <c r="W714" s="30" t="s">
        <v>6689</v>
      </c>
      <c r="X714" s="18" t="s">
        <v>97</v>
      </c>
      <c r="Y714" s="18" t="s">
        <v>98</v>
      </c>
      <c r="Z714" s="18" t="s">
        <v>1815</v>
      </c>
      <c r="AA714" s="16" t="s">
        <v>4525</v>
      </c>
      <c r="AB714" s="16" t="s">
        <v>6659</v>
      </c>
      <c r="AC714" s="16" t="s">
        <v>4527</v>
      </c>
      <c r="AD714" s="123" t="str">
        <f t="shared" si="11"/>
        <v>External Transfer-Other banks</v>
      </c>
      <c r="AE714" s="123" t="str">
        <f>VLOOKUP(Table1[[#This Row],[Name of bank]],'اكواد البنوك'!$A$2:$B$34,2,0)</f>
        <v>BMISEGCXXXX</v>
      </c>
      <c r="AF714" s="21" t="s">
        <v>4077</v>
      </c>
      <c r="AG714" s="15" t="s">
        <v>10381</v>
      </c>
    </row>
    <row r="715" spans="1:33">
      <c r="A715" s="14">
        <v>714</v>
      </c>
      <c r="B715" s="14" t="s">
        <v>6690</v>
      </c>
      <c r="C715" s="14" t="e">
        <v>#N/A</v>
      </c>
      <c r="D715" s="15" t="s">
        <v>1839</v>
      </c>
      <c r="E715" s="16" t="s">
        <v>6691</v>
      </c>
      <c r="F715" s="32" t="s">
        <v>6692</v>
      </c>
      <c r="G715" s="17" t="s">
        <v>6693</v>
      </c>
      <c r="H715" s="18" t="s">
        <v>6694</v>
      </c>
      <c r="I715" s="16" t="s">
        <v>6695</v>
      </c>
      <c r="J715" s="16" t="s">
        <v>86</v>
      </c>
      <c r="K715" s="16" t="s">
        <v>6696</v>
      </c>
      <c r="L715" s="16" t="s">
        <v>6697</v>
      </c>
      <c r="M715" s="16" t="s">
        <v>6698</v>
      </c>
      <c r="N715" s="16" t="s">
        <v>6699</v>
      </c>
      <c r="O715" s="16" t="s">
        <v>6700</v>
      </c>
      <c r="P715" s="16" t="s">
        <v>6701</v>
      </c>
      <c r="Q715" s="16" t="s">
        <v>1815</v>
      </c>
      <c r="R715" s="16" t="s">
        <v>3598</v>
      </c>
      <c r="S715" s="19" t="s">
        <v>6702</v>
      </c>
      <c r="T715" s="20" t="s">
        <v>3728</v>
      </c>
      <c r="U715" s="16" t="s">
        <v>6703</v>
      </c>
      <c r="V715" s="16" t="s">
        <v>6704</v>
      </c>
      <c r="W715" s="30" t="s">
        <v>6705</v>
      </c>
      <c r="X715" s="18" t="s">
        <v>542</v>
      </c>
      <c r="Y715" s="18" t="s">
        <v>98</v>
      </c>
      <c r="Z715" s="18" t="s">
        <v>1815</v>
      </c>
      <c r="AA715" s="16" t="s">
        <v>4525</v>
      </c>
      <c r="AB715" s="16" t="s">
        <v>6659</v>
      </c>
      <c r="AC715" s="16" t="s">
        <v>4527</v>
      </c>
      <c r="AD715" s="123" t="str">
        <f t="shared" si="11"/>
        <v>External Transfer-Other banks</v>
      </c>
      <c r="AE715" s="123" t="str">
        <f>VLOOKUP(Table1[[#This Row],[Name of bank]],'اكواد البنوك'!$A$2:$B$34,2,0)</f>
        <v>ABRKEGCAXXX</v>
      </c>
      <c r="AF715" s="21" t="s">
        <v>2586</v>
      </c>
      <c r="AG715" s="15" t="s">
        <v>3069</v>
      </c>
    </row>
    <row r="716" spans="1:33">
      <c r="A716" s="14">
        <v>715</v>
      </c>
      <c r="B716" s="14" t="s">
        <v>6690</v>
      </c>
      <c r="C716" s="14" t="e">
        <v>#N/A</v>
      </c>
      <c r="D716" s="15" t="s">
        <v>1839</v>
      </c>
      <c r="E716" s="16" t="s">
        <v>6706</v>
      </c>
      <c r="F716" s="32" t="s">
        <v>6707</v>
      </c>
      <c r="G716" s="17" t="s">
        <v>6708</v>
      </c>
      <c r="H716" s="18" t="s">
        <v>6709</v>
      </c>
      <c r="I716" s="16" t="s">
        <v>6710</v>
      </c>
      <c r="J716" s="16" t="s">
        <v>1845</v>
      </c>
      <c r="K716" s="16" t="s">
        <v>6711</v>
      </c>
      <c r="L716" s="16" t="s">
        <v>234</v>
      </c>
      <c r="M716" s="16" t="s">
        <v>234</v>
      </c>
      <c r="N716" s="16" t="s">
        <v>6712</v>
      </c>
      <c r="O716" s="16" t="s">
        <v>6713</v>
      </c>
      <c r="P716" s="16" t="s">
        <v>6714</v>
      </c>
      <c r="Q716" s="16" t="s">
        <v>1815</v>
      </c>
      <c r="R716" s="16" t="s">
        <v>3598</v>
      </c>
      <c r="S716" s="19" t="s">
        <v>6706</v>
      </c>
      <c r="T716" s="20" t="s">
        <v>40</v>
      </c>
      <c r="U716" s="16" t="s">
        <v>6715</v>
      </c>
      <c r="V716" s="16" t="s">
        <v>6716</v>
      </c>
      <c r="W716" s="30" t="s">
        <v>6717</v>
      </c>
      <c r="X716" s="18" t="s">
        <v>542</v>
      </c>
      <c r="Y716" s="18" t="s">
        <v>98</v>
      </c>
      <c r="Z716" s="18" t="s">
        <v>1815</v>
      </c>
      <c r="AA716" s="16" t="s">
        <v>4525</v>
      </c>
      <c r="AB716" s="16" t="s">
        <v>6659</v>
      </c>
      <c r="AC716" s="16" t="s">
        <v>4527</v>
      </c>
      <c r="AD716" s="123" t="str">
        <f t="shared" si="11"/>
        <v>External Transfer-NBE</v>
      </c>
      <c r="AE716" s="123" t="str">
        <f>VLOOKUP(Table1[[#This Row],[Name of bank]],'اكواد البنوك'!$A$2:$B$34,2,0)</f>
        <v>NBEGEGCXXXX</v>
      </c>
      <c r="AF716" s="21" t="s">
        <v>2673</v>
      </c>
      <c r="AG716" s="15" t="s">
        <v>3069</v>
      </c>
    </row>
    <row r="717" spans="1:33">
      <c r="A717" s="14">
        <v>716</v>
      </c>
      <c r="B717" s="14" t="s">
        <v>6690</v>
      </c>
      <c r="C717" s="14" t="s">
        <v>6281</v>
      </c>
      <c r="D717" s="15" t="s">
        <v>1839</v>
      </c>
      <c r="E717" s="16" t="s">
        <v>6718</v>
      </c>
      <c r="F717" s="32" t="s">
        <v>6719</v>
      </c>
      <c r="G717" s="17" t="s">
        <v>6720</v>
      </c>
      <c r="H717" s="18" t="s">
        <v>6721</v>
      </c>
      <c r="I717" s="16" t="s">
        <v>6722</v>
      </c>
      <c r="J717" s="16" t="s">
        <v>86</v>
      </c>
      <c r="K717" s="16" t="s">
        <v>2264</v>
      </c>
      <c r="L717" s="16" t="s">
        <v>6723</v>
      </c>
      <c r="M717" s="16" t="s">
        <v>136</v>
      </c>
      <c r="N717" s="16" t="s">
        <v>6724</v>
      </c>
      <c r="O717" s="16" t="s">
        <v>6725</v>
      </c>
      <c r="P717" s="16" t="s">
        <v>6726</v>
      </c>
      <c r="Q717" s="16" t="s">
        <v>1815</v>
      </c>
      <c r="R717" s="16" t="s">
        <v>3598</v>
      </c>
      <c r="S717" s="19" t="s">
        <v>6727</v>
      </c>
      <c r="T717" s="20" t="s">
        <v>908</v>
      </c>
      <c r="U717" s="16" t="s">
        <v>6728</v>
      </c>
      <c r="V717" s="16" t="s">
        <v>6729</v>
      </c>
      <c r="W717" s="30" t="s">
        <v>6730</v>
      </c>
      <c r="X717" s="18" t="s">
        <v>542</v>
      </c>
      <c r="Y717" s="18" t="s">
        <v>98</v>
      </c>
      <c r="Z717" s="18" t="s">
        <v>1815</v>
      </c>
      <c r="AA717" s="16" t="s">
        <v>4525</v>
      </c>
      <c r="AB717" s="16" t="s">
        <v>6659</v>
      </c>
      <c r="AC717" s="16" t="s">
        <v>4527</v>
      </c>
      <c r="AD717" s="123" t="str">
        <f t="shared" si="11"/>
        <v>External Transfer-Other banks</v>
      </c>
      <c r="AE717" s="123" t="str">
        <f>VLOOKUP(Table1[[#This Row],[Name of bank]],'اكواد البنوك'!$A$2:$B$34,2,0)</f>
        <v>ARAIEGCXXXX</v>
      </c>
      <c r="AF717" s="21" t="s">
        <v>2673</v>
      </c>
      <c r="AG717" s="15" t="s">
        <v>3069</v>
      </c>
    </row>
    <row r="718" spans="1:33">
      <c r="A718" s="14">
        <v>717</v>
      </c>
      <c r="B718" s="14" t="s">
        <v>6690</v>
      </c>
      <c r="C718" s="14" t="e">
        <v>#N/A</v>
      </c>
      <c r="D718" s="15" t="s">
        <v>1839</v>
      </c>
      <c r="E718" s="16" t="s">
        <v>6731</v>
      </c>
      <c r="F718" s="32" t="s">
        <v>6732</v>
      </c>
      <c r="G718" s="17" t="s">
        <v>6733</v>
      </c>
      <c r="H718" s="18" t="s">
        <v>6734</v>
      </c>
      <c r="I718" s="16" t="s">
        <v>6735</v>
      </c>
      <c r="J718" s="16" t="s">
        <v>86</v>
      </c>
      <c r="K718" s="16" t="s">
        <v>269</v>
      </c>
      <c r="L718" s="16" t="s">
        <v>6736</v>
      </c>
      <c r="M718" s="16" t="s">
        <v>136</v>
      </c>
      <c r="N718" s="16" t="s">
        <v>6737</v>
      </c>
      <c r="O718" s="16" t="s">
        <v>6738</v>
      </c>
      <c r="P718" s="16" t="s">
        <v>6739</v>
      </c>
      <c r="Q718" s="16" t="s">
        <v>1815</v>
      </c>
      <c r="R718" s="16" t="s">
        <v>3598</v>
      </c>
      <c r="S718" s="19" t="s">
        <v>6740</v>
      </c>
      <c r="T718" s="20" t="s">
        <v>40</v>
      </c>
      <c r="U718" s="16" t="s">
        <v>9856</v>
      </c>
      <c r="V718" s="16" t="s">
        <v>9857</v>
      </c>
      <c r="W718" s="30" t="s">
        <v>6741</v>
      </c>
      <c r="X718" s="18" t="s">
        <v>542</v>
      </c>
      <c r="Y718" s="18" t="s">
        <v>98</v>
      </c>
      <c r="Z718" s="18" t="s">
        <v>1815</v>
      </c>
      <c r="AA718" s="16" t="s">
        <v>4525</v>
      </c>
      <c r="AB718" s="16" t="s">
        <v>6659</v>
      </c>
      <c r="AC718" s="16" t="s">
        <v>4527</v>
      </c>
      <c r="AD718" s="123" t="str">
        <f t="shared" si="11"/>
        <v>External Transfer-NBE</v>
      </c>
      <c r="AE718" s="123" t="str">
        <f>VLOOKUP(Table1[[#This Row],[Name of bank]],'اكواد البنوك'!$A$2:$B$34,2,0)</f>
        <v>NBEGEGCXXXX</v>
      </c>
      <c r="AF718" s="21" t="s">
        <v>6742</v>
      </c>
      <c r="AG718" s="15" t="s">
        <v>3069</v>
      </c>
    </row>
    <row r="719" spans="1:33">
      <c r="A719" s="14">
        <v>718</v>
      </c>
      <c r="B719" s="14" t="s">
        <v>639</v>
      </c>
      <c r="C719" s="14" t="s">
        <v>5547</v>
      </c>
      <c r="D719" s="15" t="s">
        <v>1839</v>
      </c>
      <c r="E719" s="16" t="s">
        <v>6743</v>
      </c>
      <c r="F719" s="32" t="s">
        <v>6744</v>
      </c>
      <c r="G719" s="17" t="s">
        <v>6745</v>
      </c>
      <c r="H719" s="18" t="s">
        <v>6746</v>
      </c>
      <c r="I719" s="16" t="s">
        <v>4850</v>
      </c>
      <c r="J719" s="16" t="s">
        <v>86</v>
      </c>
      <c r="K719" s="16" t="s">
        <v>6747</v>
      </c>
      <c r="L719" s="16">
        <v>24967552</v>
      </c>
      <c r="M719" s="16" t="s">
        <v>6748</v>
      </c>
      <c r="N719" s="16" t="s">
        <v>6749</v>
      </c>
      <c r="O719" s="16" t="s">
        <v>6750</v>
      </c>
      <c r="P719" s="16" t="s">
        <v>6751</v>
      </c>
      <c r="Q719" s="16" t="s">
        <v>1815</v>
      </c>
      <c r="R719" s="16" t="s">
        <v>3598</v>
      </c>
      <c r="S719" s="19" t="s">
        <v>6752</v>
      </c>
      <c r="T719" s="20" t="s">
        <v>307</v>
      </c>
      <c r="U719" s="16" t="s">
        <v>5434</v>
      </c>
      <c r="V719" s="16" t="s">
        <v>6753</v>
      </c>
      <c r="W719" s="30" t="s">
        <v>6754</v>
      </c>
      <c r="X719" s="18" t="s">
        <v>97</v>
      </c>
      <c r="Y719" s="18" t="s">
        <v>98</v>
      </c>
      <c r="Z719" s="18" t="s">
        <v>1815</v>
      </c>
      <c r="AA719" s="16" t="s">
        <v>4525</v>
      </c>
      <c r="AB719" s="16" t="s">
        <v>6659</v>
      </c>
      <c r="AC719" s="16" t="s">
        <v>4527</v>
      </c>
      <c r="AD719" s="123" t="str">
        <f t="shared" si="11"/>
        <v>External Transfer-Other banks</v>
      </c>
      <c r="AE719" s="123" t="str">
        <f>VLOOKUP(Table1[[#This Row],[Name of bank]],'اكواد البنوك'!$A$2:$B$34,2,0)</f>
        <v>CIBEEGCXXXX</v>
      </c>
      <c r="AF719" s="21" t="s">
        <v>4566</v>
      </c>
      <c r="AG719" s="15" t="s">
        <v>3069</v>
      </c>
    </row>
    <row r="720" spans="1:33">
      <c r="A720" s="14">
        <v>719</v>
      </c>
      <c r="B720" s="14" t="s">
        <v>639</v>
      </c>
      <c r="C720" s="14" t="s">
        <v>6335</v>
      </c>
      <c r="D720" s="15" t="s">
        <v>1839</v>
      </c>
      <c r="E720" s="16" t="s">
        <v>6755</v>
      </c>
      <c r="F720" s="32" t="s">
        <v>6756</v>
      </c>
      <c r="G720" s="17" t="s">
        <v>6757</v>
      </c>
      <c r="H720" s="18" t="s">
        <v>6758</v>
      </c>
      <c r="I720" s="16" t="s">
        <v>4689</v>
      </c>
      <c r="J720" s="16" t="s">
        <v>86</v>
      </c>
      <c r="K720" s="16" t="s">
        <v>4524</v>
      </c>
      <c r="L720" s="16" t="s">
        <v>6759</v>
      </c>
      <c r="M720" s="16" t="s">
        <v>6760</v>
      </c>
      <c r="N720" s="16" t="s">
        <v>6761</v>
      </c>
      <c r="O720" s="16" t="s">
        <v>6762</v>
      </c>
      <c r="P720" s="16" t="s">
        <v>6763</v>
      </c>
      <c r="Q720" s="16" t="s">
        <v>1815</v>
      </c>
      <c r="R720" s="16" t="s">
        <v>3598</v>
      </c>
      <c r="S720" s="19" t="s">
        <v>6764</v>
      </c>
      <c r="T720" s="20" t="s">
        <v>40</v>
      </c>
      <c r="U720" s="16" t="s">
        <v>6765</v>
      </c>
      <c r="V720" s="16" t="s">
        <v>6766</v>
      </c>
      <c r="W720" s="30" t="s">
        <v>6767</v>
      </c>
      <c r="X720" s="18" t="s">
        <v>542</v>
      </c>
      <c r="Y720" s="18" t="s">
        <v>98</v>
      </c>
      <c r="Z720" s="18" t="s">
        <v>1815</v>
      </c>
      <c r="AA720" s="16" t="s">
        <v>4525</v>
      </c>
      <c r="AB720" s="16" t="s">
        <v>6659</v>
      </c>
      <c r="AC720" s="16" t="s">
        <v>4527</v>
      </c>
      <c r="AD720" s="123" t="str">
        <f t="shared" si="11"/>
        <v>External Transfer-NBE</v>
      </c>
      <c r="AE720" s="123" t="str">
        <f>VLOOKUP(Table1[[#This Row],[Name of bank]],'اكواد البنوك'!$A$2:$B$34,2,0)</f>
        <v>NBEGEGCXXXX</v>
      </c>
      <c r="AF720" s="21" t="s">
        <v>5463</v>
      </c>
      <c r="AG720" s="15" t="s">
        <v>3069</v>
      </c>
    </row>
    <row r="721" spans="1:33">
      <c r="A721" s="14">
        <v>720</v>
      </c>
      <c r="B721" s="14" t="s">
        <v>6768</v>
      </c>
      <c r="C721" s="14" t="e">
        <v>#N/A</v>
      </c>
      <c r="D721" s="15" t="s">
        <v>1839</v>
      </c>
      <c r="E721" s="16" t="s">
        <v>6769</v>
      </c>
      <c r="F721" s="32" t="s">
        <v>6770</v>
      </c>
      <c r="G721" s="17" t="s">
        <v>6771</v>
      </c>
      <c r="H721" s="18" t="s">
        <v>6772</v>
      </c>
      <c r="I721" s="16" t="s">
        <v>6773</v>
      </c>
      <c r="J721" s="16" t="s">
        <v>86</v>
      </c>
      <c r="K721" s="16" t="s">
        <v>384</v>
      </c>
      <c r="L721" s="16" t="s">
        <v>6774</v>
      </c>
      <c r="M721" s="16" t="s">
        <v>977</v>
      </c>
      <c r="N721" s="16" t="s">
        <v>6775</v>
      </c>
      <c r="O721" s="16" t="s">
        <v>6776</v>
      </c>
      <c r="P721" s="16" t="s">
        <v>6777</v>
      </c>
      <c r="Q721" s="16" t="s">
        <v>1815</v>
      </c>
      <c r="R721" s="16" t="s">
        <v>3598</v>
      </c>
      <c r="S721" s="19" t="s">
        <v>6769</v>
      </c>
      <c r="T721" s="20" t="s">
        <v>40</v>
      </c>
      <c r="U721" s="16" t="s">
        <v>9858</v>
      </c>
      <c r="V721" s="16" t="s">
        <v>9859</v>
      </c>
      <c r="W721" s="30" t="s">
        <v>6778</v>
      </c>
      <c r="X721" s="18" t="s">
        <v>542</v>
      </c>
      <c r="Y721" s="18" t="s">
        <v>98</v>
      </c>
      <c r="Z721" s="18" t="s">
        <v>1815</v>
      </c>
      <c r="AA721" s="16" t="s">
        <v>4525</v>
      </c>
      <c r="AB721" s="16" t="s">
        <v>6659</v>
      </c>
      <c r="AC721" s="16" t="s">
        <v>4527</v>
      </c>
      <c r="AD721" s="123" t="str">
        <f t="shared" si="11"/>
        <v>External Transfer-NBE</v>
      </c>
      <c r="AE721" s="123" t="str">
        <f>VLOOKUP(Table1[[#This Row],[Name of bank]],'اكواد البنوك'!$A$2:$B$34,2,0)</f>
        <v>NBEGEGCXXXX</v>
      </c>
      <c r="AF721" s="21" t="s">
        <v>2934</v>
      </c>
      <c r="AG721" s="15" t="s">
        <v>3069</v>
      </c>
    </row>
    <row r="722" spans="1:33">
      <c r="A722" s="14">
        <v>721</v>
      </c>
      <c r="B722" s="14" t="s">
        <v>6768</v>
      </c>
      <c r="C722" s="14" t="e">
        <v>#N/A</v>
      </c>
      <c r="D722" s="15" t="s">
        <v>1839</v>
      </c>
      <c r="E722" s="16" t="s">
        <v>6779</v>
      </c>
      <c r="F722" s="32" t="s">
        <v>6780</v>
      </c>
      <c r="G722" s="17" t="s">
        <v>6781</v>
      </c>
      <c r="H722" s="18" t="s">
        <v>6782</v>
      </c>
      <c r="I722" s="16" t="s">
        <v>6783</v>
      </c>
      <c r="J722" s="16" t="s">
        <v>173</v>
      </c>
      <c r="K722" s="16" t="s">
        <v>2077</v>
      </c>
      <c r="L722" s="16" t="s">
        <v>136</v>
      </c>
      <c r="M722" s="16" t="s">
        <v>136</v>
      </c>
      <c r="N722" s="16" t="s">
        <v>6784</v>
      </c>
      <c r="O722" s="16" t="s">
        <v>6785</v>
      </c>
      <c r="P722" s="16" t="s">
        <v>6786</v>
      </c>
      <c r="Q722" s="16" t="s">
        <v>1815</v>
      </c>
      <c r="R722" s="16" t="s">
        <v>3598</v>
      </c>
      <c r="S722" s="19" t="s">
        <v>6787</v>
      </c>
      <c r="T722" s="20" t="s">
        <v>176</v>
      </c>
      <c r="U722" s="16" t="s">
        <v>6788</v>
      </c>
      <c r="V722" s="16" t="s">
        <v>6789</v>
      </c>
      <c r="W722" s="30" t="s">
        <v>6790</v>
      </c>
      <c r="X722" s="18" t="s">
        <v>542</v>
      </c>
      <c r="Y722" s="18" t="s">
        <v>98</v>
      </c>
      <c r="Z722" s="18" t="s">
        <v>1815</v>
      </c>
      <c r="AA722" s="16" t="s">
        <v>4525</v>
      </c>
      <c r="AB722" s="16" t="s">
        <v>6659</v>
      </c>
      <c r="AC722" s="16" t="s">
        <v>4527</v>
      </c>
      <c r="AD722" s="123" t="str">
        <f t="shared" si="11"/>
        <v>External Transfer-Other banks</v>
      </c>
      <c r="AE722" s="123" t="str">
        <f>VLOOKUP(Table1[[#This Row],[Name of bank]],'اكواد البنوك'!$A$2:$B$34,2,0)</f>
        <v>BMISEGCXXXX</v>
      </c>
      <c r="AF722" s="21" t="s">
        <v>6791</v>
      </c>
      <c r="AG722" s="15" t="s">
        <v>3069</v>
      </c>
    </row>
    <row r="723" spans="1:33">
      <c r="A723" s="14">
        <v>722</v>
      </c>
      <c r="B723" s="14" t="s">
        <v>6768</v>
      </c>
      <c r="C723" s="14" t="e">
        <v>#N/A</v>
      </c>
      <c r="D723" s="15" t="s">
        <v>1839</v>
      </c>
      <c r="E723" s="16" t="s">
        <v>6792</v>
      </c>
      <c r="F723" s="32" t="s">
        <v>10145</v>
      </c>
      <c r="G723" s="17" t="s">
        <v>6793</v>
      </c>
      <c r="H723" s="18" t="s">
        <v>6794</v>
      </c>
      <c r="I723" s="16" t="s">
        <v>6795</v>
      </c>
      <c r="J723" s="16" t="s">
        <v>173</v>
      </c>
      <c r="K723" s="16" t="s">
        <v>106</v>
      </c>
      <c r="L723" s="16" t="s">
        <v>6796</v>
      </c>
      <c r="M723" s="16" t="s">
        <v>427</v>
      </c>
      <c r="N723" s="16" t="s">
        <v>6797</v>
      </c>
      <c r="O723" s="16" t="s">
        <v>6798</v>
      </c>
      <c r="P723" s="16" t="s">
        <v>6799</v>
      </c>
      <c r="Q723" s="16" t="s">
        <v>1815</v>
      </c>
      <c r="R723" s="16" t="s">
        <v>3598</v>
      </c>
      <c r="S723" s="19" t="s">
        <v>6792</v>
      </c>
      <c r="T723" s="20" t="s">
        <v>40</v>
      </c>
      <c r="U723" s="16" t="s">
        <v>2255</v>
      </c>
      <c r="V723" s="16" t="s">
        <v>6800</v>
      </c>
      <c r="W723" s="30" t="s">
        <v>6801</v>
      </c>
      <c r="X723" s="18" t="s">
        <v>542</v>
      </c>
      <c r="Y723" s="18" t="s">
        <v>98</v>
      </c>
      <c r="Z723" s="18" t="s">
        <v>1815</v>
      </c>
      <c r="AA723" s="16" t="s">
        <v>4525</v>
      </c>
      <c r="AB723" s="16" t="s">
        <v>6659</v>
      </c>
      <c r="AC723" s="16" t="s">
        <v>4527</v>
      </c>
      <c r="AD723" s="123" t="str">
        <f t="shared" si="11"/>
        <v>External Transfer-NBE</v>
      </c>
      <c r="AE723" s="123" t="str">
        <f>VLOOKUP(Table1[[#This Row],[Name of bank]],'اكواد البنوك'!$A$2:$B$34,2,0)</f>
        <v>NBEGEGCXXXX</v>
      </c>
      <c r="AF723" s="21" t="s">
        <v>2258</v>
      </c>
      <c r="AG723" s="15" t="s">
        <v>3069</v>
      </c>
    </row>
    <row r="724" spans="1:33">
      <c r="A724" s="14">
        <v>723</v>
      </c>
      <c r="B724" s="14" t="s">
        <v>6768</v>
      </c>
      <c r="C724" s="14" t="e">
        <v>#N/A</v>
      </c>
      <c r="D724" s="15" t="s">
        <v>1839</v>
      </c>
      <c r="E724" s="16" t="s">
        <v>6802</v>
      </c>
      <c r="F724" s="32" t="s">
        <v>6803</v>
      </c>
      <c r="G724" s="17" t="s">
        <v>6804</v>
      </c>
      <c r="H724" s="18" t="s">
        <v>6805</v>
      </c>
      <c r="I724" s="16" t="s">
        <v>6806</v>
      </c>
      <c r="J724" s="16" t="s">
        <v>86</v>
      </c>
      <c r="K724" s="16" t="s">
        <v>6806</v>
      </c>
      <c r="L724" s="16">
        <v>43049416</v>
      </c>
      <c r="M724" s="16" t="s">
        <v>136</v>
      </c>
      <c r="N724" s="16" t="s">
        <v>6807</v>
      </c>
      <c r="O724" s="16" t="s">
        <v>6808</v>
      </c>
      <c r="P724" s="16" t="s">
        <v>6809</v>
      </c>
      <c r="Q724" s="16" t="s">
        <v>1815</v>
      </c>
      <c r="R724" s="16" t="s">
        <v>3598</v>
      </c>
      <c r="S724" s="19" t="s">
        <v>6810</v>
      </c>
      <c r="T724" s="20" t="s">
        <v>176</v>
      </c>
      <c r="U724" s="16" t="s">
        <v>9860</v>
      </c>
      <c r="V724" s="16" t="s">
        <v>9861</v>
      </c>
      <c r="W724" s="30" t="s">
        <v>9862</v>
      </c>
      <c r="X724" s="18" t="s">
        <v>542</v>
      </c>
      <c r="Y724" s="18" t="s">
        <v>98</v>
      </c>
      <c r="Z724" s="18" t="s">
        <v>1815</v>
      </c>
      <c r="AA724" s="16" t="s">
        <v>4525</v>
      </c>
      <c r="AB724" s="16" t="s">
        <v>6659</v>
      </c>
      <c r="AC724" s="16" t="s">
        <v>4527</v>
      </c>
      <c r="AD724" s="123" t="str">
        <f t="shared" si="11"/>
        <v>External Transfer-Other banks</v>
      </c>
      <c r="AE724" s="123" t="str">
        <f>VLOOKUP(Table1[[#This Row],[Name of bank]],'اكواد البنوك'!$A$2:$B$34,2,0)</f>
        <v>BMISEGCXXXX</v>
      </c>
      <c r="AF724" s="21" t="s">
        <v>2347</v>
      </c>
      <c r="AG724" s="15" t="s">
        <v>167</v>
      </c>
    </row>
    <row r="725" spans="1:33">
      <c r="A725" s="14">
        <v>724</v>
      </c>
      <c r="B725" s="14" t="s">
        <v>6768</v>
      </c>
      <c r="C725" s="14" t="s">
        <v>6553</v>
      </c>
      <c r="D725" s="15" t="s">
        <v>1839</v>
      </c>
      <c r="E725" s="16" t="s">
        <v>6811</v>
      </c>
      <c r="F725" s="32" t="s">
        <v>6812</v>
      </c>
      <c r="G725" s="17" t="s">
        <v>6813</v>
      </c>
      <c r="H725" s="18" t="s">
        <v>6814</v>
      </c>
      <c r="I725" s="16" t="s">
        <v>6815</v>
      </c>
      <c r="J725" s="16" t="s">
        <v>86</v>
      </c>
      <c r="K725" s="16" t="s">
        <v>2579</v>
      </c>
      <c r="L725" s="16" t="s">
        <v>6816</v>
      </c>
      <c r="M725" s="16" t="s">
        <v>136</v>
      </c>
      <c r="N725" s="16" t="s">
        <v>6817</v>
      </c>
      <c r="O725" s="16" t="s">
        <v>6818</v>
      </c>
      <c r="P725" s="16" t="s">
        <v>6819</v>
      </c>
      <c r="Q725" s="16" t="s">
        <v>1815</v>
      </c>
      <c r="R725" s="16" t="s">
        <v>3598</v>
      </c>
      <c r="S725" s="19" t="s">
        <v>6820</v>
      </c>
      <c r="T725" s="20" t="s">
        <v>176</v>
      </c>
      <c r="U725" s="16" t="s">
        <v>4577</v>
      </c>
      <c r="V725" s="16" t="s">
        <v>6821</v>
      </c>
      <c r="W725" s="30" t="s">
        <v>6822</v>
      </c>
      <c r="X725" s="18" t="s">
        <v>542</v>
      </c>
      <c r="Y725" s="18" t="s">
        <v>98</v>
      </c>
      <c r="Z725" s="18" t="s">
        <v>1815</v>
      </c>
      <c r="AA725" s="16" t="s">
        <v>4525</v>
      </c>
      <c r="AB725" s="16" t="s">
        <v>6659</v>
      </c>
      <c r="AC725" s="16" t="s">
        <v>4527</v>
      </c>
      <c r="AD725" s="123" t="str">
        <f t="shared" si="11"/>
        <v>External Transfer-Other banks</v>
      </c>
      <c r="AE725" s="123" t="str">
        <f>VLOOKUP(Table1[[#This Row],[Name of bank]],'اكواد البنوك'!$A$2:$B$34,2,0)</f>
        <v>BMISEGCXXXX</v>
      </c>
      <c r="AF725" s="21" t="s">
        <v>2347</v>
      </c>
      <c r="AG725" s="15" t="s">
        <v>3069</v>
      </c>
    </row>
    <row r="726" spans="1:33">
      <c r="A726" s="14">
        <v>725</v>
      </c>
      <c r="B726" s="14" t="s">
        <v>6823</v>
      </c>
      <c r="C726" s="14" t="e">
        <v>#N/A</v>
      </c>
      <c r="D726" s="15" t="s">
        <v>1839</v>
      </c>
      <c r="E726" s="16" t="s">
        <v>6824</v>
      </c>
      <c r="F726" s="32" t="s">
        <v>6825</v>
      </c>
      <c r="G726" s="17" t="s">
        <v>6826</v>
      </c>
      <c r="H726" s="18" t="s">
        <v>6827</v>
      </c>
      <c r="I726" s="16" t="s">
        <v>1957</v>
      </c>
      <c r="J726" s="16" t="s">
        <v>173</v>
      </c>
      <c r="K726" s="16" t="s">
        <v>6828</v>
      </c>
      <c r="L726" s="16" t="s">
        <v>234</v>
      </c>
      <c r="M726" s="16" t="s">
        <v>136</v>
      </c>
      <c r="N726" s="16" t="s">
        <v>6829</v>
      </c>
      <c r="O726" s="16" t="s">
        <v>6830</v>
      </c>
      <c r="P726" s="16" t="s">
        <v>6831</v>
      </c>
      <c r="Q726" s="16" t="s">
        <v>1815</v>
      </c>
      <c r="R726" s="16" t="s">
        <v>3598</v>
      </c>
      <c r="S726" s="19" t="s">
        <v>6832</v>
      </c>
      <c r="T726" s="20" t="s">
        <v>1238</v>
      </c>
      <c r="U726" s="16" t="s">
        <v>6833</v>
      </c>
      <c r="V726" s="16" t="s">
        <v>6834</v>
      </c>
      <c r="W726" s="30" t="s">
        <v>6835</v>
      </c>
      <c r="X726" s="18" t="s">
        <v>542</v>
      </c>
      <c r="Y726" s="18" t="s">
        <v>98</v>
      </c>
      <c r="Z726" s="18" t="s">
        <v>1815</v>
      </c>
      <c r="AA726" s="16" t="s">
        <v>4525</v>
      </c>
      <c r="AB726" s="16" t="s">
        <v>6659</v>
      </c>
      <c r="AC726" s="16" t="s">
        <v>4527</v>
      </c>
      <c r="AD726" s="123" t="str">
        <f t="shared" si="11"/>
        <v>External Transfer-Other banks</v>
      </c>
      <c r="AE726" s="123" t="str">
        <f>VLOOKUP(Table1[[#This Row],[Name of bank]],'اكواد البنوك'!$A$2:$B$34,2,0)</f>
        <v>EBBKEGCXXXX</v>
      </c>
      <c r="AF726" s="21" t="s">
        <v>6836</v>
      </c>
      <c r="AG726" s="15" t="s">
        <v>3069</v>
      </c>
    </row>
    <row r="727" spans="1:33">
      <c r="A727" s="14">
        <v>726</v>
      </c>
      <c r="B727" s="14" t="s">
        <v>6823</v>
      </c>
      <c r="C727" s="14" t="s">
        <v>9989</v>
      </c>
      <c r="D727" s="15" t="s">
        <v>1839</v>
      </c>
      <c r="E727" s="16" t="s">
        <v>6837</v>
      </c>
      <c r="F727" s="32" t="s">
        <v>6838</v>
      </c>
      <c r="G727" s="17" t="s">
        <v>6839</v>
      </c>
      <c r="H727" s="18" t="s">
        <v>6840</v>
      </c>
      <c r="I727" s="16" t="s">
        <v>5878</v>
      </c>
      <c r="J727" s="16" t="s">
        <v>86</v>
      </c>
      <c r="K727" s="16" t="s">
        <v>106</v>
      </c>
      <c r="L727" s="16" t="s">
        <v>136</v>
      </c>
      <c r="M727" s="16" t="s">
        <v>136</v>
      </c>
      <c r="N727" s="16" t="s">
        <v>6841</v>
      </c>
      <c r="O727" s="16" t="s">
        <v>6842</v>
      </c>
      <c r="P727" s="16" t="s">
        <v>6843</v>
      </c>
      <c r="Q727" s="16" t="s">
        <v>1815</v>
      </c>
      <c r="R727" s="16" t="s">
        <v>3598</v>
      </c>
      <c r="S727" s="19" t="s">
        <v>6844</v>
      </c>
      <c r="T727" s="20" t="s">
        <v>223</v>
      </c>
      <c r="U727" s="16" t="s">
        <v>6845</v>
      </c>
      <c r="V727" s="16" t="s">
        <v>6846</v>
      </c>
      <c r="W727" s="30" t="s">
        <v>6847</v>
      </c>
      <c r="X727" s="18" t="s">
        <v>542</v>
      </c>
      <c r="Y727" s="18" t="s">
        <v>98</v>
      </c>
      <c r="Z727" s="18" t="s">
        <v>1815</v>
      </c>
      <c r="AA727" s="16" t="s">
        <v>4525</v>
      </c>
      <c r="AB727" s="16" t="s">
        <v>6659</v>
      </c>
      <c r="AC727" s="16" t="s">
        <v>4527</v>
      </c>
      <c r="AD727" s="123" t="str">
        <f t="shared" si="11"/>
        <v>External Transfer-Other banks</v>
      </c>
      <c r="AE727" s="123" t="str">
        <f>VLOOKUP(Table1[[#This Row],[Name of bank]],'اكواد البنوك'!$A$2:$B$34,2,0)</f>
        <v>NBADEGCAXXX</v>
      </c>
      <c r="AF727" s="21" t="s">
        <v>6848</v>
      </c>
      <c r="AG727" s="15" t="s">
        <v>3069</v>
      </c>
    </row>
    <row r="728" spans="1:33">
      <c r="A728" s="14">
        <v>727</v>
      </c>
      <c r="B728" s="14" t="s">
        <v>6823</v>
      </c>
      <c r="C728" s="14" t="s">
        <v>5570</v>
      </c>
      <c r="D728" s="15" t="s">
        <v>1839</v>
      </c>
      <c r="E728" s="16" t="s">
        <v>6849</v>
      </c>
      <c r="F728" s="32" t="s">
        <v>6850</v>
      </c>
      <c r="G728" s="17" t="s">
        <v>6851</v>
      </c>
      <c r="H728" s="18" t="s">
        <v>6852</v>
      </c>
      <c r="I728" s="16" t="s">
        <v>6853</v>
      </c>
      <c r="J728" s="16" t="s">
        <v>1845</v>
      </c>
      <c r="K728" s="16" t="s">
        <v>6854</v>
      </c>
      <c r="L728" s="16" t="s">
        <v>6855</v>
      </c>
      <c r="M728" s="16">
        <v>100675891</v>
      </c>
      <c r="N728" s="16" t="s">
        <v>6856</v>
      </c>
      <c r="O728" s="16" t="s">
        <v>6857</v>
      </c>
      <c r="P728" s="16" t="s">
        <v>6858</v>
      </c>
      <c r="Q728" s="16" t="s">
        <v>1815</v>
      </c>
      <c r="R728" s="16" t="s">
        <v>3598</v>
      </c>
      <c r="S728" s="19" t="s">
        <v>6849</v>
      </c>
      <c r="T728" s="20" t="s">
        <v>40</v>
      </c>
      <c r="U728" s="16" t="s">
        <v>2173</v>
      </c>
      <c r="V728" s="16" t="s">
        <v>6859</v>
      </c>
      <c r="W728" s="30" t="s">
        <v>6860</v>
      </c>
      <c r="X728" s="18" t="s">
        <v>542</v>
      </c>
      <c r="Y728" s="18" t="s">
        <v>98</v>
      </c>
      <c r="Z728" s="18" t="s">
        <v>1815</v>
      </c>
      <c r="AA728" s="16" t="s">
        <v>4525</v>
      </c>
      <c r="AB728" s="16" t="s">
        <v>6659</v>
      </c>
      <c r="AC728" s="16" t="s">
        <v>4527</v>
      </c>
      <c r="AD728" s="123" t="str">
        <f t="shared" si="11"/>
        <v>External Transfer-NBE</v>
      </c>
      <c r="AE728" s="123" t="str">
        <f>VLOOKUP(Table1[[#This Row],[Name of bank]],'اكواد البنوك'!$A$2:$B$34,2,0)</f>
        <v>NBEGEGCXXXX</v>
      </c>
      <c r="AF728" s="21" t="s">
        <v>2176</v>
      </c>
      <c r="AG728" s="15" t="s">
        <v>3069</v>
      </c>
    </row>
    <row r="729" spans="1:33">
      <c r="A729" s="14">
        <v>728</v>
      </c>
      <c r="B729" s="14" t="s">
        <v>6823</v>
      </c>
      <c r="C729" s="14" t="e">
        <v>#N/A</v>
      </c>
      <c r="D729" s="15" t="s">
        <v>1839</v>
      </c>
      <c r="E729" s="16" t="s">
        <v>6861</v>
      </c>
      <c r="F729" s="32" t="s">
        <v>6862</v>
      </c>
      <c r="G729" s="17" t="s">
        <v>6863</v>
      </c>
      <c r="H729" s="18" t="s">
        <v>6864</v>
      </c>
      <c r="I729" s="16" t="s">
        <v>6865</v>
      </c>
      <c r="J729" s="16" t="s">
        <v>173</v>
      </c>
      <c r="K729" s="16" t="s">
        <v>6866</v>
      </c>
      <c r="L729" s="16" t="s">
        <v>6867</v>
      </c>
      <c r="M729" s="16" t="s">
        <v>234</v>
      </c>
      <c r="N729" s="16" t="s">
        <v>6868</v>
      </c>
      <c r="O729" s="16" t="s">
        <v>6869</v>
      </c>
      <c r="P729" s="16" t="s">
        <v>6870</v>
      </c>
      <c r="Q729" s="16" t="s">
        <v>1815</v>
      </c>
      <c r="R729" s="16" t="s">
        <v>3598</v>
      </c>
      <c r="S729" s="19" t="s">
        <v>6871</v>
      </c>
      <c r="T729" s="20" t="s">
        <v>40</v>
      </c>
      <c r="U729" s="16" t="s">
        <v>6872</v>
      </c>
      <c r="V729" s="16" t="s">
        <v>6873</v>
      </c>
      <c r="W729" s="30" t="s">
        <v>6874</v>
      </c>
      <c r="X729" s="18" t="s">
        <v>542</v>
      </c>
      <c r="Y729" s="18" t="s">
        <v>98</v>
      </c>
      <c r="Z729" s="18" t="s">
        <v>1815</v>
      </c>
      <c r="AA729" s="16" t="s">
        <v>4525</v>
      </c>
      <c r="AB729" s="16" t="s">
        <v>6659</v>
      </c>
      <c r="AC729" s="16" t="s">
        <v>4527</v>
      </c>
      <c r="AD729" s="123" t="str">
        <f t="shared" si="11"/>
        <v>External Transfer-NBE</v>
      </c>
      <c r="AE729" s="123" t="str">
        <f>VLOOKUP(Table1[[#This Row],[Name of bank]],'اكواد البنوك'!$A$2:$B$34,2,0)</f>
        <v>NBEGEGCXXXX</v>
      </c>
      <c r="AF729" s="21" t="s">
        <v>6875</v>
      </c>
      <c r="AG729" s="15" t="s">
        <v>3069</v>
      </c>
    </row>
    <row r="730" spans="1:33">
      <c r="A730" s="14">
        <v>729</v>
      </c>
      <c r="B730" s="14" t="s">
        <v>6876</v>
      </c>
      <c r="C730" s="14" t="e">
        <v>#N/A</v>
      </c>
      <c r="D730" s="15" t="s">
        <v>1839</v>
      </c>
      <c r="E730" s="16" t="s">
        <v>6877</v>
      </c>
      <c r="F730" s="32" t="s">
        <v>6878</v>
      </c>
      <c r="G730" s="17" t="s">
        <v>6879</v>
      </c>
      <c r="H730" s="18" t="s">
        <v>6880</v>
      </c>
      <c r="I730" s="16" t="s">
        <v>6881</v>
      </c>
      <c r="J730" s="16" t="s">
        <v>2035</v>
      </c>
      <c r="K730" s="16" t="s">
        <v>553</v>
      </c>
      <c r="L730" s="16">
        <v>73258748</v>
      </c>
      <c r="M730" s="16" t="s">
        <v>234</v>
      </c>
      <c r="N730" s="16" t="s">
        <v>6882</v>
      </c>
      <c r="O730" s="16" t="s">
        <v>6883</v>
      </c>
      <c r="P730" s="16" t="s">
        <v>6884</v>
      </c>
      <c r="Q730" s="16" t="s">
        <v>1815</v>
      </c>
      <c r="R730" s="16" t="s">
        <v>3598</v>
      </c>
      <c r="S730" s="19" t="s">
        <v>6877</v>
      </c>
      <c r="T730" s="20" t="s">
        <v>307</v>
      </c>
      <c r="U730" s="16" t="s">
        <v>6885</v>
      </c>
      <c r="V730" s="16" t="s">
        <v>6886</v>
      </c>
      <c r="W730" s="30" t="s">
        <v>6887</v>
      </c>
      <c r="X730" s="18" t="s">
        <v>542</v>
      </c>
      <c r="Y730" s="18" t="s">
        <v>98</v>
      </c>
      <c r="Z730" s="18" t="s">
        <v>1815</v>
      </c>
      <c r="AA730" s="16" t="s">
        <v>4525</v>
      </c>
      <c r="AB730" s="16" t="s">
        <v>6659</v>
      </c>
      <c r="AC730" s="16" t="s">
        <v>4527</v>
      </c>
      <c r="AD730" s="123" t="str">
        <f t="shared" si="11"/>
        <v>External Transfer-Other banks</v>
      </c>
      <c r="AE730" s="123" t="str">
        <f>VLOOKUP(Table1[[#This Row],[Name of bank]],'اكواد البنوك'!$A$2:$B$34,2,0)</f>
        <v>CIBEEGCXXXX</v>
      </c>
      <c r="AF730" s="21" t="s">
        <v>2622</v>
      </c>
      <c r="AG730" s="15" t="s">
        <v>3069</v>
      </c>
    </row>
    <row r="731" spans="1:33">
      <c r="A731" s="14">
        <v>730</v>
      </c>
      <c r="B731" s="14" t="s">
        <v>6876</v>
      </c>
      <c r="C731" s="14" t="s">
        <v>5547</v>
      </c>
      <c r="D731" s="15" t="s">
        <v>1839</v>
      </c>
      <c r="E731" s="16" t="s">
        <v>6888</v>
      </c>
      <c r="F731" s="32" t="s">
        <v>6889</v>
      </c>
      <c r="G731" s="17" t="s">
        <v>6890</v>
      </c>
      <c r="H731" s="18" t="s">
        <v>6891</v>
      </c>
      <c r="I731" s="16" t="s">
        <v>6892</v>
      </c>
      <c r="J731" s="16" t="s">
        <v>86</v>
      </c>
      <c r="K731" s="16" t="s">
        <v>3053</v>
      </c>
      <c r="L731" s="16" t="s">
        <v>6893</v>
      </c>
      <c r="M731" s="16" t="s">
        <v>427</v>
      </c>
      <c r="N731" s="16" t="s">
        <v>6894</v>
      </c>
      <c r="O731" s="16" t="s">
        <v>6895</v>
      </c>
      <c r="P731" s="16" t="s">
        <v>6896</v>
      </c>
      <c r="Q731" s="16" t="s">
        <v>1815</v>
      </c>
      <c r="R731" s="16" t="s">
        <v>3598</v>
      </c>
      <c r="S731" s="19" t="s">
        <v>6897</v>
      </c>
      <c r="T731" s="20" t="s">
        <v>176</v>
      </c>
      <c r="U731" s="16" t="s">
        <v>6898</v>
      </c>
      <c r="V731" s="16" t="s">
        <v>6899</v>
      </c>
      <c r="W731" s="30" t="s">
        <v>6900</v>
      </c>
      <c r="X731" s="18" t="s">
        <v>542</v>
      </c>
      <c r="Y731" s="18" t="s">
        <v>98</v>
      </c>
      <c r="Z731" s="18" t="s">
        <v>1815</v>
      </c>
      <c r="AA731" s="16" t="s">
        <v>4525</v>
      </c>
      <c r="AB731" s="16" t="s">
        <v>6659</v>
      </c>
      <c r="AC731" s="16" t="s">
        <v>4527</v>
      </c>
      <c r="AD731" s="123" t="str">
        <f t="shared" si="11"/>
        <v>External Transfer-Other banks</v>
      </c>
      <c r="AE731" s="123" t="str">
        <f>VLOOKUP(Table1[[#This Row],[Name of bank]],'اكواد البنوك'!$A$2:$B$34,2,0)</f>
        <v>BMISEGCXXXX</v>
      </c>
      <c r="AF731" s="21" t="s">
        <v>5010</v>
      </c>
      <c r="AG731" s="15" t="s">
        <v>3069</v>
      </c>
    </row>
    <row r="732" spans="1:33">
      <c r="A732" s="14">
        <v>731</v>
      </c>
      <c r="B732" s="14" t="s">
        <v>6901</v>
      </c>
      <c r="C732" s="14" t="e">
        <v>#N/A</v>
      </c>
      <c r="D732" s="15" t="s">
        <v>1839</v>
      </c>
      <c r="E732" s="16" t="s">
        <v>6902</v>
      </c>
      <c r="F732" s="32" t="s">
        <v>10074</v>
      </c>
      <c r="G732" s="17" t="s">
        <v>6903</v>
      </c>
      <c r="H732" s="18" t="s">
        <v>6904</v>
      </c>
      <c r="I732" s="16" t="s">
        <v>6905</v>
      </c>
      <c r="J732" s="16" t="s">
        <v>86</v>
      </c>
      <c r="K732" s="16" t="s">
        <v>6906</v>
      </c>
      <c r="L732" s="16" t="s">
        <v>6907</v>
      </c>
      <c r="M732" s="16" t="s">
        <v>977</v>
      </c>
      <c r="N732" s="16" t="s">
        <v>6908</v>
      </c>
      <c r="O732" s="16" t="s">
        <v>6909</v>
      </c>
      <c r="P732" s="16" t="s">
        <v>6910</v>
      </c>
      <c r="Q732" s="16" t="s">
        <v>1815</v>
      </c>
      <c r="R732" s="16" t="s">
        <v>3598</v>
      </c>
      <c r="S732" s="19" t="s">
        <v>6911</v>
      </c>
      <c r="T732" s="20" t="s">
        <v>40</v>
      </c>
      <c r="U732" s="16" t="s">
        <v>6912</v>
      </c>
      <c r="V732" s="16" t="s">
        <v>6913</v>
      </c>
      <c r="W732" s="30" t="s">
        <v>6914</v>
      </c>
      <c r="X732" s="18" t="s">
        <v>542</v>
      </c>
      <c r="Y732" s="18" t="s">
        <v>98</v>
      </c>
      <c r="Z732" s="18" t="s">
        <v>1815</v>
      </c>
      <c r="AA732" s="16" t="s">
        <v>4525</v>
      </c>
      <c r="AB732" s="16" t="s">
        <v>6659</v>
      </c>
      <c r="AC732" s="16" t="s">
        <v>4527</v>
      </c>
      <c r="AD732" s="123" t="str">
        <f t="shared" si="11"/>
        <v>External Transfer-NBE</v>
      </c>
      <c r="AE732" s="123" t="str">
        <f>VLOOKUP(Table1[[#This Row],[Name of bank]],'اكواد البنوك'!$A$2:$B$34,2,0)</f>
        <v>NBEGEGCXXXX</v>
      </c>
      <c r="AF732" s="21" t="s">
        <v>1960</v>
      </c>
      <c r="AG732" s="15" t="s">
        <v>3069</v>
      </c>
    </row>
    <row r="733" spans="1:33">
      <c r="A733" s="14">
        <v>732</v>
      </c>
      <c r="B733" s="14" t="s">
        <v>6901</v>
      </c>
      <c r="C733" s="14" t="s">
        <v>6414</v>
      </c>
      <c r="D733" s="15" t="s">
        <v>1839</v>
      </c>
      <c r="E733" s="16" t="s">
        <v>6915</v>
      </c>
      <c r="F733" s="32" t="s">
        <v>10150</v>
      </c>
      <c r="G733" s="17" t="s">
        <v>6916</v>
      </c>
      <c r="H733" s="18" t="s">
        <v>6917</v>
      </c>
      <c r="I733" s="16" t="s">
        <v>6918</v>
      </c>
      <c r="J733" s="16" t="s">
        <v>173</v>
      </c>
      <c r="K733" s="16" t="s">
        <v>6919</v>
      </c>
      <c r="L733" s="16" t="s">
        <v>6920</v>
      </c>
      <c r="M733" s="16" t="s">
        <v>4251</v>
      </c>
      <c r="N733" s="16" t="s">
        <v>6921</v>
      </c>
      <c r="O733" s="16" t="s">
        <v>6922</v>
      </c>
      <c r="P733" s="16" t="s">
        <v>6923</v>
      </c>
      <c r="Q733" s="16" t="s">
        <v>1815</v>
      </c>
      <c r="R733" s="16" t="s">
        <v>3598</v>
      </c>
      <c r="S733" s="19" t="s">
        <v>6915</v>
      </c>
      <c r="T733" s="20" t="s">
        <v>40</v>
      </c>
      <c r="U733" s="16" t="s">
        <v>6924</v>
      </c>
      <c r="V733" s="16" t="s">
        <v>6925</v>
      </c>
      <c r="W733" s="30" t="s">
        <v>6926</v>
      </c>
      <c r="X733" s="18" t="s">
        <v>542</v>
      </c>
      <c r="Y733" s="18" t="s">
        <v>98</v>
      </c>
      <c r="Z733" s="18" t="s">
        <v>1815</v>
      </c>
      <c r="AA733" s="16" t="s">
        <v>4525</v>
      </c>
      <c r="AB733" s="16" t="s">
        <v>6659</v>
      </c>
      <c r="AC733" s="16" t="s">
        <v>4527</v>
      </c>
      <c r="AD733" s="123" t="str">
        <f t="shared" si="11"/>
        <v>External Transfer-NBE</v>
      </c>
      <c r="AE733" s="123" t="str">
        <f>VLOOKUP(Table1[[#This Row],[Name of bank]],'اكواد البنوك'!$A$2:$B$34,2,0)</f>
        <v>NBEGEGCXXXX</v>
      </c>
      <c r="AF733" s="21" t="s">
        <v>3798</v>
      </c>
      <c r="AG733" s="15" t="s">
        <v>3069</v>
      </c>
    </row>
    <row r="734" spans="1:33">
      <c r="A734" s="14">
        <v>733</v>
      </c>
      <c r="B734" s="14" t="s">
        <v>6927</v>
      </c>
      <c r="C734" s="14" t="e">
        <v>#N/A</v>
      </c>
      <c r="D734" s="15" t="s">
        <v>1839</v>
      </c>
      <c r="E734" s="16" t="s">
        <v>6928</v>
      </c>
      <c r="F734" s="32" t="s">
        <v>6929</v>
      </c>
      <c r="G734" s="17" t="s">
        <v>6930</v>
      </c>
      <c r="H734" s="18" t="s">
        <v>6931</v>
      </c>
      <c r="I734" s="16" t="s">
        <v>4677</v>
      </c>
      <c r="J734" s="16" t="s">
        <v>86</v>
      </c>
      <c r="K734" s="16" t="s">
        <v>6932</v>
      </c>
      <c r="L734" s="16" t="s">
        <v>6933</v>
      </c>
      <c r="M734" s="16" t="s">
        <v>136</v>
      </c>
      <c r="N734" s="16" t="s">
        <v>6934</v>
      </c>
      <c r="O734" s="16" t="s">
        <v>6935</v>
      </c>
      <c r="P734" s="16" t="s">
        <v>6936</v>
      </c>
      <c r="Q734" s="16" t="s">
        <v>1815</v>
      </c>
      <c r="R734" s="16" t="s">
        <v>3598</v>
      </c>
      <c r="S734" s="19" t="s">
        <v>6928</v>
      </c>
      <c r="T734" s="20" t="s">
        <v>40</v>
      </c>
      <c r="U734" s="16" t="s">
        <v>6937</v>
      </c>
      <c r="V734" s="16" t="s">
        <v>6938</v>
      </c>
      <c r="W734" s="30" t="s">
        <v>6939</v>
      </c>
      <c r="X734" s="18" t="s">
        <v>542</v>
      </c>
      <c r="Y734" s="18" t="s">
        <v>98</v>
      </c>
      <c r="Z734" s="18" t="s">
        <v>1815</v>
      </c>
      <c r="AA734" s="16" t="s">
        <v>4525</v>
      </c>
      <c r="AB734" s="16" t="s">
        <v>6659</v>
      </c>
      <c r="AC734" s="16" t="s">
        <v>4527</v>
      </c>
      <c r="AD734" s="123" t="str">
        <f t="shared" si="11"/>
        <v>External Transfer-NBE</v>
      </c>
      <c r="AE734" s="123" t="str">
        <f>VLOOKUP(Table1[[#This Row],[Name of bank]],'اكواد البنوك'!$A$2:$B$34,2,0)</f>
        <v>NBEGEGCXXXX</v>
      </c>
      <c r="AF734" s="21" t="s">
        <v>2163</v>
      </c>
      <c r="AG734" s="15" t="s">
        <v>3069</v>
      </c>
    </row>
    <row r="735" spans="1:33">
      <c r="A735" s="14">
        <v>734</v>
      </c>
      <c r="B735" s="14" t="s">
        <v>6927</v>
      </c>
      <c r="C735" s="14" t="e">
        <v>#N/A</v>
      </c>
      <c r="D735" s="15" t="s">
        <v>1839</v>
      </c>
      <c r="E735" s="16" t="s">
        <v>6940</v>
      </c>
      <c r="F735" s="32" t="s">
        <v>6941</v>
      </c>
      <c r="G735" s="17" t="s">
        <v>6942</v>
      </c>
      <c r="H735" s="18" t="s">
        <v>6943</v>
      </c>
      <c r="I735" s="16" t="s">
        <v>6944</v>
      </c>
      <c r="J735" s="16" t="s">
        <v>86</v>
      </c>
      <c r="K735" s="16" t="s">
        <v>160</v>
      </c>
      <c r="L735" s="16" t="s">
        <v>6945</v>
      </c>
      <c r="M735" s="16" t="s">
        <v>234</v>
      </c>
      <c r="N735" s="16" t="s">
        <v>6946</v>
      </c>
      <c r="O735" s="16" t="s">
        <v>6947</v>
      </c>
      <c r="P735" s="16" t="s">
        <v>6948</v>
      </c>
      <c r="Q735" s="16" t="s">
        <v>1815</v>
      </c>
      <c r="R735" s="16" t="s">
        <v>3598</v>
      </c>
      <c r="S735" s="19" t="s">
        <v>6949</v>
      </c>
      <c r="T735" s="20" t="s">
        <v>1464</v>
      </c>
      <c r="U735" s="16" t="s">
        <v>6950</v>
      </c>
      <c r="V735" s="16" t="s">
        <v>6951</v>
      </c>
      <c r="W735" s="30" t="s">
        <v>6952</v>
      </c>
      <c r="X735" s="18" t="s">
        <v>542</v>
      </c>
      <c r="Y735" s="18" t="s">
        <v>98</v>
      </c>
      <c r="Z735" s="18" t="s">
        <v>1815</v>
      </c>
      <c r="AA735" s="16" t="s">
        <v>4525</v>
      </c>
      <c r="AB735" s="16" t="s">
        <v>6659</v>
      </c>
      <c r="AC735" s="16" t="s">
        <v>4527</v>
      </c>
      <c r="AD735" s="123" t="str">
        <f t="shared" si="11"/>
        <v>External Transfer-Other banks</v>
      </c>
      <c r="AE735" s="123" t="str">
        <f>VLOOKUP(Table1[[#This Row],[Name of bank]],'اكواد البنوك'!$A$2:$B$34,2,0)</f>
        <v>HDBKEGCAXXX</v>
      </c>
      <c r="AF735" s="21" t="s">
        <v>5787</v>
      </c>
      <c r="AG735" s="15" t="s">
        <v>3069</v>
      </c>
    </row>
    <row r="736" spans="1:33">
      <c r="A736" s="14">
        <v>735</v>
      </c>
      <c r="B736" s="14" t="s">
        <v>73</v>
      </c>
      <c r="C736" s="14" t="s">
        <v>639</v>
      </c>
      <c r="D736" s="15" t="s">
        <v>1827</v>
      </c>
      <c r="E736" s="16" t="s">
        <v>6953</v>
      </c>
      <c r="F736" s="32" t="s">
        <v>6954</v>
      </c>
      <c r="G736" s="17" t="s">
        <v>6955</v>
      </c>
      <c r="H736" s="18" t="s">
        <v>6956</v>
      </c>
      <c r="I736" s="16" t="s">
        <v>1827</v>
      </c>
      <c r="J736" s="16" t="e">
        <v>#N/A</v>
      </c>
      <c r="K736" s="16" t="e">
        <v>#N/A</v>
      </c>
      <c r="L736" s="16" t="e">
        <v>#N/A</v>
      </c>
      <c r="M736" s="16" t="e">
        <v>#N/A</v>
      </c>
      <c r="N736" s="16"/>
      <c r="O736" s="16" t="s">
        <v>1827</v>
      </c>
      <c r="P736" s="16"/>
      <c r="Q736" s="16"/>
      <c r="R736" s="16"/>
      <c r="S736" s="19"/>
      <c r="T736" s="20" t="s">
        <v>40</v>
      </c>
      <c r="U736" s="16"/>
      <c r="V736" s="16"/>
      <c r="W736" s="30">
        <v>54</v>
      </c>
      <c r="X736" s="18" t="s">
        <v>78</v>
      </c>
      <c r="Y736" s="18" t="s">
        <v>43</v>
      </c>
      <c r="Z736" s="18" t="s">
        <v>1815</v>
      </c>
      <c r="AA736" s="16" t="s">
        <v>4525</v>
      </c>
      <c r="AB736" s="16" t="s">
        <v>6659</v>
      </c>
      <c r="AC736" s="16" t="s">
        <v>4527</v>
      </c>
      <c r="AD736" s="123" t="str">
        <f t="shared" si="11"/>
        <v>Internal Transfer</v>
      </c>
      <c r="AE736" s="123" t="str">
        <f>VLOOKUP(Table1[[#This Row],[Name of bank]],'اكواد البنوك'!$A$2:$B$34,2,0)</f>
        <v>NBEGEGCXXXX</v>
      </c>
      <c r="AF736" s="21" t="s">
        <v>6957</v>
      </c>
      <c r="AG736" s="15" t="s">
        <v>3069</v>
      </c>
    </row>
    <row r="737" spans="1:33">
      <c r="A737" s="14">
        <v>736</v>
      </c>
      <c r="B737" s="14" t="s">
        <v>73</v>
      </c>
      <c r="C737" s="14" t="s">
        <v>73</v>
      </c>
      <c r="D737" s="15" t="s">
        <v>1839</v>
      </c>
      <c r="E737" s="16" t="s">
        <v>6958</v>
      </c>
      <c r="F737" s="32" t="s">
        <v>6959</v>
      </c>
      <c r="G737" s="17" t="s">
        <v>6960</v>
      </c>
      <c r="H737" s="18" t="s">
        <v>6961</v>
      </c>
      <c r="I737" s="16" t="s">
        <v>6962</v>
      </c>
      <c r="J737" s="16" t="s">
        <v>86</v>
      </c>
      <c r="K737" s="16" t="s">
        <v>106</v>
      </c>
      <c r="L737" s="16">
        <v>74891210</v>
      </c>
      <c r="M737" s="16" t="s">
        <v>136</v>
      </c>
      <c r="N737" s="16" t="s">
        <v>6963</v>
      </c>
      <c r="O737" s="16" t="s">
        <v>6964</v>
      </c>
      <c r="P737" s="16" t="s">
        <v>6965</v>
      </c>
      <c r="Q737" s="16" t="s">
        <v>1815</v>
      </c>
      <c r="R737" s="16" t="s">
        <v>3598</v>
      </c>
      <c r="S737" s="19" t="s">
        <v>6958</v>
      </c>
      <c r="T737" s="20" t="s">
        <v>6966</v>
      </c>
      <c r="U737" s="16" t="s">
        <v>6967</v>
      </c>
      <c r="V737" s="16" t="s">
        <v>6968</v>
      </c>
      <c r="W737" s="30" t="s">
        <v>6969</v>
      </c>
      <c r="X737" s="18" t="s">
        <v>97</v>
      </c>
      <c r="Y737" s="18" t="s">
        <v>98</v>
      </c>
      <c r="Z737" s="18" t="s">
        <v>1815</v>
      </c>
      <c r="AA737" s="16" t="s">
        <v>4525</v>
      </c>
      <c r="AB737" s="16" t="s">
        <v>6659</v>
      </c>
      <c r="AC737" s="16" t="s">
        <v>4527</v>
      </c>
      <c r="AD737" s="123" t="str">
        <f t="shared" si="11"/>
        <v>External Transfer-Other banks</v>
      </c>
      <c r="AE737" s="123" t="str">
        <f>VLOOKUP(Table1[[#This Row],[Name of bank]],'اكواد البنوك'!$A$2:$B$34,2,0)</f>
        <v>ARABEGCXXXX</v>
      </c>
      <c r="AF737" s="21" t="s">
        <v>6970</v>
      </c>
      <c r="AG737" s="15" t="s">
        <v>3069</v>
      </c>
    </row>
    <row r="738" spans="1:33">
      <c r="A738" s="14">
        <v>737</v>
      </c>
      <c r="B738" s="14" t="s">
        <v>6971</v>
      </c>
      <c r="C738" s="14" t="e">
        <v>#N/A</v>
      </c>
      <c r="D738" s="15" t="s">
        <v>1839</v>
      </c>
      <c r="E738" s="16" t="s">
        <v>6972</v>
      </c>
      <c r="F738" s="32" t="s">
        <v>6973</v>
      </c>
      <c r="G738" s="17" t="s">
        <v>6974</v>
      </c>
      <c r="H738" s="18" t="s">
        <v>6975</v>
      </c>
      <c r="I738" s="16" t="s">
        <v>6783</v>
      </c>
      <c r="J738" s="16" t="s">
        <v>173</v>
      </c>
      <c r="K738" s="16" t="s">
        <v>5128</v>
      </c>
      <c r="L738" s="16" t="s">
        <v>136</v>
      </c>
      <c r="M738" s="16" t="s">
        <v>136</v>
      </c>
      <c r="N738" s="16" t="s">
        <v>6976</v>
      </c>
      <c r="O738" s="16" t="s">
        <v>6977</v>
      </c>
      <c r="P738" s="16" t="s">
        <v>6978</v>
      </c>
      <c r="Q738" s="16" t="s">
        <v>1815</v>
      </c>
      <c r="R738" s="16" t="s">
        <v>3598</v>
      </c>
      <c r="S738" s="19" t="s">
        <v>6979</v>
      </c>
      <c r="T738" s="20" t="s">
        <v>176</v>
      </c>
      <c r="U738" s="16" t="s">
        <v>6788</v>
      </c>
      <c r="V738" s="16" t="s">
        <v>6980</v>
      </c>
      <c r="W738" s="30" t="s">
        <v>6981</v>
      </c>
      <c r="X738" s="18" t="s">
        <v>542</v>
      </c>
      <c r="Y738" s="18" t="s">
        <v>98</v>
      </c>
      <c r="Z738" s="18" t="s">
        <v>1815</v>
      </c>
      <c r="AA738" s="16" t="s">
        <v>4525</v>
      </c>
      <c r="AB738" s="16" t="s">
        <v>6659</v>
      </c>
      <c r="AC738" s="16" t="s">
        <v>4527</v>
      </c>
      <c r="AD738" s="123" t="str">
        <f t="shared" si="11"/>
        <v>External Transfer-Other banks</v>
      </c>
      <c r="AE738" s="123" t="str">
        <f>VLOOKUP(Table1[[#This Row],[Name of bank]],'اكواد البنوك'!$A$2:$B$34,2,0)</f>
        <v>BMISEGCXXXX</v>
      </c>
      <c r="AF738" s="21" t="s">
        <v>6791</v>
      </c>
      <c r="AG738" s="15" t="s">
        <v>3069</v>
      </c>
    </row>
    <row r="739" spans="1:33">
      <c r="A739" s="14">
        <v>738</v>
      </c>
      <c r="B739" s="14" t="s">
        <v>6971</v>
      </c>
      <c r="C739" s="14" t="e">
        <v>#N/A</v>
      </c>
      <c r="D739" s="15" t="s">
        <v>1839</v>
      </c>
      <c r="E739" s="16" t="s">
        <v>6982</v>
      </c>
      <c r="F739" s="32" t="s">
        <v>6983</v>
      </c>
      <c r="G739" s="17" t="s">
        <v>6984</v>
      </c>
      <c r="H739" s="18" t="s">
        <v>6985</v>
      </c>
      <c r="I739" s="16" t="s">
        <v>6986</v>
      </c>
      <c r="J739" s="16" t="s">
        <v>86</v>
      </c>
      <c r="K739" s="16" t="s">
        <v>384</v>
      </c>
      <c r="L739" s="16">
        <v>64557571</v>
      </c>
      <c r="M739" s="16" t="s">
        <v>136</v>
      </c>
      <c r="N739" s="16" t="s">
        <v>6987</v>
      </c>
      <c r="O739" s="16" t="s">
        <v>6988</v>
      </c>
      <c r="P739" s="16" t="s">
        <v>6989</v>
      </c>
      <c r="Q739" s="16" t="s">
        <v>1815</v>
      </c>
      <c r="R739" s="16" t="s">
        <v>3598</v>
      </c>
      <c r="S739" s="19" t="s">
        <v>6990</v>
      </c>
      <c r="T739" s="20" t="s">
        <v>40</v>
      </c>
      <c r="U739" s="16" t="s">
        <v>5495</v>
      </c>
      <c r="V739" s="16" t="s">
        <v>6991</v>
      </c>
      <c r="W739" s="30" t="s">
        <v>6992</v>
      </c>
      <c r="X739" s="18" t="s">
        <v>542</v>
      </c>
      <c r="Y739" s="18" t="s">
        <v>98</v>
      </c>
      <c r="Z739" s="18" t="s">
        <v>1815</v>
      </c>
      <c r="AA739" s="16" t="s">
        <v>4525</v>
      </c>
      <c r="AB739" s="16" t="s">
        <v>6659</v>
      </c>
      <c r="AC739" s="16" t="s">
        <v>4527</v>
      </c>
      <c r="AD739" s="123" t="str">
        <f t="shared" si="11"/>
        <v>External Transfer-NBE</v>
      </c>
      <c r="AE739" s="123" t="str">
        <f>VLOOKUP(Table1[[#This Row],[Name of bank]],'اكواد البنوك'!$A$2:$B$34,2,0)</f>
        <v>NBEGEGCXXXX</v>
      </c>
      <c r="AF739" s="21" t="s">
        <v>2552</v>
      </c>
      <c r="AG739" s="15" t="s">
        <v>3069</v>
      </c>
    </row>
    <row r="740" spans="1:33">
      <c r="A740" s="14">
        <v>739</v>
      </c>
      <c r="B740" s="14" t="s">
        <v>6971</v>
      </c>
      <c r="C740" s="14" t="s">
        <v>4950</v>
      </c>
      <c r="D740" s="15" t="s">
        <v>1839</v>
      </c>
      <c r="E740" s="16" t="s">
        <v>6993</v>
      </c>
      <c r="F740" s="32" t="s">
        <v>6994</v>
      </c>
      <c r="G740" s="17" t="s">
        <v>6995</v>
      </c>
      <c r="H740" s="18" t="s">
        <v>6996</v>
      </c>
      <c r="I740" s="16" t="s">
        <v>6997</v>
      </c>
      <c r="J740" s="16" t="s">
        <v>86</v>
      </c>
      <c r="K740" s="16" t="s">
        <v>1206</v>
      </c>
      <c r="L740" s="16" t="s">
        <v>6998</v>
      </c>
      <c r="M740" s="16" t="s">
        <v>136</v>
      </c>
      <c r="N740" s="16" t="s">
        <v>6999</v>
      </c>
      <c r="O740" s="16" t="s">
        <v>7000</v>
      </c>
      <c r="P740" s="16" t="s">
        <v>7001</v>
      </c>
      <c r="Q740" s="16" t="s">
        <v>1815</v>
      </c>
      <c r="R740" s="16" t="s">
        <v>3598</v>
      </c>
      <c r="S740" s="19" t="s">
        <v>7002</v>
      </c>
      <c r="T740" s="20" t="s">
        <v>176</v>
      </c>
      <c r="U740" s="16" t="s">
        <v>7003</v>
      </c>
      <c r="V740" s="16" t="s">
        <v>7004</v>
      </c>
      <c r="W740" s="30" t="s">
        <v>7005</v>
      </c>
      <c r="X740" s="18" t="s">
        <v>542</v>
      </c>
      <c r="Y740" s="18" t="s">
        <v>98</v>
      </c>
      <c r="Z740" s="18" t="s">
        <v>1815</v>
      </c>
      <c r="AA740" s="16" t="s">
        <v>4525</v>
      </c>
      <c r="AB740" s="16" t="s">
        <v>6659</v>
      </c>
      <c r="AC740" s="16" t="s">
        <v>4527</v>
      </c>
      <c r="AD740" s="123" t="str">
        <f t="shared" si="11"/>
        <v>External Transfer-Other banks</v>
      </c>
      <c r="AE740" s="123" t="str">
        <f>VLOOKUP(Table1[[#This Row],[Name of bank]],'اكواد البنوك'!$A$2:$B$34,2,0)</f>
        <v>BMISEGCXXXX</v>
      </c>
      <c r="AF740" s="21" t="s">
        <v>7006</v>
      </c>
      <c r="AG740" s="15" t="s">
        <v>3069</v>
      </c>
    </row>
    <row r="741" spans="1:33">
      <c r="A741" s="14">
        <v>740</v>
      </c>
      <c r="B741" s="14" t="s">
        <v>6971</v>
      </c>
      <c r="C741" s="14" t="e">
        <v>#N/A</v>
      </c>
      <c r="D741" s="15" t="s">
        <v>1839</v>
      </c>
      <c r="E741" s="16" t="s">
        <v>7007</v>
      </c>
      <c r="F741" s="32" t="s">
        <v>7008</v>
      </c>
      <c r="G741" s="17" t="s">
        <v>7009</v>
      </c>
      <c r="H741" s="18" t="s">
        <v>7010</v>
      </c>
      <c r="I741" s="16" t="s">
        <v>3132</v>
      </c>
      <c r="J741" s="16" t="s">
        <v>86</v>
      </c>
      <c r="K741" s="16" t="s">
        <v>257</v>
      </c>
      <c r="L741" s="16" t="s">
        <v>7011</v>
      </c>
      <c r="M741" s="16" t="s">
        <v>136</v>
      </c>
      <c r="N741" s="16" t="s">
        <v>7012</v>
      </c>
      <c r="O741" s="16" t="s">
        <v>7013</v>
      </c>
      <c r="P741" s="16" t="s">
        <v>7014</v>
      </c>
      <c r="Q741" s="16" t="s">
        <v>1815</v>
      </c>
      <c r="R741" s="16" t="s">
        <v>3598</v>
      </c>
      <c r="S741" s="19" t="s">
        <v>7007</v>
      </c>
      <c r="T741" s="20" t="s">
        <v>40</v>
      </c>
      <c r="U741" s="16" t="s">
        <v>7015</v>
      </c>
      <c r="V741" s="16" t="s">
        <v>7016</v>
      </c>
      <c r="W741" s="30" t="s">
        <v>7017</v>
      </c>
      <c r="X741" s="18" t="s">
        <v>542</v>
      </c>
      <c r="Y741" s="18" t="s">
        <v>98</v>
      </c>
      <c r="Z741" s="18" t="s">
        <v>1815</v>
      </c>
      <c r="AA741" s="16" t="s">
        <v>4525</v>
      </c>
      <c r="AB741" s="16" t="s">
        <v>6659</v>
      </c>
      <c r="AC741" s="16" t="s">
        <v>4527</v>
      </c>
      <c r="AD741" s="123" t="str">
        <f t="shared" si="11"/>
        <v>External Transfer-NBE</v>
      </c>
      <c r="AE741" s="123" t="str">
        <f>VLOOKUP(Table1[[#This Row],[Name of bank]],'اكواد البنوك'!$A$2:$B$34,2,0)</f>
        <v>NBEGEGCXXXX</v>
      </c>
      <c r="AF741" s="21" t="s">
        <v>7018</v>
      </c>
      <c r="AG741" s="15" t="s">
        <v>3069</v>
      </c>
    </row>
    <row r="742" spans="1:33">
      <c r="A742" s="14">
        <v>741</v>
      </c>
      <c r="B742" s="14" t="s">
        <v>6971</v>
      </c>
      <c r="C742" s="14" t="s">
        <v>6435</v>
      </c>
      <c r="D742" s="15" t="s">
        <v>1839</v>
      </c>
      <c r="E742" s="16" t="s">
        <v>7019</v>
      </c>
      <c r="F742" s="32" t="s">
        <v>7020</v>
      </c>
      <c r="G742" s="17" t="s">
        <v>7021</v>
      </c>
      <c r="H742" s="18" t="s">
        <v>7022</v>
      </c>
      <c r="I742" s="16" t="s">
        <v>7023</v>
      </c>
      <c r="J742" s="16" t="s">
        <v>173</v>
      </c>
      <c r="K742" s="16" t="s">
        <v>7024</v>
      </c>
      <c r="L742" s="16" t="s">
        <v>234</v>
      </c>
      <c r="M742" s="16" t="s">
        <v>234</v>
      </c>
      <c r="N742" s="16" t="s">
        <v>7025</v>
      </c>
      <c r="O742" s="16" t="s">
        <v>7026</v>
      </c>
      <c r="P742" s="16" t="s">
        <v>7027</v>
      </c>
      <c r="Q742" s="16" t="s">
        <v>1815</v>
      </c>
      <c r="R742" s="16" t="s">
        <v>3598</v>
      </c>
      <c r="S742" s="19" t="s">
        <v>7020</v>
      </c>
      <c r="T742" s="20" t="s">
        <v>40</v>
      </c>
      <c r="U742" s="16" t="s">
        <v>3232</v>
      </c>
      <c r="V742" s="16" t="s">
        <v>7028</v>
      </c>
      <c r="W742" s="30" t="s">
        <v>7029</v>
      </c>
      <c r="X742" s="18" t="s">
        <v>542</v>
      </c>
      <c r="Y742" s="18" t="s">
        <v>98</v>
      </c>
      <c r="Z742" s="18" t="s">
        <v>1815</v>
      </c>
      <c r="AA742" s="16" t="s">
        <v>4525</v>
      </c>
      <c r="AB742" s="16" t="s">
        <v>6659</v>
      </c>
      <c r="AC742" s="16" t="s">
        <v>4527</v>
      </c>
      <c r="AD742" s="123" t="str">
        <f t="shared" si="11"/>
        <v>External Transfer-NBE</v>
      </c>
      <c r="AE742" s="123" t="str">
        <f>VLOOKUP(Table1[[#This Row],[Name of bank]],'اكواد البنوك'!$A$2:$B$34,2,0)</f>
        <v>NBEGEGCXXXX</v>
      </c>
      <c r="AF742" s="21" t="s">
        <v>3235</v>
      </c>
      <c r="AG742" s="15" t="s">
        <v>3069</v>
      </c>
    </row>
    <row r="743" spans="1:33">
      <c r="A743" s="14">
        <v>742</v>
      </c>
      <c r="B743" s="14" t="s">
        <v>7030</v>
      </c>
      <c r="C743" s="14" t="e">
        <v>#N/A</v>
      </c>
      <c r="D743" s="15" t="s">
        <v>1839</v>
      </c>
      <c r="E743" s="16" t="s">
        <v>7031</v>
      </c>
      <c r="F743" s="32" t="s">
        <v>7032</v>
      </c>
      <c r="G743" s="17" t="s">
        <v>7033</v>
      </c>
      <c r="H743" s="18" t="s">
        <v>7034</v>
      </c>
      <c r="I743" s="16" t="s">
        <v>7035</v>
      </c>
      <c r="J743" s="16" t="s">
        <v>86</v>
      </c>
      <c r="K743" s="16" t="s">
        <v>2371</v>
      </c>
      <c r="L743" s="16">
        <v>68246563</v>
      </c>
      <c r="M743" s="16" t="s">
        <v>7036</v>
      </c>
      <c r="N743" s="16" t="s">
        <v>7037</v>
      </c>
      <c r="O743" s="16" t="s">
        <v>7038</v>
      </c>
      <c r="P743" s="16" t="s">
        <v>7039</v>
      </c>
      <c r="Q743" s="16" t="s">
        <v>1815</v>
      </c>
      <c r="R743" s="16" t="s">
        <v>3598</v>
      </c>
      <c r="S743" s="19" t="s">
        <v>7032</v>
      </c>
      <c r="T743" s="20" t="s">
        <v>176</v>
      </c>
      <c r="U743" s="16" t="s">
        <v>7040</v>
      </c>
      <c r="V743" s="16" t="s">
        <v>7041</v>
      </c>
      <c r="W743" s="30" t="s">
        <v>7042</v>
      </c>
      <c r="X743" s="18" t="s">
        <v>542</v>
      </c>
      <c r="Y743" s="18" t="s">
        <v>98</v>
      </c>
      <c r="Z743" s="18" t="s">
        <v>1815</v>
      </c>
      <c r="AA743" s="16" t="s">
        <v>4525</v>
      </c>
      <c r="AB743" s="16" t="s">
        <v>6659</v>
      </c>
      <c r="AC743" s="16" t="s">
        <v>4527</v>
      </c>
      <c r="AD743" s="123" t="str">
        <f t="shared" si="11"/>
        <v>External Transfer-Other banks</v>
      </c>
      <c r="AE743" s="123" t="str">
        <f>VLOOKUP(Table1[[#This Row],[Name of bank]],'اكواد البنوك'!$A$2:$B$34,2,0)</f>
        <v>BMISEGCXXXX</v>
      </c>
      <c r="AF743" s="21" t="s">
        <v>739</v>
      </c>
      <c r="AG743" s="15" t="s">
        <v>3069</v>
      </c>
    </row>
    <row r="744" spans="1:33">
      <c r="A744" s="14">
        <v>743</v>
      </c>
      <c r="B744" s="14" t="s">
        <v>7030</v>
      </c>
      <c r="C744" s="14" t="e">
        <v>#N/A</v>
      </c>
      <c r="D744" s="15" t="s">
        <v>1839</v>
      </c>
      <c r="E744" s="16" t="s">
        <v>7043</v>
      </c>
      <c r="F744" s="32" t="s">
        <v>7044</v>
      </c>
      <c r="G744" s="17" t="s">
        <v>7045</v>
      </c>
      <c r="H744" s="18" t="s">
        <v>7046</v>
      </c>
      <c r="I744" s="16" t="s">
        <v>7047</v>
      </c>
      <c r="J744" s="16" t="s">
        <v>173</v>
      </c>
      <c r="K744" s="16" t="s">
        <v>7048</v>
      </c>
      <c r="L744" s="16" t="s">
        <v>7049</v>
      </c>
      <c r="M744" s="16" t="s">
        <v>234</v>
      </c>
      <c r="N744" s="16" t="s">
        <v>7050</v>
      </c>
      <c r="O744" s="16" t="s">
        <v>7051</v>
      </c>
      <c r="P744" s="16" t="s">
        <v>7052</v>
      </c>
      <c r="Q744" s="16" t="s">
        <v>1815</v>
      </c>
      <c r="R744" s="16" t="s">
        <v>3598</v>
      </c>
      <c r="S744" s="19" t="s">
        <v>7053</v>
      </c>
      <c r="T744" s="20" t="s">
        <v>40</v>
      </c>
      <c r="U744" s="16" t="s">
        <v>7054</v>
      </c>
      <c r="V744" s="16" t="s">
        <v>7055</v>
      </c>
      <c r="W744" s="30" t="s">
        <v>7056</v>
      </c>
      <c r="X744" s="18" t="s">
        <v>542</v>
      </c>
      <c r="Y744" s="18" t="s">
        <v>98</v>
      </c>
      <c r="Z744" s="18" t="s">
        <v>1815</v>
      </c>
      <c r="AA744" s="16" t="s">
        <v>4525</v>
      </c>
      <c r="AB744" s="16" t="s">
        <v>6659</v>
      </c>
      <c r="AC744" s="16" t="s">
        <v>4527</v>
      </c>
      <c r="AD744" s="123" t="str">
        <f t="shared" si="11"/>
        <v>External Transfer-NBE</v>
      </c>
      <c r="AE744" s="123" t="str">
        <f>VLOOKUP(Table1[[#This Row],[Name of bank]],'اكواد البنوك'!$A$2:$B$34,2,0)</f>
        <v>NBEGEGCXXXX</v>
      </c>
      <c r="AF744" s="21" t="s">
        <v>3345</v>
      </c>
      <c r="AG744" s="15" t="s">
        <v>3069</v>
      </c>
    </row>
    <row r="745" spans="1:33">
      <c r="A745" s="14">
        <v>744</v>
      </c>
      <c r="B745" s="14" t="s">
        <v>7057</v>
      </c>
      <c r="C745" s="14" t="s">
        <v>5796</v>
      </c>
      <c r="D745" s="15" t="s">
        <v>1839</v>
      </c>
      <c r="E745" s="16" t="s">
        <v>7058</v>
      </c>
      <c r="F745" s="32" t="s">
        <v>7059</v>
      </c>
      <c r="G745" s="17" t="s">
        <v>7060</v>
      </c>
      <c r="H745" s="18" t="s">
        <v>7061</v>
      </c>
      <c r="I745" s="16" t="s">
        <v>2882</v>
      </c>
      <c r="J745" s="16" t="s">
        <v>86</v>
      </c>
      <c r="K745" s="16" t="s">
        <v>7062</v>
      </c>
      <c r="L745" s="16" t="s">
        <v>7063</v>
      </c>
      <c r="M745" s="16" t="s">
        <v>136</v>
      </c>
      <c r="N745" s="16" t="s">
        <v>7064</v>
      </c>
      <c r="O745" s="16" t="s">
        <v>7065</v>
      </c>
      <c r="P745" s="16" t="s">
        <v>7066</v>
      </c>
      <c r="Q745" s="16" t="s">
        <v>1815</v>
      </c>
      <c r="R745" s="16" t="s">
        <v>3598</v>
      </c>
      <c r="S745" s="19" t="s">
        <v>7067</v>
      </c>
      <c r="T745" s="20" t="s">
        <v>40</v>
      </c>
      <c r="U745" s="16" t="s">
        <v>7068</v>
      </c>
      <c r="V745" s="16" t="s">
        <v>7069</v>
      </c>
      <c r="W745" s="30" t="s">
        <v>7070</v>
      </c>
      <c r="X745" s="18" t="s">
        <v>542</v>
      </c>
      <c r="Y745" s="18" t="s">
        <v>98</v>
      </c>
      <c r="Z745" s="18" t="s">
        <v>1815</v>
      </c>
      <c r="AA745" s="16" t="s">
        <v>4525</v>
      </c>
      <c r="AB745" s="16" t="s">
        <v>6659</v>
      </c>
      <c r="AC745" s="16" t="s">
        <v>4527</v>
      </c>
      <c r="AD745" s="123" t="str">
        <f t="shared" si="11"/>
        <v>External Transfer-NBE</v>
      </c>
      <c r="AE745" s="123" t="str">
        <f>VLOOKUP(Table1[[#This Row],[Name of bank]],'اكواد البنوك'!$A$2:$B$34,2,0)</f>
        <v>NBEGEGCXXXX</v>
      </c>
      <c r="AF745" s="21" t="s">
        <v>5463</v>
      </c>
      <c r="AG745" s="15" t="s">
        <v>3069</v>
      </c>
    </row>
    <row r="746" spans="1:33">
      <c r="A746" s="14">
        <v>745</v>
      </c>
      <c r="B746" s="14" t="s">
        <v>7057</v>
      </c>
      <c r="C746" s="14" t="s">
        <v>5655</v>
      </c>
      <c r="D746" s="15" t="s">
        <v>1839</v>
      </c>
      <c r="E746" s="16" t="s">
        <v>7071</v>
      </c>
      <c r="F746" s="32" t="s">
        <v>7072</v>
      </c>
      <c r="G746" s="17" t="s">
        <v>7073</v>
      </c>
      <c r="H746" s="18" t="s">
        <v>7074</v>
      </c>
      <c r="I746" s="16" t="s">
        <v>5253</v>
      </c>
      <c r="J746" s="16" t="s">
        <v>86</v>
      </c>
      <c r="K746" s="16" t="s">
        <v>3999</v>
      </c>
      <c r="L746" s="16" t="s">
        <v>7075</v>
      </c>
      <c r="M746" s="16">
        <v>286616947</v>
      </c>
      <c r="N746" s="16" t="s">
        <v>7076</v>
      </c>
      <c r="O746" s="16" t="s">
        <v>7077</v>
      </c>
      <c r="P746" s="16" t="s">
        <v>7078</v>
      </c>
      <c r="Q746" s="16" t="s">
        <v>1815</v>
      </c>
      <c r="R746" s="16" t="s">
        <v>3598</v>
      </c>
      <c r="S746" s="19" t="s">
        <v>7079</v>
      </c>
      <c r="T746" s="20" t="s">
        <v>93</v>
      </c>
      <c r="U746" s="16" t="s">
        <v>2529</v>
      </c>
      <c r="V746" s="16" t="s">
        <v>7080</v>
      </c>
      <c r="W746" s="30" t="s">
        <v>7081</v>
      </c>
      <c r="X746" s="18" t="s">
        <v>542</v>
      </c>
      <c r="Y746" s="18" t="s">
        <v>98</v>
      </c>
      <c r="Z746" s="18" t="s">
        <v>1815</v>
      </c>
      <c r="AA746" s="16" t="s">
        <v>4525</v>
      </c>
      <c r="AB746" s="16" t="s">
        <v>6659</v>
      </c>
      <c r="AC746" s="16" t="s">
        <v>4527</v>
      </c>
      <c r="AD746" s="123" t="str">
        <f t="shared" si="11"/>
        <v>External Transfer-Other banks</v>
      </c>
      <c r="AE746" s="123" t="str">
        <f>VLOOKUP(Table1[[#This Row],[Name of bank]],'اكواد البنوك'!$A$2:$B$34,2,0)</f>
        <v>QNBAEGCXXXX</v>
      </c>
      <c r="AF746" s="21" t="s">
        <v>2532</v>
      </c>
      <c r="AG746" s="15" t="s">
        <v>3069</v>
      </c>
    </row>
    <row r="747" spans="1:33">
      <c r="A747" s="14">
        <v>746</v>
      </c>
      <c r="B747" s="14" t="s">
        <v>7082</v>
      </c>
      <c r="C747" s="14" t="e">
        <v>#N/A</v>
      </c>
      <c r="D747" s="15" t="s">
        <v>1839</v>
      </c>
      <c r="E747" s="16" t="s">
        <v>7083</v>
      </c>
      <c r="F747" s="32" t="s">
        <v>7084</v>
      </c>
      <c r="G747" s="17" t="s">
        <v>7085</v>
      </c>
      <c r="H747" s="18" t="s">
        <v>7086</v>
      </c>
      <c r="I747" s="16" t="s">
        <v>7087</v>
      </c>
      <c r="J747" s="16" t="s">
        <v>173</v>
      </c>
      <c r="K747" s="16" t="s">
        <v>7088</v>
      </c>
      <c r="L747" s="16" t="s">
        <v>5076</v>
      </c>
      <c r="M747" s="16" t="s">
        <v>5076</v>
      </c>
      <c r="N747" s="16">
        <v>30012200000000</v>
      </c>
      <c r="O747" s="16" t="s">
        <v>7089</v>
      </c>
      <c r="P747" s="16" t="s">
        <v>7090</v>
      </c>
      <c r="Q747" s="16" t="s">
        <v>1815</v>
      </c>
      <c r="R747" s="16" t="s">
        <v>3598</v>
      </c>
      <c r="S747" s="19" t="s">
        <v>7091</v>
      </c>
      <c r="T747" s="20" t="s">
        <v>307</v>
      </c>
      <c r="U747" s="16" t="s">
        <v>4845</v>
      </c>
      <c r="V747" s="16" t="s">
        <v>9863</v>
      </c>
      <c r="W747" s="113" t="s">
        <v>7092</v>
      </c>
      <c r="X747" s="18" t="s">
        <v>542</v>
      </c>
      <c r="Y747" s="18" t="s">
        <v>98</v>
      </c>
      <c r="Z747" s="18" t="s">
        <v>1815</v>
      </c>
      <c r="AA747" s="16" t="s">
        <v>4525</v>
      </c>
      <c r="AB747" s="16" t="s">
        <v>6659</v>
      </c>
      <c r="AC747" s="16" t="s">
        <v>4527</v>
      </c>
      <c r="AD747" s="123" t="str">
        <f t="shared" si="11"/>
        <v>External Transfer-Other banks</v>
      </c>
      <c r="AE747" s="123" t="str">
        <f>VLOOKUP(Table1[[#This Row],[Name of bank]],'اكواد البنوك'!$A$2:$B$34,2,0)</f>
        <v>CIBEEGCXXXX</v>
      </c>
      <c r="AF747" s="114" t="s">
        <v>10210</v>
      </c>
      <c r="AG747" s="15" t="s">
        <v>10381</v>
      </c>
    </row>
    <row r="748" spans="1:33">
      <c r="A748" s="14">
        <v>747</v>
      </c>
      <c r="B748" s="14" t="s">
        <v>7082</v>
      </c>
      <c r="C748" s="14" t="e">
        <v>#N/A</v>
      </c>
      <c r="D748" s="15" t="s">
        <v>1839</v>
      </c>
      <c r="E748" s="16" t="s">
        <v>7093</v>
      </c>
      <c r="F748" s="32" t="s">
        <v>7094</v>
      </c>
      <c r="G748" s="17" t="s">
        <v>7095</v>
      </c>
      <c r="H748" s="18" t="s">
        <v>7096</v>
      </c>
      <c r="I748" s="16" t="s">
        <v>7097</v>
      </c>
      <c r="J748" s="16" t="s">
        <v>86</v>
      </c>
      <c r="K748" s="16" t="s">
        <v>7097</v>
      </c>
      <c r="L748" s="16" t="s">
        <v>7098</v>
      </c>
      <c r="M748" s="16" t="s">
        <v>7099</v>
      </c>
      <c r="N748" s="16">
        <v>28806200000000</v>
      </c>
      <c r="O748" s="16" t="s">
        <v>7100</v>
      </c>
      <c r="P748" s="16" t="s">
        <v>7101</v>
      </c>
      <c r="Q748" s="16" t="s">
        <v>1815</v>
      </c>
      <c r="R748" s="16" t="s">
        <v>1882</v>
      </c>
      <c r="S748" s="19" t="s">
        <v>7102</v>
      </c>
      <c r="T748" s="20" t="s">
        <v>40</v>
      </c>
      <c r="U748" s="16" t="s">
        <v>9864</v>
      </c>
      <c r="V748" s="16" t="s">
        <v>9865</v>
      </c>
      <c r="W748" s="30" t="s">
        <v>7103</v>
      </c>
      <c r="X748" s="18" t="s">
        <v>542</v>
      </c>
      <c r="Y748" s="18" t="s">
        <v>98</v>
      </c>
      <c r="Z748" s="18" t="s">
        <v>1815</v>
      </c>
      <c r="AA748" s="16" t="s">
        <v>4525</v>
      </c>
      <c r="AB748" s="16" t="s">
        <v>6659</v>
      </c>
      <c r="AC748" s="16" t="s">
        <v>4527</v>
      </c>
      <c r="AD748" s="123" t="str">
        <f t="shared" si="11"/>
        <v>External Transfer-NBE</v>
      </c>
      <c r="AE748" s="123" t="str">
        <f>VLOOKUP(Table1[[#This Row],[Name of bank]],'اكواد البنوك'!$A$2:$B$34,2,0)</f>
        <v>NBEGEGCXXXX</v>
      </c>
      <c r="AF748" s="21" t="s">
        <v>4800</v>
      </c>
      <c r="AG748" s="15" t="s">
        <v>10381</v>
      </c>
    </row>
    <row r="749" spans="1:33">
      <c r="A749" s="14">
        <v>748</v>
      </c>
      <c r="B749" s="14" t="s">
        <v>206</v>
      </c>
      <c r="C749" s="14" t="e">
        <v>#N/A</v>
      </c>
      <c r="D749" s="15" t="s">
        <v>1839</v>
      </c>
      <c r="E749" s="16" t="s">
        <v>7104</v>
      </c>
      <c r="F749" s="32" t="s">
        <v>7105</v>
      </c>
      <c r="G749" s="17" t="s">
        <v>7106</v>
      </c>
      <c r="H749" s="18" t="s">
        <v>7107</v>
      </c>
      <c r="I749" s="16" t="s">
        <v>7108</v>
      </c>
      <c r="J749" s="16" t="s">
        <v>173</v>
      </c>
      <c r="K749" s="16" t="s">
        <v>7109</v>
      </c>
      <c r="L749" s="16">
        <v>57067868</v>
      </c>
      <c r="M749" s="16" t="s">
        <v>977</v>
      </c>
      <c r="N749" s="16" t="s">
        <v>7110</v>
      </c>
      <c r="O749" s="16" t="s">
        <v>7111</v>
      </c>
      <c r="P749" s="16" t="s">
        <v>7112</v>
      </c>
      <c r="Q749" s="16" t="s">
        <v>1815</v>
      </c>
      <c r="R749" s="16" t="s">
        <v>3598</v>
      </c>
      <c r="S749" s="19" t="s">
        <v>7113</v>
      </c>
      <c r="T749" s="20" t="s">
        <v>40</v>
      </c>
      <c r="U749" s="16" t="s">
        <v>7114</v>
      </c>
      <c r="V749" s="16" t="s">
        <v>7115</v>
      </c>
      <c r="W749" s="30" t="s">
        <v>7116</v>
      </c>
      <c r="X749" s="18" t="s">
        <v>2096</v>
      </c>
      <c r="Y749" s="18" t="s">
        <v>98</v>
      </c>
      <c r="Z749" s="18" t="s">
        <v>1815</v>
      </c>
      <c r="AA749" s="16" t="s">
        <v>4525</v>
      </c>
      <c r="AB749" s="16" t="s">
        <v>6659</v>
      </c>
      <c r="AC749" s="16" t="s">
        <v>4527</v>
      </c>
      <c r="AD749" s="123" t="str">
        <f t="shared" si="11"/>
        <v>External Transfer-NBE</v>
      </c>
      <c r="AE749" s="123" t="str">
        <f>VLOOKUP(Table1[[#This Row],[Name of bank]],'اكواد البنوك'!$A$2:$B$34,2,0)</f>
        <v>NBEGEGCXXXX</v>
      </c>
      <c r="AF749" s="21" t="s">
        <v>346</v>
      </c>
      <c r="AG749" s="15" t="s">
        <v>3069</v>
      </c>
    </row>
    <row r="750" spans="1:33">
      <c r="A750" s="14">
        <v>749</v>
      </c>
      <c r="B750" s="14" t="s">
        <v>7117</v>
      </c>
      <c r="C750" s="14" t="s">
        <v>5834</v>
      </c>
      <c r="D750" s="15" t="s">
        <v>1839</v>
      </c>
      <c r="E750" s="16" t="s">
        <v>7118</v>
      </c>
      <c r="F750" s="32" t="s">
        <v>7119</v>
      </c>
      <c r="G750" s="17" t="s">
        <v>7120</v>
      </c>
      <c r="H750" s="18" t="s">
        <v>7121</v>
      </c>
      <c r="I750" s="16" t="s">
        <v>7122</v>
      </c>
      <c r="J750" s="16" t="s">
        <v>2035</v>
      </c>
      <c r="K750" s="16" t="s">
        <v>7123</v>
      </c>
      <c r="L750" s="16" t="s">
        <v>7124</v>
      </c>
      <c r="M750" s="16" t="s">
        <v>234</v>
      </c>
      <c r="N750" s="16" t="s">
        <v>7125</v>
      </c>
      <c r="O750" s="16" t="s">
        <v>7126</v>
      </c>
      <c r="P750" s="16" t="s">
        <v>7127</v>
      </c>
      <c r="Q750" s="16" t="s">
        <v>1815</v>
      </c>
      <c r="R750" s="16" t="s">
        <v>3598</v>
      </c>
      <c r="S750" s="19" t="s">
        <v>7128</v>
      </c>
      <c r="T750" s="20" t="s">
        <v>274</v>
      </c>
      <c r="U750" s="16" t="s">
        <v>7129</v>
      </c>
      <c r="V750" s="16" t="s">
        <v>7130</v>
      </c>
      <c r="W750" s="30" t="s">
        <v>7131</v>
      </c>
      <c r="X750" s="18" t="s">
        <v>542</v>
      </c>
      <c r="Y750" s="18" t="s">
        <v>98</v>
      </c>
      <c r="Z750" s="18" t="s">
        <v>1815</v>
      </c>
      <c r="AA750" s="16" t="s">
        <v>4525</v>
      </c>
      <c r="AB750" s="16" t="s">
        <v>6659</v>
      </c>
      <c r="AC750" s="16" t="s">
        <v>4527</v>
      </c>
      <c r="AD750" s="123" t="str">
        <f t="shared" si="11"/>
        <v>External Transfer-Other banks</v>
      </c>
      <c r="AE750" s="123" t="str">
        <f>VLOOKUP(Table1[[#This Row],[Name of bank]],'اكواد البنوك'!$A$2:$B$34,2,0)</f>
        <v>BCAIEGCXXXX</v>
      </c>
      <c r="AF750" s="21" t="s">
        <v>7132</v>
      </c>
      <c r="AG750" s="15" t="s">
        <v>3069</v>
      </c>
    </row>
    <row r="751" spans="1:33">
      <c r="A751" s="14">
        <v>750</v>
      </c>
      <c r="B751" s="14" t="s">
        <v>7117</v>
      </c>
      <c r="C751" s="14" t="e">
        <v>#N/A</v>
      </c>
      <c r="D751" s="15" t="s">
        <v>1839</v>
      </c>
      <c r="E751" s="16" t="s">
        <v>7133</v>
      </c>
      <c r="F751" s="32" t="s">
        <v>7134</v>
      </c>
      <c r="G751" s="17" t="s">
        <v>7135</v>
      </c>
      <c r="H751" s="18" t="s">
        <v>7136</v>
      </c>
      <c r="I751" s="16" t="s">
        <v>7137</v>
      </c>
      <c r="J751" s="16" t="s">
        <v>86</v>
      </c>
      <c r="K751" s="16" t="s">
        <v>2579</v>
      </c>
      <c r="L751" s="16">
        <v>18862783</v>
      </c>
      <c r="M751" s="16" t="s">
        <v>234</v>
      </c>
      <c r="N751" s="16" t="s">
        <v>7138</v>
      </c>
      <c r="O751" s="16" t="s">
        <v>7139</v>
      </c>
      <c r="P751" s="16" t="s">
        <v>7140</v>
      </c>
      <c r="Q751" s="16" t="s">
        <v>1815</v>
      </c>
      <c r="R751" s="16" t="s">
        <v>3598</v>
      </c>
      <c r="S751" s="19" t="s">
        <v>7141</v>
      </c>
      <c r="T751" s="20" t="s">
        <v>1914</v>
      </c>
      <c r="U751" s="16" t="s">
        <v>7142</v>
      </c>
      <c r="V751" s="16" t="s">
        <v>7143</v>
      </c>
      <c r="W751" s="30" t="s">
        <v>7144</v>
      </c>
      <c r="X751" s="18" t="s">
        <v>542</v>
      </c>
      <c r="Y751" s="18" t="s">
        <v>98</v>
      </c>
      <c r="Z751" s="18" t="s">
        <v>1815</v>
      </c>
      <c r="AA751" s="16" t="s">
        <v>4525</v>
      </c>
      <c r="AB751" s="16" t="s">
        <v>6659</v>
      </c>
      <c r="AC751" s="16" t="s">
        <v>4527</v>
      </c>
      <c r="AD751" s="123" t="str">
        <f t="shared" si="11"/>
        <v>External Transfer-Other banks</v>
      </c>
      <c r="AE751" s="123" t="str">
        <f>VLOOKUP(Table1[[#This Row],[Name of bank]],'اكواد البنوك'!$A$2:$B$34,2,0)</f>
        <v>MSHQEGCAXXX</v>
      </c>
      <c r="AF751" s="21" t="s">
        <v>1022</v>
      </c>
      <c r="AG751" s="15" t="s">
        <v>3069</v>
      </c>
    </row>
    <row r="752" spans="1:33">
      <c r="A752" s="14">
        <v>751</v>
      </c>
      <c r="B752" s="14" t="s">
        <v>7117</v>
      </c>
      <c r="C752" s="14" t="s">
        <v>5476</v>
      </c>
      <c r="D752" s="15" t="s">
        <v>1839</v>
      </c>
      <c r="E752" s="16" t="s">
        <v>7145</v>
      </c>
      <c r="F752" s="32" t="s">
        <v>10121</v>
      </c>
      <c r="G752" s="17" t="s">
        <v>7146</v>
      </c>
      <c r="H752" s="18" t="s">
        <v>7147</v>
      </c>
      <c r="I752" s="16" t="s">
        <v>7148</v>
      </c>
      <c r="J752" s="16" t="s">
        <v>86</v>
      </c>
      <c r="K752" s="16" t="s">
        <v>7149</v>
      </c>
      <c r="L752" s="16" t="s">
        <v>7150</v>
      </c>
      <c r="M752" s="16" t="s">
        <v>234</v>
      </c>
      <c r="N752" s="16" t="s">
        <v>7151</v>
      </c>
      <c r="O752" s="16" t="s">
        <v>7152</v>
      </c>
      <c r="P752" s="16" t="s">
        <v>7153</v>
      </c>
      <c r="Q752" s="16" t="s">
        <v>1815</v>
      </c>
      <c r="R752" s="16" t="s">
        <v>3598</v>
      </c>
      <c r="S752" s="19" t="s">
        <v>7154</v>
      </c>
      <c r="T752" s="20" t="s">
        <v>40</v>
      </c>
      <c r="U752" s="16" t="s">
        <v>2092</v>
      </c>
      <c r="V752" s="16" t="s">
        <v>7155</v>
      </c>
      <c r="W752" s="30" t="s">
        <v>7156</v>
      </c>
      <c r="X752" s="18" t="s">
        <v>542</v>
      </c>
      <c r="Y752" s="18" t="s">
        <v>98</v>
      </c>
      <c r="Z752" s="18" t="s">
        <v>1815</v>
      </c>
      <c r="AA752" s="16" t="s">
        <v>4525</v>
      </c>
      <c r="AB752" s="16" t="s">
        <v>6659</v>
      </c>
      <c r="AC752" s="16" t="s">
        <v>4527</v>
      </c>
      <c r="AD752" s="123" t="str">
        <f t="shared" si="11"/>
        <v>External Transfer-NBE</v>
      </c>
      <c r="AE752" s="123" t="str">
        <f>VLOOKUP(Table1[[#This Row],[Name of bank]],'اكواد البنوك'!$A$2:$B$34,2,0)</f>
        <v>NBEGEGCXXXX</v>
      </c>
      <c r="AF752" s="21" t="s">
        <v>4269</v>
      </c>
      <c r="AG752" s="15" t="s">
        <v>3069</v>
      </c>
    </row>
    <row r="753" spans="1:33">
      <c r="A753" s="14">
        <v>752</v>
      </c>
      <c r="B753" s="14" t="s">
        <v>7117</v>
      </c>
      <c r="C753" s="14" t="s">
        <v>6498</v>
      </c>
      <c r="D753" s="15" t="s">
        <v>1839</v>
      </c>
      <c r="E753" s="16" t="s">
        <v>7157</v>
      </c>
      <c r="F753" s="32" t="s">
        <v>7158</v>
      </c>
      <c r="G753" s="17" t="s">
        <v>7159</v>
      </c>
      <c r="H753" s="18" t="s">
        <v>7160</v>
      </c>
      <c r="I753" s="16" t="s">
        <v>4850</v>
      </c>
      <c r="J753" s="16" t="s">
        <v>86</v>
      </c>
      <c r="K753" s="16" t="s">
        <v>269</v>
      </c>
      <c r="L753" s="16" t="s">
        <v>7161</v>
      </c>
      <c r="M753" s="16" t="s">
        <v>7162</v>
      </c>
      <c r="N753" s="16" t="s">
        <v>7163</v>
      </c>
      <c r="O753" s="16" t="s">
        <v>7164</v>
      </c>
      <c r="P753" s="16" t="s">
        <v>7165</v>
      </c>
      <c r="Q753" s="16" t="s">
        <v>1815</v>
      </c>
      <c r="R753" s="16" t="s">
        <v>3598</v>
      </c>
      <c r="S753" s="19" t="s">
        <v>7157</v>
      </c>
      <c r="T753" s="20" t="s">
        <v>10005</v>
      </c>
      <c r="U753" s="16" t="s">
        <v>5434</v>
      </c>
      <c r="V753" s="16" t="s">
        <v>7166</v>
      </c>
      <c r="W753" s="30" t="s">
        <v>7167</v>
      </c>
      <c r="X753" s="18" t="s">
        <v>542</v>
      </c>
      <c r="Y753" s="18" t="s">
        <v>98</v>
      </c>
      <c r="Z753" s="18" t="s">
        <v>1815</v>
      </c>
      <c r="AA753" s="16" t="s">
        <v>4525</v>
      </c>
      <c r="AB753" s="16" t="s">
        <v>6659</v>
      </c>
      <c r="AC753" s="16" t="s">
        <v>4527</v>
      </c>
      <c r="AD753" s="123" t="str">
        <f t="shared" si="11"/>
        <v>External Transfer-Other banks</v>
      </c>
      <c r="AE753" s="123" t="str">
        <f>VLOOKUP(Table1[[#This Row],[Name of bank]],'اكواد البنوك'!$A$2:$B$34,2,0)</f>
        <v>DEIBEGCXXXX</v>
      </c>
      <c r="AF753" s="21" t="s">
        <v>4762</v>
      </c>
      <c r="AG753" s="15" t="s">
        <v>3069</v>
      </c>
    </row>
    <row r="754" spans="1:33">
      <c r="A754" s="14">
        <v>753</v>
      </c>
      <c r="B754" s="14" t="s">
        <v>7168</v>
      </c>
      <c r="C754" s="14" t="s">
        <v>6184</v>
      </c>
      <c r="D754" s="15" t="s">
        <v>1839</v>
      </c>
      <c r="E754" s="16" t="s">
        <v>7169</v>
      </c>
      <c r="F754" s="32" t="s">
        <v>7170</v>
      </c>
      <c r="G754" s="17" t="s">
        <v>7171</v>
      </c>
      <c r="H754" s="18" t="s">
        <v>7172</v>
      </c>
      <c r="I754" s="16" t="s">
        <v>2882</v>
      </c>
      <c r="J754" s="16" t="s">
        <v>86</v>
      </c>
      <c r="K754" s="16" t="s">
        <v>553</v>
      </c>
      <c r="L754" s="16" t="s">
        <v>7173</v>
      </c>
      <c r="M754" s="16" t="s">
        <v>136</v>
      </c>
      <c r="N754" s="16" t="s">
        <v>7174</v>
      </c>
      <c r="O754" s="16" t="s">
        <v>7175</v>
      </c>
      <c r="P754" s="16" t="s">
        <v>7176</v>
      </c>
      <c r="Q754" s="16" t="s">
        <v>1815</v>
      </c>
      <c r="R754" s="16" t="s">
        <v>3598</v>
      </c>
      <c r="S754" s="19" t="s">
        <v>7177</v>
      </c>
      <c r="T754" s="20" t="s">
        <v>40</v>
      </c>
      <c r="U754" s="16" t="s">
        <v>7178</v>
      </c>
      <c r="V754" s="16" t="s">
        <v>7179</v>
      </c>
      <c r="W754" s="30" t="s">
        <v>7180</v>
      </c>
      <c r="X754" s="18" t="s">
        <v>542</v>
      </c>
      <c r="Y754" s="18" t="s">
        <v>98</v>
      </c>
      <c r="Z754" s="18" t="s">
        <v>1815</v>
      </c>
      <c r="AA754" s="16" t="s">
        <v>4525</v>
      </c>
      <c r="AB754" s="16" t="s">
        <v>6659</v>
      </c>
      <c r="AC754" s="16" t="s">
        <v>4527</v>
      </c>
      <c r="AD754" s="123" t="str">
        <f t="shared" si="11"/>
        <v>External Transfer-NBE</v>
      </c>
      <c r="AE754" s="123" t="str">
        <f>VLOOKUP(Table1[[#This Row],[Name of bank]],'اكواد البنوك'!$A$2:$B$34,2,0)</f>
        <v>NBEGEGCXXXX</v>
      </c>
      <c r="AF754" s="21" t="s">
        <v>3000</v>
      </c>
      <c r="AG754" s="15" t="s">
        <v>3069</v>
      </c>
    </row>
    <row r="755" spans="1:33">
      <c r="A755" s="14">
        <v>754</v>
      </c>
      <c r="B755" s="14" t="s">
        <v>7168</v>
      </c>
      <c r="C755" s="14" t="e">
        <v>#N/A</v>
      </c>
      <c r="D755" s="15" t="s">
        <v>1839</v>
      </c>
      <c r="E755" s="16" t="s">
        <v>7181</v>
      </c>
      <c r="F755" s="32" t="s">
        <v>7182</v>
      </c>
      <c r="G755" s="17" t="s">
        <v>7183</v>
      </c>
      <c r="H755" s="18" t="s">
        <v>7184</v>
      </c>
      <c r="I755" s="16" t="s">
        <v>7185</v>
      </c>
      <c r="J755" s="16" t="s">
        <v>173</v>
      </c>
      <c r="K755" s="16" t="s">
        <v>7186</v>
      </c>
      <c r="L755" s="16" t="s">
        <v>7187</v>
      </c>
      <c r="M755" s="16" t="s">
        <v>136</v>
      </c>
      <c r="N755" s="16" t="s">
        <v>7188</v>
      </c>
      <c r="O755" s="16" t="s">
        <v>7189</v>
      </c>
      <c r="P755" s="16" t="s">
        <v>7190</v>
      </c>
      <c r="Q755" s="16" t="s">
        <v>1815</v>
      </c>
      <c r="R755" s="16" t="s">
        <v>3598</v>
      </c>
      <c r="S755" s="19" t="s">
        <v>7191</v>
      </c>
      <c r="T755" s="20" t="s">
        <v>176</v>
      </c>
      <c r="U755" s="16" t="s">
        <v>7192</v>
      </c>
      <c r="V755" s="16" t="s">
        <v>7193</v>
      </c>
      <c r="W755" s="30" t="s">
        <v>7194</v>
      </c>
      <c r="X755" s="18" t="s">
        <v>542</v>
      </c>
      <c r="Y755" s="18" t="s">
        <v>98</v>
      </c>
      <c r="Z755" s="18" t="s">
        <v>1815</v>
      </c>
      <c r="AA755" s="16" t="s">
        <v>4525</v>
      </c>
      <c r="AB755" s="16" t="s">
        <v>6659</v>
      </c>
      <c r="AC755" s="16" t="s">
        <v>4527</v>
      </c>
      <c r="AD755" s="123" t="str">
        <f t="shared" si="11"/>
        <v>External Transfer-Other banks</v>
      </c>
      <c r="AE755" s="123" t="str">
        <f>VLOOKUP(Table1[[#This Row],[Name of bank]],'اكواد البنوك'!$A$2:$B$34,2,0)</f>
        <v>BMISEGCXXXX</v>
      </c>
      <c r="AF755" s="21" t="s">
        <v>7195</v>
      </c>
      <c r="AG755" s="15" t="s">
        <v>3069</v>
      </c>
    </row>
    <row r="756" spans="1:33">
      <c r="A756" s="14">
        <v>755</v>
      </c>
      <c r="B756" s="14" t="s">
        <v>7168</v>
      </c>
      <c r="C756" s="14" t="s">
        <v>6523</v>
      </c>
      <c r="D756" s="15" t="s">
        <v>1839</v>
      </c>
      <c r="E756" s="16" t="s">
        <v>7196</v>
      </c>
      <c r="F756" s="32" t="s">
        <v>7197</v>
      </c>
      <c r="G756" s="17" t="s">
        <v>7198</v>
      </c>
      <c r="H756" s="18" t="s">
        <v>7199</v>
      </c>
      <c r="I756" s="16" t="s">
        <v>7200</v>
      </c>
      <c r="J756" s="16" t="s">
        <v>86</v>
      </c>
      <c r="K756" s="16" t="s">
        <v>7201</v>
      </c>
      <c r="L756" s="16" t="s">
        <v>7202</v>
      </c>
      <c r="M756" s="16" t="s">
        <v>5601</v>
      </c>
      <c r="N756" s="16" t="s">
        <v>7203</v>
      </c>
      <c r="O756" s="16" t="s">
        <v>7204</v>
      </c>
      <c r="P756" s="16" t="s">
        <v>7205</v>
      </c>
      <c r="Q756" s="16" t="s">
        <v>1815</v>
      </c>
      <c r="R756" s="16" t="s">
        <v>1882</v>
      </c>
      <c r="S756" s="19" t="s">
        <v>7206</v>
      </c>
      <c r="T756" s="20" t="s">
        <v>307</v>
      </c>
      <c r="U756" s="16" t="s">
        <v>7207</v>
      </c>
      <c r="V756" s="16" t="s">
        <v>7208</v>
      </c>
      <c r="W756" s="30" t="s">
        <v>7209</v>
      </c>
      <c r="X756" s="18" t="s">
        <v>542</v>
      </c>
      <c r="Y756" s="18" t="s">
        <v>98</v>
      </c>
      <c r="Z756" s="18" t="s">
        <v>1815</v>
      </c>
      <c r="AA756" s="16" t="s">
        <v>4525</v>
      </c>
      <c r="AB756" s="16" t="s">
        <v>6659</v>
      </c>
      <c r="AC756" s="16" t="s">
        <v>4527</v>
      </c>
      <c r="AD756" s="123" t="str">
        <f t="shared" si="11"/>
        <v>External Transfer-Other banks</v>
      </c>
      <c r="AE756" s="123" t="str">
        <f>VLOOKUP(Table1[[#This Row],[Name of bank]],'اكواد البنوك'!$A$2:$B$34,2,0)</f>
        <v>CIBEEGCXXXX</v>
      </c>
      <c r="AF756" s="21" t="s">
        <v>2610</v>
      </c>
      <c r="AG756" s="15" t="s">
        <v>3069</v>
      </c>
    </row>
    <row r="757" spans="1:33">
      <c r="A757" s="14">
        <v>756</v>
      </c>
      <c r="B757" s="14"/>
      <c r="C757" s="14">
        <v>0</v>
      </c>
      <c r="D757" s="15" t="s">
        <v>1703</v>
      </c>
      <c r="E757" s="16" t="s">
        <v>7210</v>
      </c>
      <c r="F757" s="32" t="s">
        <v>10089</v>
      </c>
      <c r="G757" s="17"/>
      <c r="H757" s="18"/>
      <c r="I757" s="16" t="s">
        <v>1703</v>
      </c>
      <c r="J757" s="16"/>
      <c r="K757" s="16"/>
      <c r="L757" s="16"/>
      <c r="M757" s="16"/>
      <c r="N757" s="16"/>
      <c r="O757" s="16"/>
      <c r="P757" s="16"/>
      <c r="Q757" s="16"/>
      <c r="R757" s="16"/>
      <c r="S757" s="19"/>
      <c r="T757" s="20" t="s">
        <v>40</v>
      </c>
      <c r="U757" s="16"/>
      <c r="V757" s="16"/>
      <c r="W757" s="30">
        <v>50</v>
      </c>
      <c r="X757" s="18" t="s">
        <v>1434</v>
      </c>
      <c r="Y757" s="18" t="s">
        <v>43</v>
      </c>
      <c r="Z757" s="18" t="s">
        <v>1815</v>
      </c>
      <c r="AA757" s="16" t="s">
        <v>4525</v>
      </c>
      <c r="AB757" s="16" t="s">
        <v>7211</v>
      </c>
      <c r="AC757" s="16" t="s">
        <v>4527</v>
      </c>
      <c r="AD757" s="123" t="str">
        <f t="shared" si="11"/>
        <v>Internal Transfer</v>
      </c>
      <c r="AE757" s="123" t="str">
        <f>VLOOKUP(Table1[[#This Row],[Name of bank]],'اكواد البنوك'!$A$2:$B$34,2,0)</f>
        <v>NBEGEGCXXXX</v>
      </c>
      <c r="AF757" s="21" t="s">
        <v>7212</v>
      </c>
      <c r="AG757" s="15"/>
    </row>
    <row r="758" spans="1:33">
      <c r="A758" s="14">
        <v>757</v>
      </c>
      <c r="B758" s="14"/>
      <c r="C758" s="14">
        <v>0</v>
      </c>
      <c r="D758" s="15" t="s">
        <v>1703</v>
      </c>
      <c r="E758" s="16" t="s">
        <v>7213</v>
      </c>
      <c r="F758" s="32" t="s">
        <v>10109</v>
      </c>
      <c r="G758" s="17"/>
      <c r="H758" s="18"/>
      <c r="I758" s="16" t="s">
        <v>1703</v>
      </c>
      <c r="J758" s="16"/>
      <c r="K758" s="16"/>
      <c r="L758" s="16"/>
      <c r="M758" s="16"/>
      <c r="N758" s="16"/>
      <c r="O758" s="16"/>
      <c r="P758" s="16"/>
      <c r="Q758" s="16"/>
      <c r="R758" s="16"/>
      <c r="S758" s="19"/>
      <c r="T758" s="20" t="s">
        <v>40</v>
      </c>
      <c r="U758" s="16"/>
      <c r="V758" s="16"/>
      <c r="W758" s="30">
        <v>21</v>
      </c>
      <c r="X758" s="18" t="s">
        <v>1434</v>
      </c>
      <c r="Y758" s="18" t="s">
        <v>43</v>
      </c>
      <c r="Z758" s="18" t="s">
        <v>1815</v>
      </c>
      <c r="AA758" s="16" t="s">
        <v>4525</v>
      </c>
      <c r="AB758" s="16" t="s">
        <v>7211</v>
      </c>
      <c r="AC758" s="16" t="s">
        <v>4527</v>
      </c>
      <c r="AD758" s="123" t="str">
        <f t="shared" si="11"/>
        <v>Internal Transfer</v>
      </c>
      <c r="AE758" s="123" t="str">
        <f>VLOOKUP(Table1[[#This Row],[Name of bank]],'اكواد البنوك'!$A$2:$B$34,2,0)</f>
        <v>NBEGEGCXXXX</v>
      </c>
      <c r="AF758" s="21" t="s">
        <v>7214</v>
      </c>
      <c r="AG758" s="15"/>
    </row>
    <row r="759" spans="1:33">
      <c r="A759" s="14">
        <v>758</v>
      </c>
      <c r="B759" s="14"/>
      <c r="C759" s="14">
        <v>0</v>
      </c>
      <c r="D759" s="15" t="s">
        <v>1703</v>
      </c>
      <c r="E759" s="16" t="s">
        <v>7215</v>
      </c>
      <c r="F759" s="32" t="s">
        <v>10087</v>
      </c>
      <c r="G759" s="17"/>
      <c r="H759" s="18"/>
      <c r="I759" s="16" t="s">
        <v>1703</v>
      </c>
      <c r="J759" s="16"/>
      <c r="K759" s="16"/>
      <c r="L759" s="16"/>
      <c r="M759" s="16"/>
      <c r="N759" s="16"/>
      <c r="O759" s="16"/>
      <c r="P759" s="16"/>
      <c r="Q759" s="16"/>
      <c r="R759" s="16"/>
      <c r="S759" s="19"/>
      <c r="T759" s="20" t="s">
        <v>40</v>
      </c>
      <c r="U759" s="16"/>
      <c r="V759" s="16"/>
      <c r="W759" s="30">
        <v>51</v>
      </c>
      <c r="X759" s="18" t="s">
        <v>1434</v>
      </c>
      <c r="Y759" s="18" t="s">
        <v>43</v>
      </c>
      <c r="Z759" s="18" t="s">
        <v>1815</v>
      </c>
      <c r="AA759" s="16" t="s">
        <v>4525</v>
      </c>
      <c r="AB759" s="16" t="s">
        <v>7211</v>
      </c>
      <c r="AC759" s="16" t="s">
        <v>4527</v>
      </c>
      <c r="AD759" s="123" t="str">
        <f t="shared" si="11"/>
        <v>Internal Transfer</v>
      </c>
      <c r="AE759" s="123" t="str">
        <f>VLOOKUP(Table1[[#This Row],[Name of bank]],'اكواد البنوك'!$A$2:$B$34,2,0)</f>
        <v>NBEGEGCXXXX</v>
      </c>
      <c r="AF759" s="21" t="s">
        <v>7216</v>
      </c>
      <c r="AG759" s="15"/>
    </row>
    <row r="760" spans="1:33">
      <c r="A760" s="14">
        <v>759</v>
      </c>
      <c r="B760" s="14"/>
      <c r="C760" s="14">
        <v>0</v>
      </c>
      <c r="D760" s="15" t="s">
        <v>1703</v>
      </c>
      <c r="E760" s="16" t="s">
        <v>7217</v>
      </c>
      <c r="F760" s="32" t="s">
        <v>7218</v>
      </c>
      <c r="G760" s="17"/>
      <c r="H760" s="18"/>
      <c r="I760" s="16" t="s">
        <v>1703</v>
      </c>
      <c r="J760" s="16"/>
      <c r="K760" s="16"/>
      <c r="L760" s="16"/>
      <c r="M760" s="16"/>
      <c r="N760" s="16"/>
      <c r="O760" s="16"/>
      <c r="P760" s="16"/>
      <c r="Q760" s="16"/>
      <c r="R760" s="16"/>
      <c r="S760" s="19"/>
      <c r="T760" s="20" t="s">
        <v>40</v>
      </c>
      <c r="U760" s="16"/>
      <c r="V760" s="16"/>
      <c r="W760" s="30">
        <v>52</v>
      </c>
      <c r="X760" s="18" t="s">
        <v>1434</v>
      </c>
      <c r="Y760" s="18" t="s">
        <v>43</v>
      </c>
      <c r="Z760" s="18" t="s">
        <v>1815</v>
      </c>
      <c r="AA760" s="16" t="s">
        <v>4525</v>
      </c>
      <c r="AB760" s="16" t="s">
        <v>4526</v>
      </c>
      <c r="AC760" s="16" t="s">
        <v>4527</v>
      </c>
      <c r="AD760" s="123" t="str">
        <f t="shared" si="11"/>
        <v>Internal Transfer</v>
      </c>
      <c r="AE760" s="123" t="str">
        <f>VLOOKUP(Table1[[#This Row],[Name of bank]],'اكواد البنوك'!$A$2:$B$34,2,0)</f>
        <v>NBEGEGCXXXX</v>
      </c>
      <c r="AF760" s="21" t="s">
        <v>7219</v>
      </c>
      <c r="AG760" s="15"/>
    </row>
    <row r="761" spans="1:33">
      <c r="A761" s="14">
        <v>760</v>
      </c>
      <c r="B761" s="14"/>
      <c r="C761" s="14">
        <v>0</v>
      </c>
      <c r="D761" s="15" t="s">
        <v>1703</v>
      </c>
      <c r="E761" s="16" t="s">
        <v>7220</v>
      </c>
      <c r="F761" s="32" t="s">
        <v>7221</v>
      </c>
      <c r="G761" s="17"/>
      <c r="H761" s="18"/>
      <c r="I761" s="16" t="s">
        <v>1703</v>
      </c>
      <c r="J761" s="16"/>
      <c r="K761" s="16"/>
      <c r="L761" s="16"/>
      <c r="M761" s="16"/>
      <c r="N761" s="16"/>
      <c r="O761" s="16"/>
      <c r="P761" s="16"/>
      <c r="Q761" s="16"/>
      <c r="R761" s="16"/>
      <c r="S761" s="19"/>
      <c r="T761" s="20" t="s">
        <v>40</v>
      </c>
      <c r="U761" s="16"/>
      <c r="V761" s="16"/>
      <c r="W761" s="30">
        <v>53</v>
      </c>
      <c r="X761" s="18" t="s">
        <v>1434</v>
      </c>
      <c r="Y761" s="18" t="s">
        <v>43</v>
      </c>
      <c r="Z761" s="18" t="s">
        <v>1815</v>
      </c>
      <c r="AA761" s="16" t="s">
        <v>7222</v>
      </c>
      <c r="AB761" s="16" t="s">
        <v>9866</v>
      </c>
      <c r="AC761" s="16" t="s">
        <v>7224</v>
      </c>
      <c r="AD761" s="123" t="str">
        <f t="shared" si="11"/>
        <v>Internal Transfer</v>
      </c>
      <c r="AE761" s="123" t="str">
        <f>VLOOKUP(Table1[[#This Row],[Name of bank]],'اكواد البنوك'!$A$2:$B$34,2,0)</f>
        <v>NBEGEGCXXXX</v>
      </c>
      <c r="AF761" s="30">
        <v>53</v>
      </c>
      <c r="AG761" s="15"/>
    </row>
    <row r="762" spans="1:33">
      <c r="A762" s="14">
        <v>761</v>
      </c>
      <c r="B762" s="14" t="s">
        <v>2446</v>
      </c>
      <c r="C762" s="14" t="s">
        <v>2446</v>
      </c>
      <c r="D762" s="15" t="s">
        <v>1703</v>
      </c>
      <c r="E762" s="16" t="s">
        <v>7225</v>
      </c>
      <c r="F762" s="32" t="s">
        <v>7226</v>
      </c>
      <c r="G762" s="17" t="s">
        <v>7227</v>
      </c>
      <c r="H762" s="18">
        <v>201022093337</v>
      </c>
      <c r="I762" s="16" t="s">
        <v>1718</v>
      </c>
      <c r="J762" s="16" t="s">
        <v>2215</v>
      </c>
      <c r="K762" s="16" t="s">
        <v>7223</v>
      </c>
      <c r="L762" s="16"/>
      <c r="M762" s="16"/>
      <c r="N762" s="16"/>
      <c r="O762" s="16"/>
      <c r="P762" s="16"/>
      <c r="Q762" s="16" t="s">
        <v>2215</v>
      </c>
      <c r="R762" s="16" t="s">
        <v>5914</v>
      </c>
      <c r="S762" s="19"/>
      <c r="T762" s="20" t="s">
        <v>40</v>
      </c>
      <c r="U762" s="16"/>
      <c r="V762" s="16"/>
      <c r="W762" s="30" t="s">
        <v>9992</v>
      </c>
      <c r="X762" s="18" t="s">
        <v>4524</v>
      </c>
      <c r="Y762" s="18" t="s">
        <v>43</v>
      </c>
      <c r="Z762" s="18" t="s">
        <v>2215</v>
      </c>
      <c r="AA762" s="16" t="s">
        <v>7222</v>
      </c>
      <c r="AB762" s="16" t="s">
        <v>7223</v>
      </c>
      <c r="AC762" s="16" t="s">
        <v>7224</v>
      </c>
      <c r="AD762" s="123" t="str">
        <f t="shared" si="11"/>
        <v>Internal Transfer</v>
      </c>
      <c r="AE762" s="123" t="str">
        <f>VLOOKUP(Table1[[#This Row],[Name of bank]],'اكواد البنوك'!$A$2:$B$34,2,0)</f>
        <v>NBEGEGCXXXX</v>
      </c>
      <c r="AF762" s="21">
        <v>125</v>
      </c>
      <c r="AG762" s="15" t="s">
        <v>49</v>
      </c>
    </row>
    <row r="763" spans="1:33">
      <c r="A763" s="14">
        <v>762</v>
      </c>
      <c r="B763" s="14" t="s">
        <v>2446</v>
      </c>
      <c r="C763" s="14" t="s">
        <v>2446</v>
      </c>
      <c r="D763" s="15" t="s">
        <v>1718</v>
      </c>
      <c r="E763" s="16" t="s">
        <v>7228</v>
      </c>
      <c r="F763" s="32" t="s">
        <v>7229</v>
      </c>
      <c r="G763" s="17" t="s">
        <v>7230</v>
      </c>
      <c r="H763" s="18">
        <v>201065545616</v>
      </c>
      <c r="I763" s="16" t="s">
        <v>1718</v>
      </c>
      <c r="J763" s="16" t="s">
        <v>2215</v>
      </c>
      <c r="K763" s="16" t="s">
        <v>7223</v>
      </c>
      <c r="L763" s="16"/>
      <c r="M763" s="16"/>
      <c r="N763" s="16"/>
      <c r="O763" s="16"/>
      <c r="P763" s="16"/>
      <c r="Q763" s="16" t="s">
        <v>2215</v>
      </c>
      <c r="R763" s="16" t="s">
        <v>5914</v>
      </c>
      <c r="S763" s="19"/>
      <c r="T763" s="20" t="s">
        <v>40</v>
      </c>
      <c r="U763" s="16"/>
      <c r="V763" s="16"/>
      <c r="W763" s="30" t="s">
        <v>1718</v>
      </c>
      <c r="X763" s="18" t="s">
        <v>31</v>
      </c>
      <c r="Y763" s="18" t="s">
        <v>43</v>
      </c>
      <c r="Z763" s="18" t="s">
        <v>2215</v>
      </c>
      <c r="AA763" s="16" t="s">
        <v>7222</v>
      </c>
      <c r="AB763" s="16" t="s">
        <v>7223</v>
      </c>
      <c r="AC763" s="16" t="s">
        <v>7224</v>
      </c>
      <c r="AD763" s="123" t="str">
        <f t="shared" si="11"/>
        <v>Internal Transfer</v>
      </c>
      <c r="AE763" s="123" t="str">
        <f>VLOOKUP(Table1[[#This Row],[Name of bank]],'اكواد البنوك'!$A$2:$B$34,2,0)</f>
        <v>NBEGEGCXXXX</v>
      </c>
      <c r="AF763" s="30" t="s">
        <v>1718</v>
      </c>
      <c r="AG763" s="15" t="s">
        <v>49</v>
      </c>
    </row>
    <row r="764" spans="1:33">
      <c r="A764" s="14">
        <v>763</v>
      </c>
      <c r="B764" s="14" t="s">
        <v>2446</v>
      </c>
      <c r="C764" s="14" t="e">
        <v>#N/A</v>
      </c>
      <c r="D764" s="15" t="s">
        <v>1703</v>
      </c>
      <c r="E764" s="16" t="s">
        <v>7231</v>
      </c>
      <c r="F764" s="32" t="s">
        <v>10095</v>
      </c>
      <c r="G764" s="17" t="s">
        <v>7232</v>
      </c>
      <c r="H764" s="18">
        <v>201000084956</v>
      </c>
      <c r="I764" s="16" t="s">
        <v>1718</v>
      </c>
      <c r="J764" s="16" t="s">
        <v>2215</v>
      </c>
      <c r="K764" s="16" t="s">
        <v>7233</v>
      </c>
      <c r="L764" s="16"/>
      <c r="M764" s="16"/>
      <c r="N764" s="16"/>
      <c r="O764" s="16"/>
      <c r="P764" s="16"/>
      <c r="Q764" s="16" t="s">
        <v>2215</v>
      </c>
      <c r="R764" s="16" t="s">
        <v>5914</v>
      </c>
      <c r="S764" s="19"/>
      <c r="T764" s="20" t="s">
        <v>40</v>
      </c>
      <c r="U764" s="16"/>
      <c r="V764" s="16" t="s">
        <v>7234</v>
      </c>
      <c r="W764" s="30">
        <v>26</v>
      </c>
      <c r="X764" s="18" t="s">
        <v>31</v>
      </c>
      <c r="Y764" s="18" t="s">
        <v>43</v>
      </c>
      <c r="Z764" s="18" t="s">
        <v>2215</v>
      </c>
      <c r="AA764" s="16" t="s">
        <v>7222</v>
      </c>
      <c r="AB764" s="16" t="s">
        <v>7233</v>
      </c>
      <c r="AC764" s="16" t="s">
        <v>7224</v>
      </c>
      <c r="AD764" s="123" t="str">
        <f t="shared" si="11"/>
        <v>Internal Transfer</v>
      </c>
      <c r="AE764" s="123" t="str">
        <f>VLOOKUP(Table1[[#This Row],[Name of bank]],'اكواد البنوك'!$A$2:$B$34,2,0)</f>
        <v>NBEGEGCXXXX</v>
      </c>
      <c r="AF764" s="21">
        <v>26</v>
      </c>
      <c r="AG764" s="15" t="s">
        <v>49</v>
      </c>
    </row>
    <row r="765" spans="1:33">
      <c r="A765" s="14">
        <v>764</v>
      </c>
      <c r="B765" s="14" t="s">
        <v>2446</v>
      </c>
      <c r="C765" s="14" t="s">
        <v>2446</v>
      </c>
      <c r="D765" s="15" t="s">
        <v>1718</v>
      </c>
      <c r="E765" s="16" t="s">
        <v>7235</v>
      </c>
      <c r="F765" s="32" t="s">
        <v>7236</v>
      </c>
      <c r="G765" s="17" t="s">
        <v>7237</v>
      </c>
      <c r="H765" s="18">
        <v>201007370687</v>
      </c>
      <c r="I765" s="16" t="s">
        <v>1718</v>
      </c>
      <c r="J765" s="16" t="s">
        <v>2215</v>
      </c>
      <c r="K765" s="16" t="s">
        <v>7223</v>
      </c>
      <c r="L765" s="16"/>
      <c r="M765" s="16"/>
      <c r="N765" s="16"/>
      <c r="O765" s="16"/>
      <c r="P765" s="16"/>
      <c r="Q765" s="16" t="s">
        <v>2215</v>
      </c>
      <c r="R765" s="16" t="s">
        <v>5914</v>
      </c>
      <c r="S765" s="19"/>
      <c r="T765" s="20" t="s">
        <v>40</v>
      </c>
      <c r="U765" s="16"/>
      <c r="V765" s="16"/>
      <c r="W765" s="30" t="s">
        <v>1718</v>
      </c>
      <c r="X765" s="18" t="s">
        <v>66</v>
      </c>
      <c r="Y765" s="18" t="s">
        <v>43</v>
      </c>
      <c r="Z765" s="18" t="s">
        <v>2215</v>
      </c>
      <c r="AA765" s="16" t="s">
        <v>7222</v>
      </c>
      <c r="AB765" s="16" t="s">
        <v>7223</v>
      </c>
      <c r="AC765" s="16" t="s">
        <v>7224</v>
      </c>
      <c r="AD765" s="123" t="str">
        <f t="shared" si="11"/>
        <v>Internal Transfer</v>
      </c>
      <c r="AE765" s="123" t="str">
        <f>VLOOKUP(Table1[[#This Row],[Name of bank]],'اكواد البنوك'!$A$2:$B$34,2,0)</f>
        <v>NBEGEGCXXXX</v>
      </c>
      <c r="AF765" s="30" t="s">
        <v>1718</v>
      </c>
      <c r="AG765" s="15" t="s">
        <v>49</v>
      </c>
    </row>
    <row r="766" spans="1:33">
      <c r="A766" s="14">
        <v>765</v>
      </c>
      <c r="B766" s="14" t="s">
        <v>2446</v>
      </c>
      <c r="C766" s="14" t="s">
        <v>2446</v>
      </c>
      <c r="D766" s="15" t="s">
        <v>1718</v>
      </c>
      <c r="E766" s="16" t="s">
        <v>7238</v>
      </c>
      <c r="F766" s="32" t="s">
        <v>7239</v>
      </c>
      <c r="G766" s="17" t="s">
        <v>7240</v>
      </c>
      <c r="H766" s="18">
        <v>201148697344</v>
      </c>
      <c r="I766" s="16" t="s">
        <v>1718</v>
      </c>
      <c r="J766" s="16" t="s">
        <v>2215</v>
      </c>
      <c r="K766" s="16" t="s">
        <v>7223</v>
      </c>
      <c r="L766" s="16"/>
      <c r="M766" s="16"/>
      <c r="N766" s="16"/>
      <c r="O766" s="16"/>
      <c r="P766" s="16"/>
      <c r="Q766" s="16" t="s">
        <v>2215</v>
      </c>
      <c r="R766" s="16" t="s">
        <v>5914</v>
      </c>
      <c r="S766" s="19"/>
      <c r="T766" s="20" t="s">
        <v>40</v>
      </c>
      <c r="U766" s="16"/>
      <c r="V766" s="16"/>
      <c r="W766" s="30" t="s">
        <v>1718</v>
      </c>
      <c r="X766" s="18" t="s">
        <v>66</v>
      </c>
      <c r="Y766" s="18" t="s">
        <v>43</v>
      </c>
      <c r="Z766" s="18" t="s">
        <v>2215</v>
      </c>
      <c r="AA766" s="16" t="s">
        <v>7222</v>
      </c>
      <c r="AB766" s="16" t="s">
        <v>7223</v>
      </c>
      <c r="AC766" s="16" t="s">
        <v>7224</v>
      </c>
      <c r="AD766" s="123" t="str">
        <f t="shared" si="11"/>
        <v>Internal Transfer</v>
      </c>
      <c r="AE766" s="123" t="str">
        <f>VLOOKUP(Table1[[#This Row],[Name of bank]],'اكواد البنوك'!$A$2:$B$34,2,0)</f>
        <v>NBEGEGCXXXX</v>
      </c>
      <c r="AF766" s="30" t="s">
        <v>1718</v>
      </c>
      <c r="AG766" s="15" t="s">
        <v>49</v>
      </c>
    </row>
    <row r="767" spans="1:33">
      <c r="A767" s="14">
        <v>766</v>
      </c>
      <c r="B767" s="14" t="s">
        <v>2446</v>
      </c>
      <c r="C767" s="14" t="s">
        <v>2446</v>
      </c>
      <c r="D767" s="15" t="s">
        <v>1718</v>
      </c>
      <c r="E767" s="16" t="s">
        <v>7241</v>
      </c>
      <c r="F767" s="32" t="s">
        <v>7242</v>
      </c>
      <c r="G767" s="17" t="s">
        <v>7243</v>
      </c>
      <c r="H767" s="18">
        <v>201115114999</v>
      </c>
      <c r="I767" s="16" t="s">
        <v>1718</v>
      </c>
      <c r="J767" s="16" t="s">
        <v>2215</v>
      </c>
      <c r="K767" s="16" t="s">
        <v>7223</v>
      </c>
      <c r="L767" s="16"/>
      <c r="M767" s="16"/>
      <c r="N767" s="16"/>
      <c r="O767" s="16"/>
      <c r="P767" s="16"/>
      <c r="Q767" s="16" t="s">
        <v>2215</v>
      </c>
      <c r="R767" s="16" t="s">
        <v>5914</v>
      </c>
      <c r="S767" s="19"/>
      <c r="T767" s="20" t="s">
        <v>40</v>
      </c>
      <c r="U767" s="16"/>
      <c r="V767" s="16"/>
      <c r="W767" s="30" t="s">
        <v>1718</v>
      </c>
      <c r="X767" s="18" t="s">
        <v>66</v>
      </c>
      <c r="Y767" s="18" t="s">
        <v>43</v>
      </c>
      <c r="Z767" s="18" t="s">
        <v>2215</v>
      </c>
      <c r="AA767" s="16" t="s">
        <v>7222</v>
      </c>
      <c r="AB767" s="16" t="s">
        <v>7223</v>
      </c>
      <c r="AC767" s="16" t="s">
        <v>7224</v>
      </c>
      <c r="AD767" s="123" t="str">
        <f t="shared" si="11"/>
        <v>Internal Transfer</v>
      </c>
      <c r="AE767" s="123" t="str">
        <f>VLOOKUP(Table1[[#This Row],[Name of bank]],'اكواد البنوك'!$A$2:$B$34,2,0)</f>
        <v>NBEGEGCXXXX</v>
      </c>
      <c r="AF767" s="30" t="s">
        <v>1718</v>
      </c>
      <c r="AG767" s="15" t="s">
        <v>49</v>
      </c>
    </row>
    <row r="768" spans="1:33">
      <c r="A768" s="14">
        <v>767</v>
      </c>
      <c r="B768" s="14" t="s">
        <v>2446</v>
      </c>
      <c r="C768" s="14" t="s">
        <v>2446</v>
      </c>
      <c r="D768" s="15" t="s">
        <v>1718</v>
      </c>
      <c r="E768" s="16" t="s">
        <v>7244</v>
      </c>
      <c r="F768" s="32" t="s">
        <v>7245</v>
      </c>
      <c r="G768" s="17" t="s">
        <v>7246</v>
      </c>
      <c r="H768" s="18">
        <v>201001999437</v>
      </c>
      <c r="I768" s="16" t="s">
        <v>1718</v>
      </c>
      <c r="J768" s="16" t="s">
        <v>2215</v>
      </c>
      <c r="K768" s="16" t="s">
        <v>7223</v>
      </c>
      <c r="L768" s="16"/>
      <c r="M768" s="16"/>
      <c r="N768" s="16"/>
      <c r="O768" s="16"/>
      <c r="P768" s="16"/>
      <c r="Q768" s="16" t="s">
        <v>2215</v>
      </c>
      <c r="R768" s="16" t="s">
        <v>5914</v>
      </c>
      <c r="S768" s="19"/>
      <c r="T768" s="20" t="s">
        <v>40</v>
      </c>
      <c r="U768" s="16"/>
      <c r="V768" s="16"/>
      <c r="W768" s="30" t="s">
        <v>1718</v>
      </c>
      <c r="X768" s="18" t="s">
        <v>66</v>
      </c>
      <c r="Y768" s="18" t="s">
        <v>43</v>
      </c>
      <c r="Z768" s="18" t="s">
        <v>2215</v>
      </c>
      <c r="AA768" s="16" t="s">
        <v>7222</v>
      </c>
      <c r="AB768" s="16" t="s">
        <v>7223</v>
      </c>
      <c r="AC768" s="16" t="s">
        <v>7224</v>
      </c>
      <c r="AD768" s="123" t="str">
        <f t="shared" si="11"/>
        <v>Internal Transfer</v>
      </c>
      <c r="AE768" s="123" t="str">
        <f>VLOOKUP(Table1[[#This Row],[Name of bank]],'اكواد البنوك'!$A$2:$B$34,2,0)</f>
        <v>NBEGEGCXXXX</v>
      </c>
      <c r="AF768" s="30" t="s">
        <v>1718</v>
      </c>
      <c r="AG768" s="15" t="s">
        <v>49</v>
      </c>
    </row>
    <row r="769" spans="1:33">
      <c r="A769" s="14">
        <v>768</v>
      </c>
      <c r="B769" s="14" t="s">
        <v>2446</v>
      </c>
      <c r="C769" s="14" t="s">
        <v>2446</v>
      </c>
      <c r="D769" s="15" t="s">
        <v>1718</v>
      </c>
      <c r="E769" s="16" t="s">
        <v>7247</v>
      </c>
      <c r="F769" s="32" t="s">
        <v>7248</v>
      </c>
      <c r="G769" s="17" t="s">
        <v>7249</v>
      </c>
      <c r="H769" s="18">
        <v>201063617773</v>
      </c>
      <c r="I769" s="16" t="s">
        <v>1718</v>
      </c>
      <c r="J769" s="16" t="s">
        <v>2215</v>
      </c>
      <c r="K769" s="16" t="s">
        <v>7223</v>
      </c>
      <c r="L769" s="16"/>
      <c r="M769" s="16"/>
      <c r="N769" s="16"/>
      <c r="O769" s="16"/>
      <c r="P769" s="16"/>
      <c r="Q769" s="16" t="s">
        <v>2215</v>
      </c>
      <c r="R769" s="16" t="s">
        <v>5914</v>
      </c>
      <c r="S769" s="19"/>
      <c r="T769" s="20" t="s">
        <v>40</v>
      </c>
      <c r="U769" s="16"/>
      <c r="V769" s="16"/>
      <c r="W769" s="30" t="s">
        <v>1718</v>
      </c>
      <c r="X769" s="18" t="s">
        <v>66</v>
      </c>
      <c r="Y769" s="18" t="s">
        <v>43</v>
      </c>
      <c r="Z769" s="18" t="s">
        <v>2215</v>
      </c>
      <c r="AA769" s="16" t="s">
        <v>7222</v>
      </c>
      <c r="AB769" s="16" t="s">
        <v>7223</v>
      </c>
      <c r="AC769" s="16" t="s">
        <v>7224</v>
      </c>
      <c r="AD769" s="123" t="str">
        <f t="shared" si="11"/>
        <v>Internal Transfer</v>
      </c>
      <c r="AE769" s="123" t="str">
        <f>VLOOKUP(Table1[[#This Row],[Name of bank]],'اكواد البنوك'!$A$2:$B$34,2,0)</f>
        <v>NBEGEGCXXXX</v>
      </c>
      <c r="AF769" s="30" t="s">
        <v>1718</v>
      </c>
      <c r="AG769" s="15" t="s">
        <v>49</v>
      </c>
    </row>
    <row r="770" spans="1:33">
      <c r="A770" s="14">
        <v>769</v>
      </c>
      <c r="B770" s="14" t="s">
        <v>2446</v>
      </c>
      <c r="C770" s="14" t="e">
        <v>#N/A</v>
      </c>
      <c r="D770" s="15" t="s">
        <v>1839</v>
      </c>
      <c r="E770" s="16" t="s">
        <v>7250</v>
      </c>
      <c r="F770" s="32" t="s">
        <v>7251</v>
      </c>
      <c r="G770" s="17" t="s">
        <v>7252</v>
      </c>
      <c r="H770" s="18" t="s">
        <v>7253</v>
      </c>
      <c r="I770" s="16" t="s">
        <v>794</v>
      </c>
      <c r="J770" s="16" t="s">
        <v>173</v>
      </c>
      <c r="K770" s="16" t="s">
        <v>7254</v>
      </c>
      <c r="L770" s="16">
        <v>52760816</v>
      </c>
      <c r="M770" s="16">
        <v>731598628</v>
      </c>
      <c r="N770" s="16" t="s">
        <v>7255</v>
      </c>
      <c r="O770" s="16" t="s">
        <v>7256</v>
      </c>
      <c r="P770" s="16" t="s">
        <v>7257</v>
      </c>
      <c r="Q770" s="16" t="s">
        <v>2215</v>
      </c>
      <c r="R770" s="16" t="s">
        <v>5914</v>
      </c>
      <c r="S770" s="19" t="s">
        <v>7250</v>
      </c>
      <c r="T770" s="20" t="s">
        <v>40</v>
      </c>
      <c r="U770" s="16" t="s">
        <v>7258</v>
      </c>
      <c r="V770" s="16" t="s">
        <v>7259</v>
      </c>
      <c r="W770" s="30" t="s">
        <v>7259</v>
      </c>
      <c r="X770" s="18" t="s">
        <v>66</v>
      </c>
      <c r="Y770" s="18" t="s">
        <v>98</v>
      </c>
      <c r="Z770" s="18" t="s">
        <v>2215</v>
      </c>
      <c r="AA770" s="16" t="s">
        <v>7222</v>
      </c>
      <c r="AB770" s="16" t="s">
        <v>7223</v>
      </c>
      <c r="AC770" s="16" t="s">
        <v>7224</v>
      </c>
      <c r="AD770" s="123" t="str">
        <f t="shared" ref="AD770:AD833" si="12">IF(ISNUMBER(SEARCH("EXTERNAL CASH",T770)),
   "EXTERNAL CASH",
   IF(ISNUMBER(SEARCH("شيك من القاهرة",T770)),
      "FUE",
      IF(ISNUMBER(SEARCH("INTERNAL CASH",T770)),
         "INTRNAL CASH",
         IF(Y770="IP",
            "Internal Transfer",
            IF(ISNUMBER(SEARCH("National Bank of Egypt",T770)),
               "External Transfer-NBE",
               "External Transfer-Other banks"
            )
         )
      )
   )
)</f>
        <v>External Transfer-NBE</v>
      </c>
      <c r="AE770" s="123" t="str">
        <f>VLOOKUP(Table1[[#This Row],[Name of bank]],'اكواد البنوك'!$A$2:$B$34,2,0)</f>
        <v>NBEGEGCXXXX</v>
      </c>
      <c r="AF770" s="21" t="s">
        <v>3262</v>
      </c>
      <c r="AG770" s="15" t="s">
        <v>167</v>
      </c>
    </row>
    <row r="771" spans="1:33">
      <c r="A771" s="14">
        <v>770</v>
      </c>
      <c r="B771" s="14" t="s">
        <v>639</v>
      </c>
      <c r="C771" s="14" t="s">
        <v>639</v>
      </c>
      <c r="D771" s="15" t="s">
        <v>1703</v>
      </c>
      <c r="E771" s="16" t="s">
        <v>7260</v>
      </c>
      <c r="F771" s="32" t="s">
        <v>7261</v>
      </c>
      <c r="G771" s="17" t="s">
        <v>7262</v>
      </c>
      <c r="H771" s="18" t="s">
        <v>7263</v>
      </c>
      <c r="I771" s="16" t="s">
        <v>1703</v>
      </c>
      <c r="J771" s="16"/>
      <c r="K771" s="16" t="s">
        <v>1966</v>
      </c>
      <c r="L771" s="16">
        <v>76151956</v>
      </c>
      <c r="M771" s="16" t="s">
        <v>136</v>
      </c>
      <c r="N771" s="16" t="s">
        <v>7264</v>
      </c>
      <c r="O771" s="16" t="s">
        <v>7265</v>
      </c>
      <c r="P771" s="16" t="s">
        <v>7266</v>
      </c>
      <c r="Q771" s="16" t="s">
        <v>2215</v>
      </c>
      <c r="R771" s="16" t="s">
        <v>7267</v>
      </c>
      <c r="S771" s="19" t="s">
        <v>7260</v>
      </c>
      <c r="T771" s="20" t="s">
        <v>40</v>
      </c>
      <c r="U771" s="16"/>
      <c r="V771" s="16"/>
      <c r="W771" s="30" t="s">
        <v>7268</v>
      </c>
      <c r="X771" s="18" t="s">
        <v>78</v>
      </c>
      <c r="Y771" s="18" t="s">
        <v>43</v>
      </c>
      <c r="Z771" s="18" t="s">
        <v>2215</v>
      </c>
      <c r="AA771" s="16" t="s">
        <v>7222</v>
      </c>
      <c r="AB771" s="16" t="s">
        <v>7223</v>
      </c>
      <c r="AC771" s="16" t="s">
        <v>7224</v>
      </c>
      <c r="AD771" s="123" t="str">
        <f t="shared" si="12"/>
        <v>Internal Transfer</v>
      </c>
      <c r="AE771" s="123" t="str">
        <f>VLOOKUP(Table1[[#This Row],[Name of bank]],'اكواد البنوك'!$A$2:$B$34,2,0)</f>
        <v>NBEGEGCXXXX</v>
      </c>
      <c r="AF771" s="21" t="s">
        <v>7268</v>
      </c>
      <c r="AG771" s="15" t="s">
        <v>49</v>
      </c>
    </row>
    <row r="772" spans="1:33">
      <c r="A772" s="14">
        <v>771</v>
      </c>
      <c r="B772" s="14" t="s">
        <v>639</v>
      </c>
      <c r="C772" s="14" t="e">
        <v>#N/A</v>
      </c>
      <c r="D772" s="15" t="s">
        <v>1855</v>
      </c>
      <c r="E772" s="16" t="s">
        <v>7269</v>
      </c>
      <c r="F772" s="32" t="s">
        <v>7270</v>
      </c>
      <c r="G772" s="17" t="s">
        <v>7271</v>
      </c>
      <c r="H772" s="18" t="s">
        <v>7272</v>
      </c>
      <c r="I772" s="16" t="s">
        <v>2443</v>
      </c>
      <c r="J772" s="16" t="s">
        <v>1845</v>
      </c>
      <c r="K772" s="16" t="s">
        <v>7273</v>
      </c>
      <c r="L772" s="16" t="s">
        <v>136</v>
      </c>
      <c r="M772" s="16" t="s">
        <v>136</v>
      </c>
      <c r="N772" s="16" t="s">
        <v>7274</v>
      </c>
      <c r="O772" s="16" t="s">
        <v>7275</v>
      </c>
      <c r="P772" s="16" t="s">
        <v>7276</v>
      </c>
      <c r="Q772" s="16" t="s">
        <v>2215</v>
      </c>
      <c r="R772" s="16" t="s">
        <v>7267</v>
      </c>
      <c r="S772" s="19" t="s">
        <v>7277</v>
      </c>
      <c r="T772" s="20" t="s">
        <v>307</v>
      </c>
      <c r="U772" s="16" t="s">
        <v>7278</v>
      </c>
      <c r="V772" s="16" t="s">
        <v>7279</v>
      </c>
      <c r="W772" s="30" t="s">
        <v>7280</v>
      </c>
      <c r="X772" s="18" t="s">
        <v>97</v>
      </c>
      <c r="Y772" s="18" t="s">
        <v>98</v>
      </c>
      <c r="Z772" s="18" t="s">
        <v>2215</v>
      </c>
      <c r="AA772" s="16" t="s">
        <v>7222</v>
      </c>
      <c r="AB772" s="16" t="s">
        <v>7223</v>
      </c>
      <c r="AC772" s="16" t="s">
        <v>7224</v>
      </c>
      <c r="AD772" s="123" t="str">
        <f t="shared" si="12"/>
        <v>External Transfer-Other banks</v>
      </c>
      <c r="AE772" s="123" t="str">
        <f>VLOOKUP(Table1[[#This Row],[Name of bank]],'اكواد البنوك'!$A$2:$B$34,2,0)</f>
        <v>CIBEEGCXXXX</v>
      </c>
      <c r="AF772" s="21" t="s">
        <v>3345</v>
      </c>
      <c r="AG772" s="15" t="s">
        <v>167</v>
      </c>
    </row>
    <row r="773" spans="1:33">
      <c r="A773" s="14">
        <v>772</v>
      </c>
      <c r="B773" s="14" t="s">
        <v>639</v>
      </c>
      <c r="C773" s="14" t="s">
        <v>8134</v>
      </c>
      <c r="D773" s="15" t="s">
        <v>1839</v>
      </c>
      <c r="E773" s="16" t="s">
        <v>7281</v>
      </c>
      <c r="F773" s="32" t="s">
        <v>7282</v>
      </c>
      <c r="G773" s="17" t="s">
        <v>7283</v>
      </c>
      <c r="H773" s="18" t="s">
        <v>7284</v>
      </c>
      <c r="I773" s="16" t="s">
        <v>7285</v>
      </c>
      <c r="J773" s="16" t="s">
        <v>173</v>
      </c>
      <c r="K773" s="16" t="s">
        <v>148</v>
      </c>
      <c r="L773" s="16">
        <v>16738701</v>
      </c>
      <c r="M773" s="16" t="s">
        <v>136</v>
      </c>
      <c r="N773" s="16" t="s">
        <v>7286</v>
      </c>
      <c r="O773" s="16" t="s">
        <v>7287</v>
      </c>
      <c r="P773" s="16" t="s">
        <v>7288</v>
      </c>
      <c r="Q773" s="16" t="s">
        <v>2215</v>
      </c>
      <c r="R773" s="16" t="s">
        <v>7267</v>
      </c>
      <c r="S773" s="19" t="s">
        <v>7289</v>
      </c>
      <c r="T773" s="20" t="s">
        <v>3728</v>
      </c>
      <c r="U773" s="16" t="s">
        <v>7290</v>
      </c>
      <c r="V773" s="16" t="s">
        <v>7291</v>
      </c>
      <c r="W773" s="30" t="s">
        <v>7292</v>
      </c>
      <c r="X773" s="18" t="s">
        <v>97</v>
      </c>
      <c r="Y773" s="18" t="s">
        <v>98</v>
      </c>
      <c r="Z773" s="18" t="s">
        <v>2215</v>
      </c>
      <c r="AA773" s="16" t="s">
        <v>7222</v>
      </c>
      <c r="AB773" s="16" t="s">
        <v>7223</v>
      </c>
      <c r="AC773" s="16" t="s">
        <v>7224</v>
      </c>
      <c r="AD773" s="123" t="str">
        <f t="shared" si="12"/>
        <v>External Transfer-Other banks</v>
      </c>
      <c r="AE773" s="123" t="str">
        <f>VLOOKUP(Table1[[#This Row],[Name of bank]],'اكواد البنوك'!$A$2:$B$34,2,0)</f>
        <v>ABRKEGCAXXX</v>
      </c>
      <c r="AF773" s="21" t="s">
        <v>2071</v>
      </c>
      <c r="AG773" s="15" t="s">
        <v>49</v>
      </c>
    </row>
    <row r="774" spans="1:33">
      <c r="A774" s="14">
        <v>773</v>
      </c>
      <c r="B774" s="14" t="s">
        <v>7293</v>
      </c>
      <c r="C774" s="14" t="e">
        <v>#N/A</v>
      </c>
      <c r="D774" s="15" t="s">
        <v>1839</v>
      </c>
      <c r="E774" s="16" t="s">
        <v>7294</v>
      </c>
      <c r="F774" s="32" t="s">
        <v>7295</v>
      </c>
      <c r="G774" s="17" t="s">
        <v>7296</v>
      </c>
      <c r="H774" s="18">
        <v>1100908087</v>
      </c>
      <c r="I774" s="16" t="s">
        <v>7297</v>
      </c>
      <c r="J774" s="16" t="s">
        <v>173</v>
      </c>
      <c r="K774" s="16" t="s">
        <v>7298</v>
      </c>
      <c r="L774" s="16">
        <v>62697162</v>
      </c>
      <c r="M774" s="16" t="s">
        <v>7299</v>
      </c>
      <c r="N774" s="16" t="s">
        <v>7300</v>
      </c>
      <c r="O774" s="16" t="s">
        <v>7301</v>
      </c>
      <c r="P774" s="16" t="s">
        <v>7302</v>
      </c>
      <c r="Q774" s="16" t="s">
        <v>2215</v>
      </c>
      <c r="R774" s="16" t="s">
        <v>7267</v>
      </c>
      <c r="S774" s="19" t="s">
        <v>7294</v>
      </c>
      <c r="T774" s="20" t="s">
        <v>176</v>
      </c>
      <c r="U774" s="16" t="s">
        <v>7303</v>
      </c>
      <c r="V774" s="16" t="s">
        <v>7304</v>
      </c>
      <c r="W774" s="113" t="s">
        <v>7305</v>
      </c>
      <c r="X774" s="18" t="s">
        <v>542</v>
      </c>
      <c r="Y774" s="18" t="s">
        <v>98</v>
      </c>
      <c r="Z774" s="18" t="s">
        <v>2215</v>
      </c>
      <c r="AA774" s="16" t="s">
        <v>7222</v>
      </c>
      <c r="AB774" s="16" t="s">
        <v>7223</v>
      </c>
      <c r="AC774" s="16" t="s">
        <v>7224</v>
      </c>
      <c r="AD774" s="123" t="str">
        <f t="shared" si="12"/>
        <v>External Transfer-Other banks</v>
      </c>
      <c r="AE774" s="123" t="str">
        <f>VLOOKUP(Table1[[#This Row],[Name of bank]],'اكواد البنوك'!$A$2:$B$34,2,0)</f>
        <v>BMISEGCXXXX</v>
      </c>
      <c r="AF774" s="114" t="s">
        <v>2291</v>
      </c>
      <c r="AG774" s="15" t="s">
        <v>167</v>
      </c>
    </row>
    <row r="775" spans="1:33">
      <c r="A775" s="14">
        <v>774</v>
      </c>
      <c r="B775" s="14" t="s">
        <v>7293</v>
      </c>
      <c r="C775" s="14" t="s">
        <v>7716</v>
      </c>
      <c r="D775" s="15" t="s">
        <v>1839</v>
      </c>
      <c r="E775" s="16" t="s">
        <v>7306</v>
      </c>
      <c r="F775" s="32" t="s">
        <v>10171</v>
      </c>
      <c r="G775" s="17" t="s">
        <v>7307</v>
      </c>
      <c r="H775" s="18" t="s">
        <v>7308</v>
      </c>
      <c r="I775" s="16" t="s">
        <v>7309</v>
      </c>
      <c r="J775" s="16" t="s">
        <v>173</v>
      </c>
      <c r="K775" s="16" t="s">
        <v>6866</v>
      </c>
      <c r="L775" s="16">
        <v>4685956</v>
      </c>
      <c r="M775" s="16">
        <v>2126986</v>
      </c>
      <c r="N775" s="16" t="s">
        <v>7310</v>
      </c>
      <c r="O775" s="16" t="s">
        <v>7311</v>
      </c>
      <c r="P775" s="16" t="s">
        <v>7312</v>
      </c>
      <c r="Q775" s="16" t="s">
        <v>2215</v>
      </c>
      <c r="R775" s="16" t="s">
        <v>7267</v>
      </c>
      <c r="S775" s="19" t="s">
        <v>7313</v>
      </c>
      <c r="T775" s="20" t="s">
        <v>176</v>
      </c>
      <c r="U775" s="16" t="s">
        <v>7314</v>
      </c>
      <c r="V775" s="16" t="s">
        <v>9867</v>
      </c>
      <c r="W775" s="30" t="s">
        <v>7315</v>
      </c>
      <c r="X775" s="18" t="s">
        <v>542</v>
      </c>
      <c r="Y775" s="18" t="s">
        <v>98</v>
      </c>
      <c r="Z775" s="18" t="s">
        <v>2215</v>
      </c>
      <c r="AA775" s="16" t="s">
        <v>7222</v>
      </c>
      <c r="AB775" s="16" t="s">
        <v>7223</v>
      </c>
      <c r="AC775" s="16" t="s">
        <v>7224</v>
      </c>
      <c r="AD775" s="123" t="str">
        <f t="shared" si="12"/>
        <v>External Transfer-Other banks</v>
      </c>
      <c r="AE775" s="123" t="str">
        <f>VLOOKUP(Table1[[#This Row],[Name of bank]],'اكواد البنوك'!$A$2:$B$34,2,0)</f>
        <v>BMISEGCXXXX</v>
      </c>
      <c r="AF775" s="21">
        <v>509</v>
      </c>
      <c r="AG775" s="15" t="s">
        <v>167</v>
      </c>
    </row>
    <row r="776" spans="1:33">
      <c r="A776" s="14">
        <v>775</v>
      </c>
      <c r="B776" s="14" t="s">
        <v>7293</v>
      </c>
      <c r="C776" s="14" t="e">
        <v>#N/A</v>
      </c>
      <c r="D776" s="15" t="s">
        <v>1839</v>
      </c>
      <c r="E776" s="16" t="s">
        <v>7316</v>
      </c>
      <c r="F776" s="32" t="s">
        <v>7317</v>
      </c>
      <c r="G776" s="17" t="s">
        <v>7318</v>
      </c>
      <c r="H776" s="18" t="s">
        <v>7319</v>
      </c>
      <c r="I776" s="16" t="s">
        <v>7320</v>
      </c>
      <c r="J776" s="16" t="s">
        <v>173</v>
      </c>
      <c r="K776" s="16" t="s">
        <v>148</v>
      </c>
      <c r="L776" s="16">
        <v>7754503</v>
      </c>
      <c r="M776" s="16" t="s">
        <v>136</v>
      </c>
      <c r="N776" s="16" t="s">
        <v>7321</v>
      </c>
      <c r="O776" s="16" t="s">
        <v>7322</v>
      </c>
      <c r="P776" s="16" t="s">
        <v>7323</v>
      </c>
      <c r="Q776" s="16" t="s">
        <v>2215</v>
      </c>
      <c r="R776" s="16" t="s">
        <v>7267</v>
      </c>
      <c r="S776" s="19" t="s">
        <v>9868</v>
      </c>
      <c r="T776" s="20" t="s">
        <v>1914</v>
      </c>
      <c r="U776" s="16" t="s">
        <v>2886</v>
      </c>
      <c r="V776" s="16">
        <v>59100929496</v>
      </c>
      <c r="W776" s="30" t="s">
        <v>7324</v>
      </c>
      <c r="X776" s="18" t="s">
        <v>542</v>
      </c>
      <c r="Y776" s="18" t="s">
        <v>98</v>
      </c>
      <c r="Z776" s="18" t="s">
        <v>2215</v>
      </c>
      <c r="AA776" s="16" t="s">
        <v>7222</v>
      </c>
      <c r="AB776" s="16" t="s">
        <v>7223</v>
      </c>
      <c r="AC776" s="16" t="s">
        <v>7224</v>
      </c>
      <c r="AD776" s="123" t="str">
        <f t="shared" si="12"/>
        <v>External Transfer-Other banks</v>
      </c>
      <c r="AE776" s="123" t="str">
        <f>VLOOKUP(Table1[[#This Row],[Name of bank]],'اكواد البنوك'!$A$2:$B$34,2,0)</f>
        <v>MSHQEGCAXXX</v>
      </c>
      <c r="AF776" s="21" t="s">
        <v>9869</v>
      </c>
      <c r="AG776" s="15" t="s">
        <v>167</v>
      </c>
    </row>
    <row r="777" spans="1:33">
      <c r="A777" s="14">
        <v>776</v>
      </c>
      <c r="B777" s="14" t="s">
        <v>7325</v>
      </c>
      <c r="C777" s="14" t="e">
        <v>#N/A</v>
      </c>
      <c r="D777" s="15" t="s">
        <v>1839</v>
      </c>
      <c r="E777" s="16" t="s">
        <v>7326</v>
      </c>
      <c r="F777" s="32" t="s">
        <v>7327</v>
      </c>
      <c r="G777" s="17" t="s">
        <v>7328</v>
      </c>
      <c r="H777" s="18" t="s">
        <v>7329</v>
      </c>
      <c r="I777" s="16" t="s">
        <v>7330</v>
      </c>
      <c r="J777" s="16" t="s">
        <v>173</v>
      </c>
      <c r="K777" s="16" t="s">
        <v>7331</v>
      </c>
      <c r="L777" s="16">
        <v>308994</v>
      </c>
      <c r="M777" s="16" t="s">
        <v>136</v>
      </c>
      <c r="N777" s="16" t="s">
        <v>7332</v>
      </c>
      <c r="O777" s="16" t="s">
        <v>7333</v>
      </c>
      <c r="P777" s="16" t="s">
        <v>7334</v>
      </c>
      <c r="Q777" s="16" t="s">
        <v>2215</v>
      </c>
      <c r="R777" s="16" t="s">
        <v>7267</v>
      </c>
      <c r="S777" s="19" t="s">
        <v>7335</v>
      </c>
      <c r="T777" s="20" t="s">
        <v>176</v>
      </c>
      <c r="U777" s="16" t="s">
        <v>7336</v>
      </c>
      <c r="V777" s="16" t="s">
        <v>7337</v>
      </c>
      <c r="W777" s="30" t="s">
        <v>7338</v>
      </c>
      <c r="X777" s="18" t="s">
        <v>542</v>
      </c>
      <c r="Y777" s="18" t="s">
        <v>98</v>
      </c>
      <c r="Z777" s="18" t="s">
        <v>2215</v>
      </c>
      <c r="AA777" s="16" t="s">
        <v>7222</v>
      </c>
      <c r="AB777" s="16" t="s">
        <v>7223</v>
      </c>
      <c r="AC777" s="16" t="s">
        <v>7224</v>
      </c>
      <c r="AD777" s="123" t="str">
        <f t="shared" si="12"/>
        <v>External Transfer-Other banks</v>
      </c>
      <c r="AE777" s="123" t="str">
        <f>VLOOKUP(Table1[[#This Row],[Name of bank]],'اكواد البنوك'!$A$2:$B$34,2,0)</f>
        <v>BMISEGCXXXX</v>
      </c>
      <c r="AF777" s="21">
        <v>115</v>
      </c>
      <c r="AG777" s="15" t="s">
        <v>167</v>
      </c>
    </row>
    <row r="778" spans="1:33">
      <c r="A778" s="14">
        <v>777</v>
      </c>
      <c r="B778" s="14" t="s">
        <v>7325</v>
      </c>
      <c r="C778" s="14" t="s">
        <v>7944</v>
      </c>
      <c r="D778" s="15" t="s">
        <v>1839</v>
      </c>
      <c r="E778" s="16" t="s">
        <v>7339</v>
      </c>
      <c r="F778" s="32" t="s">
        <v>7340</v>
      </c>
      <c r="G778" s="17" t="s">
        <v>7341</v>
      </c>
      <c r="H778" s="18" t="s">
        <v>7342</v>
      </c>
      <c r="I778" s="16" t="s">
        <v>7343</v>
      </c>
      <c r="J778" s="16" t="s">
        <v>86</v>
      </c>
      <c r="K778" s="16" t="s">
        <v>7344</v>
      </c>
      <c r="L778" s="16">
        <v>76041451</v>
      </c>
      <c r="M778" s="16" t="s">
        <v>427</v>
      </c>
      <c r="N778" s="16" t="s">
        <v>7345</v>
      </c>
      <c r="O778" s="16" t="s">
        <v>7346</v>
      </c>
      <c r="P778" s="16" t="s">
        <v>7347</v>
      </c>
      <c r="Q778" s="16" t="s">
        <v>2215</v>
      </c>
      <c r="R778" s="16" t="s">
        <v>7267</v>
      </c>
      <c r="S778" s="19" t="s">
        <v>7348</v>
      </c>
      <c r="T778" s="20" t="s">
        <v>93</v>
      </c>
      <c r="U778" s="16" t="s">
        <v>7349</v>
      </c>
      <c r="V778" s="16">
        <v>10207673473</v>
      </c>
      <c r="W778" s="30" t="s">
        <v>7350</v>
      </c>
      <c r="X778" s="18" t="s">
        <v>542</v>
      </c>
      <c r="Y778" s="18" t="s">
        <v>98</v>
      </c>
      <c r="Z778" s="18" t="s">
        <v>2215</v>
      </c>
      <c r="AA778" s="16" t="s">
        <v>7222</v>
      </c>
      <c r="AB778" s="16" t="s">
        <v>7223</v>
      </c>
      <c r="AC778" s="16" t="s">
        <v>7224</v>
      </c>
      <c r="AD778" s="123" t="str">
        <f t="shared" si="12"/>
        <v>External Transfer-Other banks</v>
      </c>
      <c r="AE778" s="123" t="str">
        <f>VLOOKUP(Table1[[#This Row],[Name of bank]],'اكواد البنوك'!$A$2:$B$34,2,0)</f>
        <v>QNBAEGCXXXX</v>
      </c>
      <c r="AF778" s="21" t="s">
        <v>560</v>
      </c>
      <c r="AG778" s="15" t="s">
        <v>167</v>
      </c>
    </row>
    <row r="779" spans="1:33">
      <c r="A779" s="14">
        <v>778</v>
      </c>
      <c r="B779" s="14" t="s">
        <v>1904</v>
      </c>
      <c r="C779" s="14" t="s">
        <v>7978</v>
      </c>
      <c r="D779" s="15" t="s">
        <v>1839</v>
      </c>
      <c r="E779" s="16" t="s">
        <v>7351</v>
      </c>
      <c r="F779" s="32" t="s">
        <v>7352</v>
      </c>
      <c r="G779" s="17" t="s">
        <v>7353</v>
      </c>
      <c r="H779" s="18" t="s">
        <v>7354</v>
      </c>
      <c r="I779" s="16" t="s">
        <v>7355</v>
      </c>
      <c r="J779" s="16" t="s">
        <v>173</v>
      </c>
      <c r="K779" s="16" t="s">
        <v>269</v>
      </c>
      <c r="L779" s="16" t="s">
        <v>136</v>
      </c>
      <c r="M779" s="16" t="s">
        <v>136</v>
      </c>
      <c r="N779" s="16" t="s">
        <v>7356</v>
      </c>
      <c r="O779" s="16" t="s">
        <v>7357</v>
      </c>
      <c r="P779" s="16" t="s">
        <v>7358</v>
      </c>
      <c r="Q779" s="16" t="s">
        <v>2215</v>
      </c>
      <c r="R779" s="16" t="s">
        <v>7267</v>
      </c>
      <c r="S779" s="19" t="s">
        <v>7359</v>
      </c>
      <c r="T779" s="20" t="s">
        <v>176</v>
      </c>
      <c r="U779" s="16" t="s">
        <v>7360</v>
      </c>
      <c r="V779" s="16" t="s">
        <v>7361</v>
      </c>
      <c r="W779" s="30" t="s">
        <v>7362</v>
      </c>
      <c r="X779" s="18" t="s">
        <v>542</v>
      </c>
      <c r="Y779" s="18" t="s">
        <v>98</v>
      </c>
      <c r="Z779" s="18" t="s">
        <v>2215</v>
      </c>
      <c r="AA779" s="16" t="s">
        <v>7222</v>
      </c>
      <c r="AB779" s="16" t="s">
        <v>7223</v>
      </c>
      <c r="AC779" s="16" t="s">
        <v>7224</v>
      </c>
      <c r="AD779" s="123" t="str">
        <f t="shared" si="12"/>
        <v>External Transfer-Other banks</v>
      </c>
      <c r="AE779" s="123" t="str">
        <f>VLOOKUP(Table1[[#This Row],[Name of bank]],'اكواد البنوك'!$A$2:$B$34,2,0)</f>
        <v>BMISEGCXXXX</v>
      </c>
      <c r="AF779" s="21" t="s">
        <v>7363</v>
      </c>
      <c r="AG779" s="15" t="s">
        <v>49</v>
      </c>
    </row>
    <row r="780" spans="1:33">
      <c r="A780" s="14">
        <v>779</v>
      </c>
      <c r="B780" s="14" t="s">
        <v>1904</v>
      </c>
      <c r="C780" s="14" t="s">
        <v>8305</v>
      </c>
      <c r="D780" s="15" t="s">
        <v>1839</v>
      </c>
      <c r="E780" s="16" t="s">
        <v>7364</v>
      </c>
      <c r="F780" s="32" t="s">
        <v>7365</v>
      </c>
      <c r="G780" s="17" t="s">
        <v>7366</v>
      </c>
      <c r="H780" s="18" t="s">
        <v>7367</v>
      </c>
      <c r="I780" s="16" t="s">
        <v>7368</v>
      </c>
      <c r="J780" s="16" t="s">
        <v>86</v>
      </c>
      <c r="K780" s="16" t="s">
        <v>7369</v>
      </c>
      <c r="L780" s="16">
        <v>35701124</v>
      </c>
      <c r="M780" s="16" t="s">
        <v>7370</v>
      </c>
      <c r="N780" s="16" t="s">
        <v>7371</v>
      </c>
      <c r="O780" s="16" t="s">
        <v>7372</v>
      </c>
      <c r="P780" s="16" t="s">
        <v>7373</v>
      </c>
      <c r="Q780" s="16" t="s">
        <v>2215</v>
      </c>
      <c r="R780" s="16" t="s">
        <v>7267</v>
      </c>
      <c r="S780" s="19" t="s">
        <v>7374</v>
      </c>
      <c r="T780" s="20" t="s">
        <v>40</v>
      </c>
      <c r="U780" s="16" t="s">
        <v>1926</v>
      </c>
      <c r="V780" s="16" t="s">
        <v>7375</v>
      </c>
      <c r="W780" s="30" t="s">
        <v>7376</v>
      </c>
      <c r="X780" s="18" t="s">
        <v>542</v>
      </c>
      <c r="Y780" s="18" t="s">
        <v>98</v>
      </c>
      <c r="Z780" s="18" t="s">
        <v>2215</v>
      </c>
      <c r="AA780" s="16" t="s">
        <v>7222</v>
      </c>
      <c r="AB780" s="16" t="s">
        <v>7223</v>
      </c>
      <c r="AC780" s="16" t="s">
        <v>7224</v>
      </c>
      <c r="AD780" s="123" t="str">
        <f t="shared" si="12"/>
        <v>External Transfer-NBE</v>
      </c>
      <c r="AE780" s="123" t="str">
        <f>VLOOKUP(Table1[[#This Row],[Name of bank]],'اكواد البنوك'!$A$2:$B$34,2,0)</f>
        <v>NBEGEGCXXXX</v>
      </c>
      <c r="AF780" s="21">
        <v>196</v>
      </c>
      <c r="AG780" s="15" t="s">
        <v>167</v>
      </c>
    </row>
    <row r="781" spans="1:33">
      <c r="A781" s="14">
        <v>780</v>
      </c>
      <c r="B781" s="14" t="s">
        <v>1904</v>
      </c>
      <c r="C781" s="14" t="s">
        <v>8305</v>
      </c>
      <c r="D781" s="15" t="s">
        <v>1839</v>
      </c>
      <c r="E781" s="16" t="s">
        <v>7377</v>
      </c>
      <c r="F781" s="32" t="s">
        <v>7378</v>
      </c>
      <c r="G781" s="17" t="s">
        <v>7379</v>
      </c>
      <c r="H781" s="18" t="s">
        <v>7380</v>
      </c>
      <c r="I781" s="16" t="s">
        <v>7381</v>
      </c>
      <c r="J781" s="16" t="s">
        <v>2035</v>
      </c>
      <c r="K781" s="16" t="s">
        <v>7382</v>
      </c>
      <c r="L781" s="16">
        <v>30579257</v>
      </c>
      <c r="M781" s="16" t="s">
        <v>136</v>
      </c>
      <c r="N781" s="16" t="s">
        <v>7383</v>
      </c>
      <c r="O781" s="16" t="s">
        <v>7384</v>
      </c>
      <c r="P781" s="16" t="s">
        <v>7385</v>
      </c>
      <c r="Q781" s="16" t="s">
        <v>2215</v>
      </c>
      <c r="R781" s="16" t="s">
        <v>7267</v>
      </c>
      <c r="S781" s="19" t="s">
        <v>7378</v>
      </c>
      <c r="T781" s="20" t="s">
        <v>1566</v>
      </c>
      <c r="U781" s="16" t="s">
        <v>7386</v>
      </c>
      <c r="V781" s="16" t="s">
        <v>9870</v>
      </c>
      <c r="W781" s="30" t="s">
        <v>7387</v>
      </c>
      <c r="X781" s="18" t="s">
        <v>542</v>
      </c>
      <c r="Y781" s="18" t="s">
        <v>98</v>
      </c>
      <c r="Z781" s="18" t="s">
        <v>2215</v>
      </c>
      <c r="AA781" s="16" t="s">
        <v>7222</v>
      </c>
      <c r="AB781" s="16" t="s">
        <v>7223</v>
      </c>
      <c r="AC781" s="16" t="s">
        <v>7224</v>
      </c>
      <c r="AD781" s="123" t="str">
        <f t="shared" si="12"/>
        <v>External Transfer-Other banks</v>
      </c>
      <c r="AE781" s="123" t="str">
        <f>VLOOKUP(Table1[[#This Row],[Name of bank]],'اكواد البنوك'!$A$2:$B$34,2,0)</f>
        <v>HDBKEGCAXXX</v>
      </c>
      <c r="AF781" s="21">
        <v>17</v>
      </c>
      <c r="AG781" s="15" t="s">
        <v>167</v>
      </c>
    </row>
    <row r="782" spans="1:33">
      <c r="A782" s="14">
        <v>781</v>
      </c>
      <c r="B782" s="14" t="s">
        <v>2029</v>
      </c>
      <c r="C782" s="14" t="s">
        <v>7978</v>
      </c>
      <c r="D782" s="15" t="s">
        <v>1839</v>
      </c>
      <c r="E782" s="16" t="s">
        <v>7388</v>
      </c>
      <c r="F782" s="32" t="s">
        <v>7389</v>
      </c>
      <c r="G782" s="17" t="s">
        <v>7390</v>
      </c>
      <c r="H782" s="18" t="s">
        <v>7391</v>
      </c>
      <c r="I782" s="16" t="s">
        <v>7392</v>
      </c>
      <c r="J782" s="16" t="s">
        <v>86</v>
      </c>
      <c r="K782" s="16" t="s">
        <v>7393</v>
      </c>
      <c r="L782" s="16" t="s">
        <v>136</v>
      </c>
      <c r="M782" s="16" t="s">
        <v>136</v>
      </c>
      <c r="N782" s="16" t="s">
        <v>7394</v>
      </c>
      <c r="O782" s="16" t="s">
        <v>7395</v>
      </c>
      <c r="P782" s="16" t="s">
        <v>7396</v>
      </c>
      <c r="Q782" s="16" t="s">
        <v>2215</v>
      </c>
      <c r="R782" s="16" t="s">
        <v>7267</v>
      </c>
      <c r="S782" s="19" t="s">
        <v>7397</v>
      </c>
      <c r="T782" s="20" t="s">
        <v>176</v>
      </c>
      <c r="U782" s="16" t="s">
        <v>7398</v>
      </c>
      <c r="V782" s="16" t="s">
        <v>7399</v>
      </c>
      <c r="W782" s="30" t="s">
        <v>7400</v>
      </c>
      <c r="X782" s="18" t="s">
        <v>542</v>
      </c>
      <c r="Y782" s="18" t="s">
        <v>98</v>
      </c>
      <c r="Z782" s="18" t="s">
        <v>2215</v>
      </c>
      <c r="AA782" s="16" t="s">
        <v>7222</v>
      </c>
      <c r="AB782" s="16" t="s">
        <v>7223</v>
      </c>
      <c r="AC782" s="16" t="s">
        <v>7224</v>
      </c>
      <c r="AD782" s="123" t="str">
        <f t="shared" si="12"/>
        <v>External Transfer-Other banks</v>
      </c>
      <c r="AE782" s="123" t="str">
        <f>VLOOKUP(Table1[[#This Row],[Name of bank]],'اكواد البنوك'!$A$2:$B$34,2,0)</f>
        <v>BMISEGCXXXX</v>
      </c>
      <c r="AF782" s="21" t="s">
        <v>2321</v>
      </c>
      <c r="AG782" s="15" t="s">
        <v>49</v>
      </c>
    </row>
    <row r="783" spans="1:33">
      <c r="A783" s="14">
        <v>782</v>
      </c>
      <c r="B783" s="14" t="s">
        <v>2029</v>
      </c>
      <c r="C783" s="14" t="s">
        <v>8016</v>
      </c>
      <c r="D783" s="15" t="s">
        <v>1839</v>
      </c>
      <c r="E783" s="16" t="s">
        <v>7401</v>
      </c>
      <c r="F783" s="32" t="s">
        <v>7402</v>
      </c>
      <c r="G783" s="17" t="s">
        <v>7403</v>
      </c>
      <c r="H783" s="18" t="s">
        <v>7404</v>
      </c>
      <c r="I783" s="16" t="s">
        <v>7405</v>
      </c>
      <c r="J783" s="16" t="s">
        <v>86</v>
      </c>
      <c r="K783" s="16" t="s">
        <v>7406</v>
      </c>
      <c r="L783" s="16">
        <v>58005946</v>
      </c>
      <c r="M783" s="16">
        <v>298443414</v>
      </c>
      <c r="N783" s="16" t="s">
        <v>7407</v>
      </c>
      <c r="O783" s="16" t="s">
        <v>7408</v>
      </c>
      <c r="P783" s="16" t="s">
        <v>7409</v>
      </c>
      <c r="Q783" s="16" t="s">
        <v>2215</v>
      </c>
      <c r="R783" s="16" t="s">
        <v>7267</v>
      </c>
      <c r="S783" s="19" t="s">
        <v>7410</v>
      </c>
      <c r="T783" s="20" t="s">
        <v>307</v>
      </c>
      <c r="U783" s="16" t="s">
        <v>7411</v>
      </c>
      <c r="V783" s="16" t="s">
        <v>7412</v>
      </c>
      <c r="W783" s="30" t="s">
        <v>7413</v>
      </c>
      <c r="X783" s="18" t="s">
        <v>542</v>
      </c>
      <c r="Y783" s="18" t="s">
        <v>98</v>
      </c>
      <c r="Z783" s="18" t="s">
        <v>2215</v>
      </c>
      <c r="AA783" s="16" t="s">
        <v>7222</v>
      </c>
      <c r="AB783" s="16" t="s">
        <v>7223</v>
      </c>
      <c r="AC783" s="16" t="s">
        <v>7224</v>
      </c>
      <c r="AD783" s="123" t="str">
        <f t="shared" si="12"/>
        <v>External Transfer-Other banks</v>
      </c>
      <c r="AE783" s="123" t="str">
        <f>VLOOKUP(Table1[[#This Row],[Name of bank]],'اكواد البنوك'!$A$2:$B$34,2,0)</f>
        <v>CIBEEGCXXXX</v>
      </c>
      <c r="AF783" s="21" t="s">
        <v>7414</v>
      </c>
      <c r="AG783" s="15" t="s">
        <v>49</v>
      </c>
    </row>
    <row r="784" spans="1:33">
      <c r="A784" s="14">
        <v>783</v>
      </c>
      <c r="B784" s="14" t="s">
        <v>2029</v>
      </c>
      <c r="C784" s="14" t="e">
        <v>#N/A</v>
      </c>
      <c r="D784" s="15" t="s">
        <v>1839</v>
      </c>
      <c r="E784" s="16" t="s">
        <v>7415</v>
      </c>
      <c r="F784" s="32" t="s">
        <v>7416</v>
      </c>
      <c r="G784" s="17" t="s">
        <v>7417</v>
      </c>
      <c r="H784" s="18" t="s">
        <v>7418</v>
      </c>
      <c r="I784" s="16" t="s">
        <v>7419</v>
      </c>
      <c r="J784" s="16" t="s">
        <v>86</v>
      </c>
      <c r="K784" s="16" t="s">
        <v>7420</v>
      </c>
      <c r="L784" s="16">
        <v>11661218</v>
      </c>
      <c r="M784" s="16" t="s">
        <v>1079</v>
      </c>
      <c r="N784" s="16" t="s">
        <v>7421</v>
      </c>
      <c r="O784" s="16" t="s">
        <v>7422</v>
      </c>
      <c r="P784" s="16" t="s">
        <v>7423</v>
      </c>
      <c r="Q784" s="16" t="s">
        <v>2215</v>
      </c>
      <c r="R784" s="16" t="s">
        <v>7267</v>
      </c>
      <c r="S784" s="19" t="s">
        <v>7415</v>
      </c>
      <c r="T784" s="20" t="s">
        <v>40</v>
      </c>
      <c r="U784" s="16" t="s">
        <v>9871</v>
      </c>
      <c r="V784" s="16" t="s">
        <v>9872</v>
      </c>
      <c r="W784" s="30" t="s">
        <v>7424</v>
      </c>
      <c r="X784" s="18" t="s">
        <v>542</v>
      </c>
      <c r="Y784" s="18" t="s">
        <v>98</v>
      </c>
      <c r="Z784" s="18" t="s">
        <v>2215</v>
      </c>
      <c r="AA784" s="16" t="s">
        <v>7222</v>
      </c>
      <c r="AB784" s="16" t="s">
        <v>7223</v>
      </c>
      <c r="AC784" s="16" t="s">
        <v>7224</v>
      </c>
      <c r="AD784" s="123" t="str">
        <f t="shared" si="12"/>
        <v>External Transfer-NBE</v>
      </c>
      <c r="AE784" s="123" t="str">
        <f>VLOOKUP(Table1[[#This Row],[Name of bank]],'اكواد البنوك'!$A$2:$B$34,2,0)</f>
        <v>NBEGEGCXXXX</v>
      </c>
      <c r="AF784" s="21">
        <v>197</v>
      </c>
      <c r="AG784" s="15" t="s">
        <v>167</v>
      </c>
    </row>
    <row r="785" spans="1:33">
      <c r="A785" s="14">
        <v>784</v>
      </c>
      <c r="B785" s="14" t="s">
        <v>1811</v>
      </c>
      <c r="C785" s="14" t="s">
        <v>8016</v>
      </c>
      <c r="D785" s="15" t="s">
        <v>1839</v>
      </c>
      <c r="E785" s="16" t="s">
        <v>7425</v>
      </c>
      <c r="F785" s="32" t="s">
        <v>10055</v>
      </c>
      <c r="G785" s="17" t="s">
        <v>7426</v>
      </c>
      <c r="H785" s="18" t="s">
        <v>7427</v>
      </c>
      <c r="I785" s="16" t="s">
        <v>7428</v>
      </c>
      <c r="J785" s="16" t="s">
        <v>86</v>
      </c>
      <c r="K785" s="16" t="s">
        <v>7429</v>
      </c>
      <c r="L785" s="16">
        <v>68603750</v>
      </c>
      <c r="M785" s="16">
        <v>3020421</v>
      </c>
      <c r="N785" s="16" t="s">
        <v>7430</v>
      </c>
      <c r="O785" s="16" t="s">
        <v>7431</v>
      </c>
      <c r="P785" s="16" t="s">
        <v>7432</v>
      </c>
      <c r="Q785" s="16" t="s">
        <v>2215</v>
      </c>
      <c r="R785" s="16" t="s">
        <v>7267</v>
      </c>
      <c r="S785" s="19" t="s">
        <v>7425</v>
      </c>
      <c r="T785" s="20" t="s">
        <v>1238</v>
      </c>
      <c r="U785" s="16" t="s">
        <v>7433</v>
      </c>
      <c r="V785" s="16" t="s">
        <v>7434</v>
      </c>
      <c r="W785" s="30" t="s">
        <v>7435</v>
      </c>
      <c r="X785" s="18" t="s">
        <v>542</v>
      </c>
      <c r="Y785" s="18" t="s">
        <v>98</v>
      </c>
      <c r="Z785" s="18" t="s">
        <v>2215</v>
      </c>
      <c r="AA785" s="16" t="s">
        <v>7222</v>
      </c>
      <c r="AB785" s="16" t="s">
        <v>7223</v>
      </c>
      <c r="AC785" s="16" t="s">
        <v>7224</v>
      </c>
      <c r="AD785" s="123" t="str">
        <f t="shared" si="12"/>
        <v>External Transfer-Other banks</v>
      </c>
      <c r="AE785" s="123" t="str">
        <f>VLOOKUP(Table1[[#This Row],[Name of bank]],'اكواد البنوك'!$A$2:$B$34,2,0)</f>
        <v>EBBKEGCXXXX</v>
      </c>
      <c r="AF785" s="21" t="s">
        <v>346</v>
      </c>
      <c r="AG785" s="15" t="s">
        <v>49</v>
      </c>
    </row>
    <row r="786" spans="1:33">
      <c r="A786" s="14">
        <v>785</v>
      </c>
      <c r="B786" s="14" t="s">
        <v>1811</v>
      </c>
      <c r="C786" s="14" t="s">
        <v>8336</v>
      </c>
      <c r="D786" s="15" t="s">
        <v>1839</v>
      </c>
      <c r="E786" s="16" t="s">
        <v>7436</v>
      </c>
      <c r="F786" s="32" t="s">
        <v>7437</v>
      </c>
      <c r="G786" s="17" t="s">
        <v>7438</v>
      </c>
      <c r="H786" s="18" t="s">
        <v>7439</v>
      </c>
      <c r="I786" s="16" t="s">
        <v>7440</v>
      </c>
      <c r="J786" s="16" t="s">
        <v>173</v>
      </c>
      <c r="K786" s="16" t="s">
        <v>3143</v>
      </c>
      <c r="L786" s="16">
        <v>29380493</v>
      </c>
      <c r="M786" s="16" t="s">
        <v>136</v>
      </c>
      <c r="N786" s="16" t="s">
        <v>7441</v>
      </c>
      <c r="O786" s="16" t="s">
        <v>7442</v>
      </c>
      <c r="P786" s="16" t="s">
        <v>7443</v>
      </c>
      <c r="Q786" s="16" t="s">
        <v>2215</v>
      </c>
      <c r="R786" s="16" t="s">
        <v>7267</v>
      </c>
      <c r="S786" s="19" t="s">
        <v>7444</v>
      </c>
      <c r="T786" s="20" t="s">
        <v>176</v>
      </c>
      <c r="U786" s="16" t="s">
        <v>7445</v>
      </c>
      <c r="V786" s="16" t="s">
        <v>9873</v>
      </c>
      <c r="W786" s="30" t="s">
        <v>7446</v>
      </c>
      <c r="X786" s="18" t="s">
        <v>542</v>
      </c>
      <c r="Y786" s="18" t="s">
        <v>98</v>
      </c>
      <c r="Z786" s="18" t="s">
        <v>2215</v>
      </c>
      <c r="AA786" s="16" t="s">
        <v>7222</v>
      </c>
      <c r="AB786" s="16" t="s">
        <v>7223</v>
      </c>
      <c r="AC786" s="16" t="s">
        <v>7224</v>
      </c>
      <c r="AD786" s="123" t="str">
        <f t="shared" si="12"/>
        <v>External Transfer-Other banks</v>
      </c>
      <c r="AE786" s="123" t="str">
        <f>VLOOKUP(Table1[[#This Row],[Name of bank]],'اكواد البنوك'!$A$2:$B$34,2,0)</f>
        <v>BMISEGCXXXX</v>
      </c>
      <c r="AF786" s="21">
        <v>798</v>
      </c>
      <c r="AG786" s="15" t="s">
        <v>167</v>
      </c>
    </row>
    <row r="787" spans="1:33">
      <c r="A787" s="14">
        <v>786</v>
      </c>
      <c r="B787" s="14" t="s">
        <v>1811</v>
      </c>
      <c r="C787" s="14" t="e">
        <v>#N/A</v>
      </c>
      <c r="D787" s="15" t="s">
        <v>1839</v>
      </c>
      <c r="E787" s="16" t="s">
        <v>7447</v>
      </c>
      <c r="F787" s="32" t="s">
        <v>7448</v>
      </c>
      <c r="G787" s="17" t="s">
        <v>7449</v>
      </c>
      <c r="H787" s="18" t="s">
        <v>7450</v>
      </c>
      <c r="I787" s="16" t="s">
        <v>7451</v>
      </c>
      <c r="J787" s="16" t="s">
        <v>86</v>
      </c>
      <c r="K787" s="16" t="s">
        <v>7097</v>
      </c>
      <c r="L787" s="16">
        <v>60826168</v>
      </c>
      <c r="M787" s="16">
        <v>694789704</v>
      </c>
      <c r="N787" s="16" t="s">
        <v>7452</v>
      </c>
      <c r="O787" s="16" t="s">
        <v>7453</v>
      </c>
      <c r="P787" s="16" t="s">
        <v>7454</v>
      </c>
      <c r="Q787" s="16" t="s">
        <v>2215</v>
      </c>
      <c r="R787" s="16" t="s">
        <v>7267</v>
      </c>
      <c r="S787" s="19" t="s">
        <v>9874</v>
      </c>
      <c r="T787" s="20" t="s">
        <v>6292</v>
      </c>
      <c r="U787" s="16" t="s">
        <v>9875</v>
      </c>
      <c r="V787" s="16" t="s">
        <v>7455</v>
      </c>
      <c r="W787" s="30" t="s">
        <v>7456</v>
      </c>
      <c r="X787" s="18" t="s">
        <v>542</v>
      </c>
      <c r="Y787" s="18" t="s">
        <v>98</v>
      </c>
      <c r="Z787" s="18" t="s">
        <v>2215</v>
      </c>
      <c r="AA787" s="16" t="s">
        <v>7222</v>
      </c>
      <c r="AB787" s="16" t="s">
        <v>7223</v>
      </c>
      <c r="AC787" s="16" t="s">
        <v>7224</v>
      </c>
      <c r="AD787" s="123" t="str">
        <f t="shared" si="12"/>
        <v>External Transfer-Other banks</v>
      </c>
      <c r="AE787" s="123" t="str">
        <f>VLOOKUP(Table1[[#This Row],[Name of bank]],'اكواد البنوك'!$A$2:$B$34,2,0)</f>
        <v>FIEGEGCXXXX</v>
      </c>
      <c r="AF787" s="21">
        <v>21</v>
      </c>
      <c r="AG787" s="15" t="s">
        <v>167</v>
      </c>
    </row>
    <row r="788" spans="1:33">
      <c r="A788" s="14">
        <v>787</v>
      </c>
      <c r="B788" s="14" t="s">
        <v>7457</v>
      </c>
      <c r="C788" s="14" t="e">
        <v>#N/A</v>
      </c>
      <c r="D788" s="15" t="s">
        <v>1839</v>
      </c>
      <c r="E788" s="16" t="s">
        <v>7458</v>
      </c>
      <c r="F788" s="32" t="s">
        <v>7459</v>
      </c>
      <c r="G788" s="17" t="s">
        <v>7460</v>
      </c>
      <c r="H788" s="18" t="s">
        <v>7461</v>
      </c>
      <c r="I788" s="16" t="s">
        <v>7462</v>
      </c>
      <c r="J788" s="16" t="s">
        <v>173</v>
      </c>
      <c r="K788" s="16" t="s">
        <v>7463</v>
      </c>
      <c r="L788" s="16">
        <v>23694080</v>
      </c>
      <c r="M788" s="16">
        <v>303589302</v>
      </c>
      <c r="N788" s="16" t="s">
        <v>7464</v>
      </c>
      <c r="O788" s="16" t="s">
        <v>7465</v>
      </c>
      <c r="P788" s="16" t="s">
        <v>7466</v>
      </c>
      <c r="Q788" s="16" t="s">
        <v>2215</v>
      </c>
      <c r="R788" s="16" t="s">
        <v>7267</v>
      </c>
      <c r="S788" s="19" t="s">
        <v>7467</v>
      </c>
      <c r="T788" s="20" t="s">
        <v>6535</v>
      </c>
      <c r="U788" s="16" t="s">
        <v>3026</v>
      </c>
      <c r="V788" s="16" t="s">
        <v>7468</v>
      </c>
      <c r="W788" s="30" t="s">
        <v>7469</v>
      </c>
      <c r="X788" s="18" t="s">
        <v>542</v>
      </c>
      <c r="Y788" s="18" t="s">
        <v>98</v>
      </c>
      <c r="Z788" s="18" t="s">
        <v>2215</v>
      </c>
      <c r="AA788" s="16" t="s">
        <v>7222</v>
      </c>
      <c r="AB788" s="16" t="s">
        <v>7223</v>
      </c>
      <c r="AC788" s="16" t="s">
        <v>7224</v>
      </c>
      <c r="AD788" s="123" t="str">
        <f t="shared" si="12"/>
        <v>External Transfer-Other banks</v>
      </c>
      <c r="AE788" s="123" t="str">
        <f>VLOOKUP(Table1[[#This Row],[Name of bank]],'اكواد البنوك'!$A$2:$B$34,2,0)</f>
        <v>WABAEGCXXXX</v>
      </c>
      <c r="AF788" s="21" t="s">
        <v>129</v>
      </c>
      <c r="AG788" s="15" t="s">
        <v>49</v>
      </c>
    </row>
    <row r="789" spans="1:33">
      <c r="A789" s="14">
        <v>788</v>
      </c>
      <c r="B789" s="14" t="s">
        <v>7457</v>
      </c>
      <c r="C789" s="14" t="e">
        <v>#N/A</v>
      </c>
      <c r="D789" s="15" t="s">
        <v>1839</v>
      </c>
      <c r="E789" s="43" t="s">
        <v>7470</v>
      </c>
      <c r="F789" s="32" t="s">
        <v>10006</v>
      </c>
      <c r="G789" s="17" t="s">
        <v>7471</v>
      </c>
      <c r="H789" s="18" t="s">
        <v>7472</v>
      </c>
      <c r="I789" s="16" t="s">
        <v>7473</v>
      </c>
      <c r="J789" s="16" t="s">
        <v>86</v>
      </c>
      <c r="K789" s="16" t="s">
        <v>5196</v>
      </c>
      <c r="L789" s="16" t="s">
        <v>136</v>
      </c>
      <c r="M789" s="16" t="s">
        <v>977</v>
      </c>
      <c r="N789" s="16" t="s">
        <v>7474</v>
      </c>
      <c r="O789" s="16" t="s">
        <v>7475</v>
      </c>
      <c r="P789" s="16" t="s">
        <v>7476</v>
      </c>
      <c r="Q789" s="16" t="s">
        <v>2215</v>
      </c>
      <c r="R789" s="16" t="s">
        <v>7267</v>
      </c>
      <c r="S789" s="41" t="s">
        <v>7477</v>
      </c>
      <c r="T789" s="42" t="s">
        <v>93</v>
      </c>
      <c r="U789" s="43" t="s">
        <v>1815</v>
      </c>
      <c r="V789" s="45" t="s">
        <v>10277</v>
      </c>
      <c r="W789" s="45" t="s">
        <v>10278</v>
      </c>
      <c r="X789" s="46" t="s">
        <v>542</v>
      </c>
      <c r="Y789" s="51" t="s">
        <v>98</v>
      </c>
      <c r="Z789" s="47" t="s">
        <v>2215</v>
      </c>
      <c r="AA789" s="48" t="s">
        <v>7222</v>
      </c>
      <c r="AB789" s="48" t="s">
        <v>7223</v>
      </c>
      <c r="AC789" s="48" t="s">
        <v>7224</v>
      </c>
      <c r="AD789" s="123" t="str">
        <f t="shared" si="12"/>
        <v>External Transfer-Other banks</v>
      </c>
      <c r="AE789" s="123" t="s">
        <v>99</v>
      </c>
      <c r="AF789" s="52" t="s">
        <v>8985</v>
      </c>
      <c r="AG789" s="53" t="s">
        <v>167</v>
      </c>
    </row>
    <row r="790" spans="1:33">
      <c r="A790" s="14">
        <v>789</v>
      </c>
      <c r="B790" s="14" t="s">
        <v>7457</v>
      </c>
      <c r="C790" s="14" t="s">
        <v>8040</v>
      </c>
      <c r="D790" s="15" t="s">
        <v>1839</v>
      </c>
      <c r="E790" s="16" t="s">
        <v>7478</v>
      </c>
      <c r="F790" s="32" t="s">
        <v>7479</v>
      </c>
      <c r="G790" s="17" t="s">
        <v>7480</v>
      </c>
      <c r="H790" s="18" t="s">
        <v>7481</v>
      </c>
      <c r="I790" s="16" t="s">
        <v>7482</v>
      </c>
      <c r="J790" s="16" t="s">
        <v>173</v>
      </c>
      <c r="K790" s="16" t="s">
        <v>7483</v>
      </c>
      <c r="L790" s="16" t="s">
        <v>4273</v>
      </c>
      <c r="M790" s="16" t="s">
        <v>1996</v>
      </c>
      <c r="N790" s="16" t="s">
        <v>1996</v>
      </c>
      <c r="O790" s="16" t="s">
        <v>7484</v>
      </c>
      <c r="P790" s="16" t="s">
        <v>7485</v>
      </c>
      <c r="Q790" s="16" t="s">
        <v>2215</v>
      </c>
      <c r="R790" s="16" t="s">
        <v>7267</v>
      </c>
      <c r="S790" s="19" t="s">
        <v>9876</v>
      </c>
      <c r="T790" s="20" t="s">
        <v>40</v>
      </c>
      <c r="U790" s="16" t="s">
        <v>7486</v>
      </c>
      <c r="V790" s="16" t="s">
        <v>9877</v>
      </c>
      <c r="W790" s="30" t="s">
        <v>7487</v>
      </c>
      <c r="X790" s="18" t="s">
        <v>542</v>
      </c>
      <c r="Y790" s="18" t="s">
        <v>98</v>
      </c>
      <c r="Z790" s="18" t="s">
        <v>2215</v>
      </c>
      <c r="AA790" s="16" t="s">
        <v>7222</v>
      </c>
      <c r="AB790" s="16" t="s">
        <v>7223</v>
      </c>
      <c r="AC790" s="16" t="s">
        <v>7224</v>
      </c>
      <c r="AD790" s="123" t="str">
        <f t="shared" si="12"/>
        <v>External Transfer-NBE</v>
      </c>
      <c r="AE790" s="123" t="str">
        <f>VLOOKUP(Table1[[#This Row],[Name of bank]],'اكواد البنوك'!$A$2:$B$34,2,0)</f>
        <v>NBEGEGCXXXX</v>
      </c>
      <c r="AF790" s="21" t="s">
        <v>8973</v>
      </c>
      <c r="AG790" s="15" t="s">
        <v>167</v>
      </c>
    </row>
    <row r="791" spans="1:33">
      <c r="A791" s="14">
        <v>790</v>
      </c>
      <c r="B791" s="14" t="s">
        <v>206</v>
      </c>
      <c r="C791" s="14" t="s">
        <v>206</v>
      </c>
      <c r="D791" s="15" t="s">
        <v>1703</v>
      </c>
      <c r="E791" s="16" t="s">
        <v>7488</v>
      </c>
      <c r="F791" s="32" t="s">
        <v>7489</v>
      </c>
      <c r="G791" s="17" t="s">
        <v>7490</v>
      </c>
      <c r="H791" s="18" t="s">
        <v>7491</v>
      </c>
      <c r="I791" s="16" t="s">
        <v>1703</v>
      </c>
      <c r="J791" s="16" t="s">
        <v>2215</v>
      </c>
      <c r="K791" s="16" t="s">
        <v>7223</v>
      </c>
      <c r="L791" s="16"/>
      <c r="M791" s="16"/>
      <c r="N791" s="16"/>
      <c r="O791" s="16"/>
      <c r="P791" s="16"/>
      <c r="Q791" s="16" t="s">
        <v>2215</v>
      </c>
      <c r="R791" s="16" t="s">
        <v>7267</v>
      </c>
      <c r="S791" s="19"/>
      <c r="T791" s="20" t="s">
        <v>40</v>
      </c>
      <c r="U791" s="16"/>
      <c r="V791" s="16"/>
      <c r="W791" s="30" t="s">
        <v>7492</v>
      </c>
      <c r="X791" s="18" t="s">
        <v>78</v>
      </c>
      <c r="Y791" s="18" t="s">
        <v>43</v>
      </c>
      <c r="Z791" s="18" t="s">
        <v>2215</v>
      </c>
      <c r="AA791" s="16" t="s">
        <v>7222</v>
      </c>
      <c r="AB791" s="16" t="s">
        <v>7223</v>
      </c>
      <c r="AC791" s="16" t="s">
        <v>7224</v>
      </c>
      <c r="AD791" s="123" t="str">
        <f t="shared" si="12"/>
        <v>Internal Transfer</v>
      </c>
      <c r="AE791" s="123" t="str">
        <f>VLOOKUP(Table1[[#This Row],[Name of bank]],'اكواد البنوك'!$A$2:$B$34,2,0)</f>
        <v>NBEGEGCXXXX</v>
      </c>
      <c r="AF791" s="21" t="s">
        <v>7492</v>
      </c>
      <c r="AG791" s="15" t="s">
        <v>49</v>
      </c>
    </row>
    <row r="792" spans="1:33">
      <c r="A792" s="14">
        <v>791</v>
      </c>
      <c r="B792" s="14" t="s">
        <v>206</v>
      </c>
      <c r="C792" s="14" t="e">
        <v>#N/A</v>
      </c>
      <c r="D792" s="15" t="s">
        <v>1855</v>
      </c>
      <c r="E792" s="16" t="s">
        <v>7493</v>
      </c>
      <c r="F792" s="32" t="s">
        <v>7494</v>
      </c>
      <c r="G792" s="17" t="s">
        <v>7495</v>
      </c>
      <c r="H792" s="18" t="s">
        <v>7496</v>
      </c>
      <c r="I792" s="16" t="s">
        <v>7497</v>
      </c>
      <c r="J792" s="16" t="s">
        <v>86</v>
      </c>
      <c r="K792" s="16" t="s">
        <v>7498</v>
      </c>
      <c r="L792" s="16" t="s">
        <v>977</v>
      </c>
      <c r="M792" s="16" t="s">
        <v>136</v>
      </c>
      <c r="N792" s="16" t="s">
        <v>7499</v>
      </c>
      <c r="O792" s="16" t="s">
        <v>7500</v>
      </c>
      <c r="P792" s="16" t="s">
        <v>7501</v>
      </c>
      <c r="Q792" s="16" t="s">
        <v>2215</v>
      </c>
      <c r="R792" s="16" t="s">
        <v>7267</v>
      </c>
      <c r="S792" s="19" t="s">
        <v>7502</v>
      </c>
      <c r="T792" s="20" t="s">
        <v>93</v>
      </c>
      <c r="U792" s="16" t="s">
        <v>1098</v>
      </c>
      <c r="V792" s="16" t="s">
        <v>7503</v>
      </c>
      <c r="W792" s="113" t="s">
        <v>7504</v>
      </c>
      <c r="X792" s="18" t="s">
        <v>97</v>
      </c>
      <c r="Y792" s="18" t="s">
        <v>98</v>
      </c>
      <c r="Z792" s="18" t="s">
        <v>2215</v>
      </c>
      <c r="AA792" s="16" t="s">
        <v>7222</v>
      </c>
      <c r="AB792" s="16" t="s">
        <v>7223</v>
      </c>
      <c r="AC792" s="16" t="s">
        <v>7224</v>
      </c>
      <c r="AD792" s="123" t="str">
        <f t="shared" si="12"/>
        <v>External Transfer-Other banks</v>
      </c>
      <c r="AE792" s="123" t="str">
        <f>VLOOKUP(Table1[[#This Row],[Name of bank]],'اكواد البنوك'!$A$2:$B$34,2,0)</f>
        <v>QNBAEGCXXXX</v>
      </c>
      <c r="AF792" s="114" t="s">
        <v>560</v>
      </c>
      <c r="AG792" s="15" t="s">
        <v>167</v>
      </c>
    </row>
    <row r="793" spans="1:33">
      <c r="A793" s="14">
        <v>792</v>
      </c>
      <c r="B793" s="14" t="s">
        <v>206</v>
      </c>
      <c r="C793" s="14" t="s">
        <v>206</v>
      </c>
      <c r="D793" s="15" t="s">
        <v>1839</v>
      </c>
      <c r="E793" s="16" t="s">
        <v>7505</v>
      </c>
      <c r="F793" s="32" t="s">
        <v>7506</v>
      </c>
      <c r="G793" s="17" t="s">
        <v>7507</v>
      </c>
      <c r="H793" s="18" t="s">
        <v>7508</v>
      </c>
      <c r="I793" s="16" t="s">
        <v>7509</v>
      </c>
      <c r="J793" s="16" t="s">
        <v>173</v>
      </c>
      <c r="K793" s="16" t="s">
        <v>7510</v>
      </c>
      <c r="L793" s="16">
        <v>6498652</v>
      </c>
      <c r="M793" s="16" t="s">
        <v>136</v>
      </c>
      <c r="N793" s="16" t="s">
        <v>7511</v>
      </c>
      <c r="O793" s="16" t="s">
        <v>7512</v>
      </c>
      <c r="P793" s="16" t="s">
        <v>7513</v>
      </c>
      <c r="Q793" s="16" t="s">
        <v>2215</v>
      </c>
      <c r="R793" s="16" t="s">
        <v>7267</v>
      </c>
      <c r="S793" s="19" t="s">
        <v>7506</v>
      </c>
      <c r="T793" s="20" t="s">
        <v>1464</v>
      </c>
      <c r="U793" s="16" t="s">
        <v>7514</v>
      </c>
      <c r="V793" s="16" t="s">
        <v>7515</v>
      </c>
      <c r="W793" s="30" t="s">
        <v>7516</v>
      </c>
      <c r="X793" s="18" t="s">
        <v>78</v>
      </c>
      <c r="Y793" s="18" t="s">
        <v>98</v>
      </c>
      <c r="Z793" s="18" t="s">
        <v>2215</v>
      </c>
      <c r="AA793" s="16" t="s">
        <v>7222</v>
      </c>
      <c r="AB793" s="16" t="s">
        <v>7223</v>
      </c>
      <c r="AC793" s="16" t="s">
        <v>7224</v>
      </c>
      <c r="AD793" s="123" t="str">
        <f t="shared" si="12"/>
        <v>External Transfer-Other banks</v>
      </c>
      <c r="AE793" s="123" t="str">
        <f>VLOOKUP(Table1[[#This Row],[Name of bank]],'اكواد البنوك'!$A$2:$B$34,2,0)</f>
        <v>HDBKEGCAXXX</v>
      </c>
      <c r="AF793" s="21" t="s">
        <v>227</v>
      </c>
      <c r="AG793" s="15" t="s">
        <v>49</v>
      </c>
    </row>
    <row r="794" spans="1:33">
      <c r="A794" s="14">
        <v>793</v>
      </c>
      <c r="B794" s="14" t="s">
        <v>206</v>
      </c>
      <c r="C794" s="14" t="e">
        <v>#N/A</v>
      </c>
      <c r="D794" s="15" t="s">
        <v>1839</v>
      </c>
      <c r="E794" s="16" t="s">
        <v>7517</v>
      </c>
      <c r="F794" s="32" t="s">
        <v>7518</v>
      </c>
      <c r="G794" s="17" t="s">
        <v>7519</v>
      </c>
      <c r="H794" s="18" t="s">
        <v>7520</v>
      </c>
      <c r="I794" s="16" t="s">
        <v>6286</v>
      </c>
      <c r="J794" s="16" t="s">
        <v>1845</v>
      </c>
      <c r="K794" s="16" t="s">
        <v>7521</v>
      </c>
      <c r="L794" s="16">
        <v>26268208</v>
      </c>
      <c r="M794" s="16">
        <v>10067591</v>
      </c>
      <c r="N794" s="16" t="s">
        <v>7522</v>
      </c>
      <c r="O794" s="16" t="s">
        <v>7523</v>
      </c>
      <c r="P794" s="16" t="s">
        <v>7524</v>
      </c>
      <c r="Q794" s="16" t="s">
        <v>2215</v>
      </c>
      <c r="R794" s="16" t="s">
        <v>7267</v>
      </c>
      <c r="S794" s="19" t="s">
        <v>7518</v>
      </c>
      <c r="T794" s="20" t="s">
        <v>40</v>
      </c>
      <c r="U794" s="16" t="s">
        <v>6937</v>
      </c>
      <c r="V794" s="16" t="s">
        <v>7525</v>
      </c>
      <c r="W794" s="30" t="s">
        <v>7526</v>
      </c>
      <c r="X794" s="18" t="s">
        <v>97</v>
      </c>
      <c r="Y794" s="18" t="s">
        <v>98</v>
      </c>
      <c r="Z794" s="18" t="s">
        <v>2215</v>
      </c>
      <c r="AA794" s="16" t="s">
        <v>7222</v>
      </c>
      <c r="AB794" s="16" t="s">
        <v>7223</v>
      </c>
      <c r="AC794" s="16" t="s">
        <v>7224</v>
      </c>
      <c r="AD794" s="123" t="str">
        <f t="shared" si="12"/>
        <v>External Transfer-NBE</v>
      </c>
      <c r="AE794" s="123" t="str">
        <f>VLOOKUP(Table1[[#This Row],[Name of bank]],'اكواد البنوك'!$A$2:$B$34,2,0)</f>
        <v>NBEGEGCXXXX</v>
      </c>
      <c r="AF794" s="21" t="s">
        <v>2163</v>
      </c>
      <c r="AG794" s="15" t="s">
        <v>49</v>
      </c>
    </row>
    <row r="795" spans="1:33">
      <c r="A795" s="14">
        <v>794</v>
      </c>
      <c r="B795" s="14" t="s">
        <v>7527</v>
      </c>
      <c r="C795" s="14" t="s">
        <v>7457</v>
      </c>
      <c r="D795" s="15" t="s">
        <v>1839</v>
      </c>
      <c r="E795" s="16" t="s">
        <v>7528</v>
      </c>
      <c r="F795" s="32" t="s">
        <v>7529</v>
      </c>
      <c r="G795" s="17" t="s">
        <v>7530</v>
      </c>
      <c r="H795" s="18" t="s">
        <v>7531</v>
      </c>
      <c r="I795" s="16" t="s">
        <v>7532</v>
      </c>
      <c r="J795" s="16" t="s">
        <v>7533</v>
      </c>
      <c r="K795" s="16" t="s">
        <v>7534</v>
      </c>
      <c r="L795" s="16">
        <v>70005923</v>
      </c>
      <c r="M795" s="16" t="s">
        <v>136</v>
      </c>
      <c r="N795" s="16" t="s">
        <v>7535</v>
      </c>
      <c r="O795" s="16" t="s">
        <v>7536</v>
      </c>
      <c r="P795" s="16" t="s">
        <v>7537</v>
      </c>
      <c r="Q795" s="16" t="s">
        <v>2215</v>
      </c>
      <c r="R795" s="16" t="s">
        <v>7267</v>
      </c>
      <c r="S795" s="19" t="s">
        <v>7538</v>
      </c>
      <c r="T795" s="20" t="s">
        <v>40</v>
      </c>
      <c r="U795" s="16" t="s">
        <v>3682</v>
      </c>
      <c r="V795" s="16" t="s">
        <v>7539</v>
      </c>
      <c r="W795" s="30" t="s">
        <v>7540</v>
      </c>
      <c r="X795" s="18" t="s">
        <v>542</v>
      </c>
      <c r="Y795" s="18" t="s">
        <v>98</v>
      </c>
      <c r="Z795" s="18" t="s">
        <v>2215</v>
      </c>
      <c r="AA795" s="16" t="s">
        <v>7222</v>
      </c>
      <c r="AB795" s="16" t="s">
        <v>7223</v>
      </c>
      <c r="AC795" s="16" t="s">
        <v>7224</v>
      </c>
      <c r="AD795" s="123" t="str">
        <f t="shared" si="12"/>
        <v>External Transfer-NBE</v>
      </c>
      <c r="AE795" s="123" t="str">
        <f>VLOOKUP(Table1[[#This Row],[Name of bank]],'اكواد البنوك'!$A$2:$B$34,2,0)</f>
        <v>NBEGEGCXXXX</v>
      </c>
      <c r="AF795" s="21" t="s">
        <v>874</v>
      </c>
      <c r="AG795" s="15" t="s">
        <v>49</v>
      </c>
    </row>
    <row r="796" spans="1:33">
      <c r="A796" s="14">
        <v>795</v>
      </c>
      <c r="B796" s="14" t="s">
        <v>7527</v>
      </c>
      <c r="C796" s="14" t="s">
        <v>8336</v>
      </c>
      <c r="D796" s="15" t="s">
        <v>1839</v>
      </c>
      <c r="E796" s="16" t="s">
        <v>7541</v>
      </c>
      <c r="F796" s="32" t="s">
        <v>7542</v>
      </c>
      <c r="G796" s="17" t="s">
        <v>7543</v>
      </c>
      <c r="H796" s="18" t="s">
        <v>7544</v>
      </c>
      <c r="I796" s="16" t="s">
        <v>7545</v>
      </c>
      <c r="J796" s="16" t="s">
        <v>86</v>
      </c>
      <c r="K796" s="16" t="s">
        <v>2222</v>
      </c>
      <c r="L796" s="16">
        <v>16562594</v>
      </c>
      <c r="M796" s="16">
        <v>694789704</v>
      </c>
      <c r="N796" s="16" t="s">
        <v>7546</v>
      </c>
      <c r="O796" s="16" t="s">
        <v>7547</v>
      </c>
      <c r="P796" s="16" t="s">
        <v>7548</v>
      </c>
      <c r="Q796" s="16" t="s">
        <v>2215</v>
      </c>
      <c r="R796" s="16" t="s">
        <v>7267</v>
      </c>
      <c r="S796" s="19" t="s">
        <v>7542</v>
      </c>
      <c r="T796" s="20" t="s">
        <v>40</v>
      </c>
      <c r="U796" s="16">
        <v>46301</v>
      </c>
      <c r="V796" s="16" t="s">
        <v>9878</v>
      </c>
      <c r="W796" s="30" t="s">
        <v>7550</v>
      </c>
      <c r="X796" s="18" t="s">
        <v>542</v>
      </c>
      <c r="Y796" s="18" t="s">
        <v>98</v>
      </c>
      <c r="Z796" s="18" t="s">
        <v>2215</v>
      </c>
      <c r="AA796" s="16" t="s">
        <v>7222</v>
      </c>
      <c r="AB796" s="16" t="s">
        <v>7223</v>
      </c>
      <c r="AC796" s="16" t="s">
        <v>7224</v>
      </c>
      <c r="AD796" s="123" t="str">
        <f t="shared" si="12"/>
        <v>External Transfer-NBE</v>
      </c>
      <c r="AE796" s="123" t="str">
        <f>VLOOKUP(Table1[[#This Row],[Name of bank]],'اكواد البنوك'!$A$2:$B$34,2,0)</f>
        <v>NBEGEGCXXXX</v>
      </c>
      <c r="AF796" s="21">
        <v>182</v>
      </c>
      <c r="AG796" s="15" t="s">
        <v>167</v>
      </c>
    </row>
    <row r="797" spans="1:33">
      <c r="A797" s="14">
        <v>796</v>
      </c>
      <c r="B797" s="14" t="s">
        <v>7527</v>
      </c>
      <c r="C797" s="14" t="e">
        <v>#N/A</v>
      </c>
      <c r="D797" s="15" t="s">
        <v>1839</v>
      </c>
      <c r="E797" s="16" t="s">
        <v>7551</v>
      </c>
      <c r="F797" s="32" t="s">
        <v>7552</v>
      </c>
      <c r="G797" s="17" t="s">
        <v>7553</v>
      </c>
      <c r="H797" s="18" t="s">
        <v>7554</v>
      </c>
      <c r="I797" s="16" t="s">
        <v>7320</v>
      </c>
      <c r="J797" s="16" t="s">
        <v>173</v>
      </c>
      <c r="K797" s="16" t="s">
        <v>384</v>
      </c>
      <c r="L797" s="16" t="s">
        <v>136</v>
      </c>
      <c r="M797" s="16" t="s">
        <v>136</v>
      </c>
      <c r="N797" s="16" t="s">
        <v>7555</v>
      </c>
      <c r="O797" s="16" t="s">
        <v>7556</v>
      </c>
      <c r="P797" s="16" t="s">
        <v>7557</v>
      </c>
      <c r="Q797" s="16" t="s">
        <v>2215</v>
      </c>
      <c r="R797" s="16" t="s">
        <v>7267</v>
      </c>
      <c r="S797" s="19" t="s">
        <v>9879</v>
      </c>
      <c r="T797" s="20" t="s">
        <v>40</v>
      </c>
      <c r="U797" s="16" t="s">
        <v>4059</v>
      </c>
      <c r="V797" s="16" t="s">
        <v>7558</v>
      </c>
      <c r="W797" s="30" t="s">
        <v>7559</v>
      </c>
      <c r="X797" s="18" t="s">
        <v>542</v>
      </c>
      <c r="Y797" s="18" t="s">
        <v>98</v>
      </c>
      <c r="Z797" s="18" t="s">
        <v>2215</v>
      </c>
      <c r="AA797" s="16" t="s">
        <v>7222</v>
      </c>
      <c r="AB797" s="16" t="s">
        <v>7223</v>
      </c>
      <c r="AC797" s="16" t="s">
        <v>7224</v>
      </c>
      <c r="AD797" s="123" t="str">
        <f t="shared" si="12"/>
        <v>External Transfer-NBE</v>
      </c>
      <c r="AE797" s="123" t="str">
        <f>VLOOKUP(Table1[[#This Row],[Name of bank]],'اكواد البنوك'!$A$2:$B$34,2,0)</f>
        <v>NBEGEGCXXXX</v>
      </c>
      <c r="AF797" s="21">
        <v>161</v>
      </c>
      <c r="AG797" s="15" t="s">
        <v>167</v>
      </c>
    </row>
    <row r="798" spans="1:33">
      <c r="A798" s="14">
        <v>797</v>
      </c>
      <c r="B798" s="14" t="s">
        <v>7560</v>
      </c>
      <c r="C798" s="14" t="s">
        <v>7965</v>
      </c>
      <c r="D798" s="15" t="s">
        <v>1839</v>
      </c>
      <c r="E798" s="16" t="s">
        <v>7561</v>
      </c>
      <c r="F798" s="32" t="s">
        <v>7562</v>
      </c>
      <c r="G798" s="17" t="s">
        <v>7563</v>
      </c>
      <c r="H798" s="18" t="s">
        <v>7564</v>
      </c>
      <c r="I798" s="16" t="s">
        <v>7532</v>
      </c>
      <c r="J798" s="16" t="s">
        <v>173</v>
      </c>
      <c r="K798" s="16" t="s">
        <v>148</v>
      </c>
      <c r="L798" s="16" t="s">
        <v>136</v>
      </c>
      <c r="M798" s="16" t="s">
        <v>136</v>
      </c>
      <c r="N798" s="16" t="s">
        <v>7565</v>
      </c>
      <c r="O798" s="16" t="s">
        <v>7566</v>
      </c>
      <c r="P798" s="16" t="s">
        <v>7567</v>
      </c>
      <c r="Q798" s="16" t="s">
        <v>2215</v>
      </c>
      <c r="R798" s="16" t="s">
        <v>7267</v>
      </c>
      <c r="S798" s="19" t="s">
        <v>7568</v>
      </c>
      <c r="T798" s="20" t="s">
        <v>93</v>
      </c>
      <c r="U798" s="16" t="s">
        <v>7569</v>
      </c>
      <c r="V798" s="16" t="s">
        <v>7570</v>
      </c>
      <c r="W798" s="30" t="s">
        <v>7571</v>
      </c>
      <c r="X798" s="18" t="s">
        <v>542</v>
      </c>
      <c r="Y798" s="18" t="s">
        <v>98</v>
      </c>
      <c r="Z798" s="18" t="s">
        <v>2215</v>
      </c>
      <c r="AA798" s="16" t="s">
        <v>7222</v>
      </c>
      <c r="AB798" s="16" t="s">
        <v>7223</v>
      </c>
      <c r="AC798" s="16" t="s">
        <v>7224</v>
      </c>
      <c r="AD798" s="123" t="str">
        <f t="shared" si="12"/>
        <v>External Transfer-Other banks</v>
      </c>
      <c r="AE798" s="123" t="str">
        <f>VLOOKUP(Table1[[#This Row],[Name of bank]],'اكواد البنوك'!$A$2:$B$34,2,0)</f>
        <v>QNBAEGCXXXX</v>
      </c>
      <c r="AF798" s="21" t="s">
        <v>4336</v>
      </c>
      <c r="AG798" s="15" t="s">
        <v>49</v>
      </c>
    </row>
    <row r="799" spans="1:33">
      <c r="A799" s="14">
        <v>798</v>
      </c>
      <c r="B799" s="14" t="s">
        <v>7560</v>
      </c>
      <c r="C799" s="14" t="s">
        <v>7293</v>
      </c>
      <c r="D799" s="15" t="s">
        <v>1831</v>
      </c>
      <c r="E799" s="16" t="s">
        <v>7572</v>
      </c>
      <c r="F799" s="32" t="s">
        <v>10081</v>
      </c>
      <c r="G799" s="17" t="s">
        <v>7573</v>
      </c>
      <c r="H799" s="18" t="s">
        <v>7574</v>
      </c>
      <c r="I799" s="16" t="s">
        <v>1831</v>
      </c>
      <c r="J799" s="16"/>
      <c r="K799" s="16"/>
      <c r="L799" s="16">
        <v>37692433</v>
      </c>
      <c r="M799" s="16"/>
      <c r="N799" s="16" t="s">
        <v>7575</v>
      </c>
      <c r="O799" s="16"/>
      <c r="P799" s="16"/>
      <c r="Q799" s="16" t="s">
        <v>2215</v>
      </c>
      <c r="R799" s="16" t="s">
        <v>7267</v>
      </c>
      <c r="S799" s="19"/>
      <c r="T799" s="20" t="s">
        <v>1837</v>
      </c>
      <c r="U799" s="16"/>
      <c r="V799" s="16"/>
      <c r="W799" s="30" t="s">
        <v>1838</v>
      </c>
      <c r="X799" s="18" t="s">
        <v>542</v>
      </c>
      <c r="Y799" s="18" t="s">
        <v>98</v>
      </c>
      <c r="Z799" s="18" t="s">
        <v>2215</v>
      </c>
      <c r="AA799" s="16" t="s">
        <v>7222</v>
      </c>
      <c r="AB799" s="16" t="s">
        <v>7223</v>
      </c>
      <c r="AC799" s="16" t="s">
        <v>7224</v>
      </c>
      <c r="AD799" s="123" t="str">
        <f t="shared" si="12"/>
        <v>FUE</v>
      </c>
      <c r="AE799" s="123" t="str">
        <f>VLOOKUP(Table1[[#This Row],[Name of bank]],'اكواد البنوك'!$A$2:$B$34,2,0)</f>
        <v>FUE</v>
      </c>
      <c r="AF799" s="21" t="s">
        <v>1838</v>
      </c>
      <c r="AG799" s="15" t="s">
        <v>49</v>
      </c>
    </row>
    <row r="800" spans="1:33">
      <c r="A800" s="14">
        <v>799</v>
      </c>
      <c r="B800" s="14" t="s">
        <v>7560</v>
      </c>
      <c r="C800" s="14" t="s">
        <v>8372</v>
      </c>
      <c r="D800" s="15" t="s">
        <v>1839</v>
      </c>
      <c r="E800" s="16" t="s">
        <v>7576</v>
      </c>
      <c r="F800" s="32" t="s">
        <v>7577</v>
      </c>
      <c r="G800" s="17" t="s">
        <v>7578</v>
      </c>
      <c r="H800" s="18" t="s">
        <v>7579</v>
      </c>
      <c r="I800" s="16" t="s">
        <v>7580</v>
      </c>
      <c r="J800" s="16" t="s">
        <v>86</v>
      </c>
      <c r="K800" s="16" t="s">
        <v>4362</v>
      </c>
      <c r="L800" s="16">
        <v>69910056</v>
      </c>
      <c r="M800" s="16" t="s">
        <v>427</v>
      </c>
      <c r="N800" s="16" t="s">
        <v>7581</v>
      </c>
      <c r="O800" s="16" t="s">
        <v>7582</v>
      </c>
      <c r="P800" s="16" t="s">
        <v>7583</v>
      </c>
      <c r="Q800" s="16" t="s">
        <v>2215</v>
      </c>
      <c r="R800" s="16" t="s">
        <v>7267</v>
      </c>
      <c r="S800" s="19" t="s">
        <v>7576</v>
      </c>
      <c r="T800" s="20" t="s">
        <v>40</v>
      </c>
      <c r="U800" s="16" t="s">
        <v>9880</v>
      </c>
      <c r="V800" s="16" t="s">
        <v>9881</v>
      </c>
      <c r="W800" s="30" t="s">
        <v>7584</v>
      </c>
      <c r="X800" s="18" t="s">
        <v>542</v>
      </c>
      <c r="Y800" s="18" t="s">
        <v>98</v>
      </c>
      <c r="Z800" s="18" t="s">
        <v>2215</v>
      </c>
      <c r="AA800" s="16" t="s">
        <v>7222</v>
      </c>
      <c r="AB800" s="16" t="s">
        <v>7223</v>
      </c>
      <c r="AC800" s="16" t="s">
        <v>7224</v>
      </c>
      <c r="AD800" s="123" t="str">
        <f t="shared" si="12"/>
        <v>External Transfer-NBE</v>
      </c>
      <c r="AE800" s="123" t="str">
        <f>VLOOKUP(Table1[[#This Row],[Name of bank]],'اكواد البنوك'!$A$2:$B$34,2,0)</f>
        <v>NBEGEGCXXXX</v>
      </c>
      <c r="AF800" s="21">
        <v>99</v>
      </c>
      <c r="AG800" s="15" t="s">
        <v>167</v>
      </c>
    </row>
    <row r="801" spans="1:33">
      <c r="A801" s="14">
        <v>800</v>
      </c>
      <c r="B801" s="14" t="s">
        <v>7585</v>
      </c>
      <c r="C801" s="14" t="e">
        <v>#N/A</v>
      </c>
      <c r="D801" s="15" t="s">
        <v>1839</v>
      </c>
      <c r="E801" s="16" t="s">
        <v>7586</v>
      </c>
      <c r="F801" s="32" t="s">
        <v>7587</v>
      </c>
      <c r="G801" s="17" t="s">
        <v>7588</v>
      </c>
      <c r="H801" s="18" t="s">
        <v>7589</v>
      </c>
      <c r="I801" s="16" t="s">
        <v>7590</v>
      </c>
      <c r="J801" s="16" t="s">
        <v>86</v>
      </c>
      <c r="K801" s="16" t="s">
        <v>6177</v>
      </c>
      <c r="L801" s="16" t="s">
        <v>7591</v>
      </c>
      <c r="M801" s="16" t="s">
        <v>136</v>
      </c>
      <c r="N801" s="16" t="s">
        <v>7592</v>
      </c>
      <c r="O801" s="16" t="s">
        <v>7593</v>
      </c>
      <c r="P801" s="16" t="s">
        <v>7594</v>
      </c>
      <c r="Q801" s="16" t="s">
        <v>2215</v>
      </c>
      <c r="R801" s="16" t="s">
        <v>7267</v>
      </c>
      <c r="S801" s="19" t="s">
        <v>7595</v>
      </c>
      <c r="T801" s="20" t="s">
        <v>40</v>
      </c>
      <c r="U801" s="16" t="s">
        <v>6217</v>
      </c>
      <c r="V801" s="16" t="s">
        <v>7596</v>
      </c>
      <c r="W801" s="30" t="s">
        <v>7597</v>
      </c>
      <c r="X801" s="18" t="s">
        <v>542</v>
      </c>
      <c r="Y801" s="18" t="s">
        <v>98</v>
      </c>
      <c r="Z801" s="18" t="s">
        <v>2215</v>
      </c>
      <c r="AA801" s="16" t="s">
        <v>7222</v>
      </c>
      <c r="AB801" s="16" t="s">
        <v>7223</v>
      </c>
      <c r="AC801" s="16" t="s">
        <v>7224</v>
      </c>
      <c r="AD801" s="123" t="str">
        <f t="shared" si="12"/>
        <v>External Transfer-NBE</v>
      </c>
      <c r="AE801" s="123" t="str">
        <f>VLOOKUP(Table1[[#This Row],[Name of bank]],'اكواد البنوك'!$A$2:$B$34,2,0)</f>
        <v>NBEGEGCXXXX</v>
      </c>
      <c r="AF801" s="21" t="s">
        <v>6220</v>
      </c>
      <c r="AG801" s="15" t="s">
        <v>49</v>
      </c>
    </row>
    <row r="802" spans="1:33">
      <c r="A802" s="14">
        <v>801</v>
      </c>
      <c r="B802" s="14" t="s">
        <v>7585</v>
      </c>
      <c r="C802" s="14" t="e">
        <v>#N/A</v>
      </c>
      <c r="D802" s="15" t="s">
        <v>1839</v>
      </c>
      <c r="E802" s="16" t="s">
        <v>7598</v>
      </c>
      <c r="F802" s="32" t="s">
        <v>7599</v>
      </c>
      <c r="G802" s="17" t="s">
        <v>7600</v>
      </c>
      <c r="H802" s="18" t="s">
        <v>7601</v>
      </c>
      <c r="I802" s="16" t="s">
        <v>7602</v>
      </c>
      <c r="J802" s="16" t="s">
        <v>173</v>
      </c>
      <c r="K802" s="16" t="s">
        <v>5952</v>
      </c>
      <c r="L802" s="16">
        <v>18631722</v>
      </c>
      <c r="M802" s="16" t="s">
        <v>7603</v>
      </c>
      <c r="N802" s="16" t="s">
        <v>7604</v>
      </c>
      <c r="O802" s="16" t="s">
        <v>7605</v>
      </c>
      <c r="P802" s="16" t="s">
        <v>7606</v>
      </c>
      <c r="Q802" s="16" t="s">
        <v>2215</v>
      </c>
      <c r="R802" s="16" t="s">
        <v>7267</v>
      </c>
      <c r="S802" s="19" t="s">
        <v>7599</v>
      </c>
      <c r="T802" s="20" t="s">
        <v>40</v>
      </c>
      <c r="U802" s="16" t="s">
        <v>7314</v>
      </c>
      <c r="V802" s="16" t="s">
        <v>7607</v>
      </c>
      <c r="W802" s="30" t="s">
        <v>7608</v>
      </c>
      <c r="X802" s="18" t="s">
        <v>542</v>
      </c>
      <c r="Y802" s="18" t="s">
        <v>98</v>
      </c>
      <c r="Z802" s="18" t="s">
        <v>2215</v>
      </c>
      <c r="AA802" s="16" t="s">
        <v>7222</v>
      </c>
      <c r="AB802" s="16" t="s">
        <v>7223</v>
      </c>
      <c r="AC802" s="16" t="s">
        <v>7224</v>
      </c>
      <c r="AD802" s="123" t="str">
        <f t="shared" si="12"/>
        <v>External Transfer-NBE</v>
      </c>
      <c r="AE802" s="123" t="str">
        <f>VLOOKUP(Table1[[#This Row],[Name of bank]],'اكواد البنوك'!$A$2:$B$34,2,0)</f>
        <v>NBEGEGCXXXX</v>
      </c>
      <c r="AF802" s="21">
        <v>90</v>
      </c>
      <c r="AG802" s="15" t="s">
        <v>167</v>
      </c>
    </row>
    <row r="803" spans="1:33">
      <c r="A803" s="14">
        <v>802</v>
      </c>
      <c r="B803" s="14" t="s">
        <v>7609</v>
      </c>
      <c r="C803" s="14" t="s">
        <v>7918</v>
      </c>
      <c r="D803" s="15" t="s">
        <v>1839</v>
      </c>
      <c r="E803" s="16" t="s">
        <v>7610</v>
      </c>
      <c r="F803" s="32" t="s">
        <v>7611</v>
      </c>
      <c r="G803" s="17" t="s">
        <v>7612</v>
      </c>
      <c r="H803" s="18" t="s">
        <v>7613</v>
      </c>
      <c r="I803" s="16" t="s">
        <v>7614</v>
      </c>
      <c r="J803" s="16" t="s">
        <v>7615</v>
      </c>
      <c r="K803" s="16" t="s">
        <v>269</v>
      </c>
      <c r="L803" s="16">
        <v>73202058</v>
      </c>
      <c r="M803" s="16" t="s">
        <v>136</v>
      </c>
      <c r="N803" s="16" t="s">
        <v>7616</v>
      </c>
      <c r="O803" s="16" t="s">
        <v>7617</v>
      </c>
      <c r="P803" s="16" t="s">
        <v>7618</v>
      </c>
      <c r="Q803" s="16" t="s">
        <v>2215</v>
      </c>
      <c r="R803" s="16" t="s">
        <v>7267</v>
      </c>
      <c r="S803" s="19" t="s">
        <v>7619</v>
      </c>
      <c r="T803" s="20" t="s">
        <v>307</v>
      </c>
      <c r="U803" s="16" t="s">
        <v>7620</v>
      </c>
      <c r="V803" s="16" t="s">
        <v>7621</v>
      </c>
      <c r="W803" s="30" t="s">
        <v>7622</v>
      </c>
      <c r="X803" s="18" t="s">
        <v>542</v>
      </c>
      <c r="Y803" s="18" t="s">
        <v>98</v>
      </c>
      <c r="Z803" s="18" t="s">
        <v>2215</v>
      </c>
      <c r="AA803" s="16" t="s">
        <v>7222</v>
      </c>
      <c r="AB803" s="16" t="s">
        <v>7223</v>
      </c>
      <c r="AC803" s="16" t="s">
        <v>7224</v>
      </c>
      <c r="AD803" s="123" t="str">
        <f t="shared" si="12"/>
        <v>External Transfer-Other banks</v>
      </c>
      <c r="AE803" s="123" t="str">
        <f>VLOOKUP(Table1[[#This Row],[Name of bank]],'اكواد البنوك'!$A$2:$B$34,2,0)</f>
        <v>CIBEEGCXXXX</v>
      </c>
      <c r="AF803" s="21" t="s">
        <v>7414</v>
      </c>
      <c r="AG803" s="15" t="s">
        <v>49</v>
      </c>
    </row>
    <row r="804" spans="1:33">
      <c r="A804" s="14">
        <v>803</v>
      </c>
      <c r="B804" s="14" t="s">
        <v>7609</v>
      </c>
      <c r="C804" s="14" t="s">
        <v>7457</v>
      </c>
      <c r="D804" s="15" t="s">
        <v>1839</v>
      </c>
      <c r="E804" s="16" t="s">
        <v>7623</v>
      </c>
      <c r="F804" s="32" t="s">
        <v>7624</v>
      </c>
      <c r="G804" s="17" t="s">
        <v>7625</v>
      </c>
      <c r="H804" s="18" t="s">
        <v>7626</v>
      </c>
      <c r="I804" s="16" t="s">
        <v>7627</v>
      </c>
      <c r="J804" s="16" t="s">
        <v>173</v>
      </c>
      <c r="K804" s="16" t="s">
        <v>7628</v>
      </c>
      <c r="L804" s="16" t="s">
        <v>136</v>
      </c>
      <c r="M804" s="16" t="s">
        <v>136</v>
      </c>
      <c r="N804" s="16" t="s">
        <v>7629</v>
      </c>
      <c r="O804" s="16" t="s">
        <v>7630</v>
      </c>
      <c r="P804" s="16" t="s">
        <v>7631</v>
      </c>
      <c r="Q804" s="16" t="s">
        <v>2215</v>
      </c>
      <c r="R804" s="16" t="s">
        <v>7267</v>
      </c>
      <c r="S804" s="19" t="s">
        <v>7624</v>
      </c>
      <c r="T804" s="20" t="s">
        <v>40</v>
      </c>
      <c r="U804" s="16" t="s">
        <v>7632</v>
      </c>
      <c r="V804" s="16" t="s">
        <v>7633</v>
      </c>
      <c r="W804" s="30" t="s">
        <v>7634</v>
      </c>
      <c r="X804" s="18" t="s">
        <v>542</v>
      </c>
      <c r="Y804" s="18" t="s">
        <v>98</v>
      </c>
      <c r="Z804" s="18" t="s">
        <v>2215</v>
      </c>
      <c r="AA804" s="16" t="s">
        <v>7222</v>
      </c>
      <c r="AB804" s="16" t="s">
        <v>7223</v>
      </c>
      <c r="AC804" s="16" t="s">
        <v>7224</v>
      </c>
      <c r="AD804" s="123" t="str">
        <f t="shared" si="12"/>
        <v>External Transfer-NBE</v>
      </c>
      <c r="AE804" s="123" t="str">
        <f>VLOOKUP(Table1[[#This Row],[Name of bank]],'اكواد البنوك'!$A$2:$B$34,2,0)</f>
        <v>NBEGEGCXXXX</v>
      </c>
      <c r="AF804" s="21" t="s">
        <v>8973</v>
      </c>
      <c r="AG804" s="15" t="s">
        <v>49</v>
      </c>
    </row>
    <row r="805" spans="1:33">
      <c r="A805" s="14">
        <v>804</v>
      </c>
      <c r="B805" s="14" t="s">
        <v>7609</v>
      </c>
      <c r="C805" s="14" t="s">
        <v>8372</v>
      </c>
      <c r="D805" s="15" t="s">
        <v>1839</v>
      </c>
      <c r="E805" s="16" t="s">
        <v>7635</v>
      </c>
      <c r="F805" s="32" t="s">
        <v>7636</v>
      </c>
      <c r="G805" s="17" t="s">
        <v>7637</v>
      </c>
      <c r="H805" s="18" t="s">
        <v>7638</v>
      </c>
      <c r="I805" s="16" t="s">
        <v>7639</v>
      </c>
      <c r="J805" s="16" t="s">
        <v>86</v>
      </c>
      <c r="K805" s="16" t="s">
        <v>7640</v>
      </c>
      <c r="L805" s="16">
        <v>84322970</v>
      </c>
      <c r="M805" s="16">
        <v>682309044</v>
      </c>
      <c r="N805" s="16" t="s">
        <v>7641</v>
      </c>
      <c r="O805" s="16" t="s">
        <v>7642</v>
      </c>
      <c r="P805" s="16" t="s">
        <v>7643</v>
      </c>
      <c r="Q805" s="16" t="s">
        <v>2215</v>
      </c>
      <c r="R805" s="16" t="s">
        <v>7267</v>
      </c>
      <c r="S805" s="19" t="s">
        <v>7644</v>
      </c>
      <c r="T805" s="20" t="s">
        <v>176</v>
      </c>
      <c r="U805" s="16" t="s">
        <v>9882</v>
      </c>
      <c r="V805" s="16" t="s">
        <v>9883</v>
      </c>
      <c r="W805" s="30" t="s">
        <v>10377</v>
      </c>
      <c r="X805" s="18" t="s">
        <v>542</v>
      </c>
      <c r="Y805" s="18" t="s">
        <v>98</v>
      </c>
      <c r="Z805" s="18" t="s">
        <v>2215</v>
      </c>
      <c r="AA805" s="16" t="s">
        <v>7222</v>
      </c>
      <c r="AB805" s="16" t="s">
        <v>7223</v>
      </c>
      <c r="AC805" s="16" t="s">
        <v>7224</v>
      </c>
      <c r="AD805" s="123" t="str">
        <f t="shared" si="12"/>
        <v>External Transfer-Other banks</v>
      </c>
      <c r="AE805" s="123" t="str">
        <f>VLOOKUP(Table1[[#This Row],[Name of bank]],'اكواد البنوك'!$A$2:$B$34,2,0)</f>
        <v>BMISEGCXXXX</v>
      </c>
      <c r="AF805" s="21">
        <v>574</v>
      </c>
      <c r="AG805" s="15" t="s">
        <v>167</v>
      </c>
    </row>
    <row r="806" spans="1:33">
      <c r="A806" s="14">
        <v>805</v>
      </c>
      <c r="B806" s="14" t="s">
        <v>7645</v>
      </c>
      <c r="C806" s="14" t="s">
        <v>7457</v>
      </c>
      <c r="D806" s="15" t="s">
        <v>1839</v>
      </c>
      <c r="E806" s="16" t="s">
        <v>7646</v>
      </c>
      <c r="F806" s="32" t="s">
        <v>7647</v>
      </c>
      <c r="G806" s="17" t="s">
        <v>7648</v>
      </c>
      <c r="H806" s="18" t="s">
        <v>7649</v>
      </c>
      <c r="I806" s="16" t="s">
        <v>7650</v>
      </c>
      <c r="J806" s="16" t="s">
        <v>173</v>
      </c>
      <c r="K806" s="16" t="s">
        <v>1966</v>
      </c>
      <c r="L806" s="16">
        <v>69608275</v>
      </c>
      <c r="M806" s="16" t="s">
        <v>136</v>
      </c>
      <c r="N806" s="16" t="s">
        <v>7651</v>
      </c>
      <c r="O806" s="16" t="s">
        <v>7652</v>
      </c>
      <c r="P806" s="16" t="s">
        <v>7653</v>
      </c>
      <c r="Q806" s="16" t="s">
        <v>2215</v>
      </c>
      <c r="R806" s="16" t="s">
        <v>7267</v>
      </c>
      <c r="S806" s="19" t="s">
        <v>7654</v>
      </c>
      <c r="T806" s="20" t="s">
        <v>307</v>
      </c>
      <c r="U806" s="16" t="s">
        <v>7655</v>
      </c>
      <c r="V806" s="16" t="s">
        <v>7656</v>
      </c>
      <c r="W806" s="30" t="s">
        <v>7657</v>
      </c>
      <c r="X806" s="18" t="s">
        <v>542</v>
      </c>
      <c r="Y806" s="18" t="s">
        <v>98</v>
      </c>
      <c r="Z806" s="18" t="s">
        <v>2215</v>
      </c>
      <c r="AA806" s="16" t="s">
        <v>7222</v>
      </c>
      <c r="AB806" s="16" t="s">
        <v>7223</v>
      </c>
      <c r="AC806" s="16" t="s">
        <v>7224</v>
      </c>
      <c r="AD806" s="123" t="str">
        <f t="shared" si="12"/>
        <v>External Transfer-Other banks</v>
      </c>
      <c r="AE806" s="123" t="str">
        <f>VLOOKUP(Table1[[#This Row],[Name of bank]],'اكواد البنوك'!$A$2:$B$34,2,0)</f>
        <v>CIBEEGCXXXX</v>
      </c>
      <c r="AF806" s="21" t="s">
        <v>7658</v>
      </c>
      <c r="AG806" s="15" t="s">
        <v>49</v>
      </c>
    </row>
    <row r="807" spans="1:33">
      <c r="A807" s="14">
        <v>806</v>
      </c>
      <c r="B807" s="14" t="s">
        <v>7645</v>
      </c>
      <c r="C807" s="14" t="s">
        <v>7293</v>
      </c>
      <c r="D807" s="15" t="s">
        <v>1839</v>
      </c>
      <c r="E807" s="16" t="s">
        <v>7659</v>
      </c>
      <c r="F807" s="32" t="s">
        <v>7660</v>
      </c>
      <c r="G807" s="17" t="s">
        <v>7661</v>
      </c>
      <c r="H807" s="18" t="s">
        <v>7662</v>
      </c>
      <c r="I807" s="16" t="s">
        <v>7663</v>
      </c>
      <c r="J807" s="16" t="s">
        <v>86</v>
      </c>
      <c r="K807" s="16" t="s">
        <v>269</v>
      </c>
      <c r="L807" s="16">
        <v>53558777</v>
      </c>
      <c r="M807" s="16" t="s">
        <v>136</v>
      </c>
      <c r="N807" s="16" t="s">
        <v>7664</v>
      </c>
      <c r="O807" s="16" t="s">
        <v>7665</v>
      </c>
      <c r="P807" s="16" t="s">
        <v>7666</v>
      </c>
      <c r="Q807" s="16" t="s">
        <v>2215</v>
      </c>
      <c r="R807" s="16" t="s">
        <v>7267</v>
      </c>
      <c r="S807" s="19" t="s">
        <v>7659</v>
      </c>
      <c r="T807" s="20" t="s">
        <v>40</v>
      </c>
      <c r="U807" s="16" t="s">
        <v>2399</v>
      </c>
      <c r="V807" s="16" t="s">
        <v>7667</v>
      </c>
      <c r="W807" s="30" t="s">
        <v>7668</v>
      </c>
      <c r="X807" s="18" t="s">
        <v>542</v>
      </c>
      <c r="Y807" s="18" t="s">
        <v>98</v>
      </c>
      <c r="Z807" s="18" t="s">
        <v>2215</v>
      </c>
      <c r="AA807" s="16" t="s">
        <v>7222</v>
      </c>
      <c r="AB807" s="16" t="s">
        <v>7223</v>
      </c>
      <c r="AC807" s="16" t="s">
        <v>7224</v>
      </c>
      <c r="AD807" s="123" t="str">
        <f t="shared" si="12"/>
        <v>External Transfer-NBE</v>
      </c>
      <c r="AE807" s="123" t="str">
        <f>VLOOKUP(Table1[[#This Row],[Name of bank]],'اكواد البنوك'!$A$2:$B$34,2,0)</f>
        <v>NBEGEGCXXXX</v>
      </c>
      <c r="AF807" s="21" t="s">
        <v>6875</v>
      </c>
      <c r="AG807" s="15" t="s">
        <v>49</v>
      </c>
    </row>
    <row r="808" spans="1:33">
      <c r="A808" s="14">
        <v>807</v>
      </c>
      <c r="B808" s="14" t="s">
        <v>7645</v>
      </c>
      <c r="C808" s="14" t="s">
        <v>7716</v>
      </c>
      <c r="D808" s="15" t="s">
        <v>1839</v>
      </c>
      <c r="E808" s="16" t="s">
        <v>7669</v>
      </c>
      <c r="F808" s="32" t="s">
        <v>7670</v>
      </c>
      <c r="G808" s="17" t="s">
        <v>7671</v>
      </c>
      <c r="H808" s="18" t="s">
        <v>7672</v>
      </c>
      <c r="I808" s="16" t="s">
        <v>7673</v>
      </c>
      <c r="J808" s="16" t="s">
        <v>173</v>
      </c>
      <c r="K808" s="16" t="s">
        <v>257</v>
      </c>
      <c r="L808" s="16" t="s">
        <v>7674</v>
      </c>
      <c r="M808" s="16" t="s">
        <v>136</v>
      </c>
      <c r="N808" s="16" t="s">
        <v>7675</v>
      </c>
      <c r="O808" s="16" t="s">
        <v>7676</v>
      </c>
      <c r="P808" s="16" t="s">
        <v>7677</v>
      </c>
      <c r="Q808" s="16" t="s">
        <v>2215</v>
      </c>
      <c r="R808" s="16" t="s">
        <v>7267</v>
      </c>
      <c r="S808" s="19" t="s">
        <v>7678</v>
      </c>
      <c r="T808" s="20" t="s">
        <v>40</v>
      </c>
      <c r="U808" s="16" t="s">
        <v>7679</v>
      </c>
      <c r="V808" s="16" t="s">
        <v>7680</v>
      </c>
      <c r="W808" s="30" t="s">
        <v>7681</v>
      </c>
      <c r="X808" s="18" t="s">
        <v>542</v>
      </c>
      <c r="Y808" s="18" t="s">
        <v>98</v>
      </c>
      <c r="Z808" s="18" t="s">
        <v>2215</v>
      </c>
      <c r="AA808" s="16" t="s">
        <v>7222</v>
      </c>
      <c r="AB808" s="16" t="s">
        <v>7223</v>
      </c>
      <c r="AC808" s="16" t="s">
        <v>7224</v>
      </c>
      <c r="AD808" s="123" t="str">
        <f t="shared" si="12"/>
        <v>External Transfer-NBE</v>
      </c>
      <c r="AE808" s="123" t="str">
        <f>VLOOKUP(Table1[[#This Row],[Name of bank]],'اكواد البنوك'!$A$2:$B$34,2,0)</f>
        <v>NBEGEGCXXXX</v>
      </c>
      <c r="AF808" s="21">
        <v>170</v>
      </c>
      <c r="AG808" s="15" t="s">
        <v>167</v>
      </c>
    </row>
    <row r="809" spans="1:33">
      <c r="A809" s="14">
        <v>808</v>
      </c>
      <c r="B809" s="14" t="s">
        <v>7682</v>
      </c>
      <c r="C809" s="14" t="s">
        <v>8178</v>
      </c>
      <c r="D809" s="15" t="s">
        <v>1839</v>
      </c>
      <c r="E809" s="16" t="s">
        <v>7683</v>
      </c>
      <c r="F809" s="32" t="s">
        <v>7684</v>
      </c>
      <c r="G809" s="17" t="s">
        <v>7685</v>
      </c>
      <c r="H809" s="18" t="s">
        <v>7686</v>
      </c>
      <c r="I809" s="16" t="s">
        <v>7687</v>
      </c>
      <c r="J809" s="16" t="s">
        <v>173</v>
      </c>
      <c r="K809" s="16" t="s">
        <v>7688</v>
      </c>
      <c r="L809" s="16">
        <v>61962460</v>
      </c>
      <c r="M809" s="16" t="s">
        <v>977</v>
      </c>
      <c r="N809" s="16" t="s">
        <v>7689</v>
      </c>
      <c r="O809" s="16" t="s">
        <v>7690</v>
      </c>
      <c r="P809" s="16" t="s">
        <v>7691</v>
      </c>
      <c r="Q809" s="16" t="s">
        <v>2215</v>
      </c>
      <c r="R809" s="16" t="s">
        <v>7267</v>
      </c>
      <c r="S809" s="19" t="s">
        <v>7683</v>
      </c>
      <c r="T809" s="20" t="s">
        <v>341</v>
      </c>
      <c r="U809" s="16" t="s">
        <v>7692</v>
      </c>
      <c r="V809" s="16" t="s">
        <v>7693</v>
      </c>
      <c r="W809" s="30" t="s">
        <v>7694</v>
      </c>
      <c r="X809" s="18" t="s">
        <v>542</v>
      </c>
      <c r="Y809" s="18" t="s">
        <v>98</v>
      </c>
      <c r="Z809" s="18" t="s">
        <v>2215</v>
      </c>
      <c r="AA809" s="16" t="s">
        <v>7222</v>
      </c>
      <c r="AB809" s="16" t="s">
        <v>7223</v>
      </c>
      <c r="AC809" s="16" t="s">
        <v>7224</v>
      </c>
      <c r="AD809" s="123" t="str">
        <f t="shared" si="12"/>
        <v>External Transfer-Other banks</v>
      </c>
      <c r="AE809" s="123" t="str">
        <f>VLOOKUP(Table1[[#This Row],[Name of bank]],'اكواد البنوك'!$A$2:$B$34,2,0)</f>
        <v>AGRIEGCXXXX</v>
      </c>
      <c r="AF809" s="21" t="s">
        <v>346</v>
      </c>
      <c r="AG809" s="15" t="s">
        <v>49</v>
      </c>
    </row>
    <row r="810" spans="1:33">
      <c r="A810" s="14">
        <v>809</v>
      </c>
      <c r="B810" s="14" t="s">
        <v>7682</v>
      </c>
      <c r="C810" s="14" t="s">
        <v>7918</v>
      </c>
      <c r="D810" s="15" t="s">
        <v>1839</v>
      </c>
      <c r="E810" s="16" t="s">
        <v>7695</v>
      </c>
      <c r="F810" s="32" t="s">
        <v>7696</v>
      </c>
      <c r="G810" s="17" t="s">
        <v>7697</v>
      </c>
      <c r="H810" s="18" t="s">
        <v>7698</v>
      </c>
      <c r="I810" s="16" t="s">
        <v>7699</v>
      </c>
      <c r="J810" s="16" t="s">
        <v>173</v>
      </c>
      <c r="K810" s="16" t="s">
        <v>2077</v>
      </c>
      <c r="L810" s="16">
        <v>27397088</v>
      </c>
      <c r="M810" s="16" t="s">
        <v>136</v>
      </c>
      <c r="N810" s="16" t="s">
        <v>7700</v>
      </c>
      <c r="O810" s="16" t="s">
        <v>7701</v>
      </c>
      <c r="P810" s="16" t="s">
        <v>7702</v>
      </c>
      <c r="Q810" s="16" t="s">
        <v>2215</v>
      </c>
      <c r="R810" s="16" t="s">
        <v>7267</v>
      </c>
      <c r="S810" s="19" t="s">
        <v>7703</v>
      </c>
      <c r="T810" s="20" t="s">
        <v>93</v>
      </c>
      <c r="U810" s="16" t="s">
        <v>7704</v>
      </c>
      <c r="V810" s="16" t="s">
        <v>7705</v>
      </c>
      <c r="W810" s="30" t="s">
        <v>7706</v>
      </c>
      <c r="X810" s="18" t="s">
        <v>542</v>
      </c>
      <c r="Y810" s="18" t="s">
        <v>98</v>
      </c>
      <c r="Z810" s="18" t="s">
        <v>2215</v>
      </c>
      <c r="AA810" s="16" t="s">
        <v>7222</v>
      </c>
      <c r="AB810" s="16" t="s">
        <v>7223</v>
      </c>
      <c r="AC810" s="16" t="s">
        <v>7224</v>
      </c>
      <c r="AD810" s="123" t="str">
        <f t="shared" si="12"/>
        <v>External Transfer-Other banks</v>
      </c>
      <c r="AE810" s="123" t="str">
        <f>VLOOKUP(Table1[[#This Row],[Name of bank]],'اكواد البنوك'!$A$2:$B$34,2,0)</f>
        <v>QNBAEGCXXXX</v>
      </c>
      <c r="AF810" s="21" t="s">
        <v>4336</v>
      </c>
      <c r="AG810" s="15" t="s">
        <v>49</v>
      </c>
    </row>
    <row r="811" spans="1:33">
      <c r="A811" s="14">
        <v>810</v>
      </c>
      <c r="B811" s="14" t="s">
        <v>7682</v>
      </c>
      <c r="C811" s="14" t="e">
        <v>#N/A</v>
      </c>
      <c r="D811" s="15" t="s">
        <v>1839</v>
      </c>
      <c r="E811" s="16" t="s">
        <v>7707</v>
      </c>
      <c r="F811" s="32" t="s">
        <v>7708</v>
      </c>
      <c r="G811" s="17" t="s">
        <v>7709</v>
      </c>
      <c r="H811" s="18" t="s">
        <v>7710</v>
      </c>
      <c r="I811" s="16" t="s">
        <v>7711</v>
      </c>
      <c r="J811" s="16" t="s">
        <v>173</v>
      </c>
      <c r="K811" s="16" t="s">
        <v>384</v>
      </c>
      <c r="L811" s="16">
        <v>17094770</v>
      </c>
      <c r="M811" s="16" t="s">
        <v>234</v>
      </c>
      <c r="N811" s="16" t="s">
        <v>7712</v>
      </c>
      <c r="O811" s="16" t="s">
        <v>7713</v>
      </c>
      <c r="P811" s="16" t="s">
        <v>7714</v>
      </c>
      <c r="Q811" s="16" t="s">
        <v>2215</v>
      </c>
      <c r="R811" s="16" t="s">
        <v>7267</v>
      </c>
      <c r="S811" s="19" t="s">
        <v>9884</v>
      </c>
      <c r="T811" s="20" t="s">
        <v>40</v>
      </c>
      <c r="U811" s="16" t="s">
        <v>7632</v>
      </c>
      <c r="V811" s="16" t="s">
        <v>9885</v>
      </c>
      <c r="W811" s="30" t="s">
        <v>7715</v>
      </c>
      <c r="X811" s="18" t="s">
        <v>542</v>
      </c>
      <c r="Y811" s="18" t="s">
        <v>98</v>
      </c>
      <c r="Z811" s="18" t="s">
        <v>2215</v>
      </c>
      <c r="AA811" s="16" t="s">
        <v>7222</v>
      </c>
      <c r="AB811" s="16" t="s">
        <v>7223</v>
      </c>
      <c r="AC811" s="16" t="s">
        <v>7224</v>
      </c>
      <c r="AD811" s="123" t="str">
        <f t="shared" si="12"/>
        <v>External Transfer-NBE</v>
      </c>
      <c r="AE811" s="123" t="str">
        <f>VLOOKUP(Table1[[#This Row],[Name of bank]],'اكواد البنوك'!$A$2:$B$34,2,0)</f>
        <v>NBEGEGCXXXX</v>
      </c>
      <c r="AF811" s="21">
        <v>37</v>
      </c>
      <c r="AG811" s="15" t="s">
        <v>167</v>
      </c>
    </row>
    <row r="812" spans="1:33">
      <c r="A812" s="14">
        <v>811</v>
      </c>
      <c r="B812" s="14" t="s">
        <v>7716</v>
      </c>
      <c r="C812" s="14" t="s">
        <v>7978</v>
      </c>
      <c r="D812" s="15" t="s">
        <v>1839</v>
      </c>
      <c r="E812" s="16" t="s">
        <v>7717</v>
      </c>
      <c r="F812" s="32" t="s">
        <v>7718</v>
      </c>
      <c r="G812" s="17" t="s">
        <v>7719</v>
      </c>
      <c r="H812" s="18" t="s">
        <v>7720</v>
      </c>
      <c r="I812" s="16" t="s">
        <v>7721</v>
      </c>
      <c r="J812" s="16" t="s">
        <v>173</v>
      </c>
      <c r="K812" s="16" t="s">
        <v>7722</v>
      </c>
      <c r="L812" s="16">
        <v>58909425</v>
      </c>
      <c r="M812" s="16" t="s">
        <v>136</v>
      </c>
      <c r="N812" s="16" t="s">
        <v>7723</v>
      </c>
      <c r="O812" s="16" t="s">
        <v>7724</v>
      </c>
      <c r="P812" s="16" t="s">
        <v>7725</v>
      </c>
      <c r="Q812" s="16" t="s">
        <v>2215</v>
      </c>
      <c r="R812" s="16" t="s">
        <v>7267</v>
      </c>
      <c r="S812" s="19" t="s">
        <v>7726</v>
      </c>
      <c r="T812" s="20" t="s">
        <v>176</v>
      </c>
      <c r="U812" s="16" t="s">
        <v>7727</v>
      </c>
      <c r="V812" s="16" t="s">
        <v>7728</v>
      </c>
      <c r="W812" s="30" t="s">
        <v>7729</v>
      </c>
      <c r="X812" s="18" t="s">
        <v>542</v>
      </c>
      <c r="Y812" s="18" t="s">
        <v>98</v>
      </c>
      <c r="Z812" s="18" t="s">
        <v>2215</v>
      </c>
      <c r="AA812" s="16" t="s">
        <v>7222</v>
      </c>
      <c r="AB812" s="16" t="s">
        <v>7223</v>
      </c>
      <c r="AC812" s="16" t="s">
        <v>7224</v>
      </c>
      <c r="AD812" s="123" t="str">
        <f t="shared" si="12"/>
        <v>External Transfer-Other banks</v>
      </c>
      <c r="AE812" s="123" t="str">
        <f>VLOOKUP(Table1[[#This Row],[Name of bank]],'اكواد البنوك'!$A$2:$B$34,2,0)</f>
        <v>BMISEGCXXXX</v>
      </c>
      <c r="AF812" s="21" t="s">
        <v>7730</v>
      </c>
      <c r="AG812" s="15" t="s">
        <v>49</v>
      </c>
    </row>
    <row r="813" spans="1:33">
      <c r="A813" s="14">
        <v>812</v>
      </c>
      <c r="B813" s="14" t="s">
        <v>7716</v>
      </c>
      <c r="C813" s="14" t="s">
        <v>8392</v>
      </c>
      <c r="D813" s="15" t="s">
        <v>1839</v>
      </c>
      <c r="E813" s="16" t="s">
        <v>7731</v>
      </c>
      <c r="F813" s="32" t="s">
        <v>10105</v>
      </c>
      <c r="G813" s="17" t="s">
        <v>7732</v>
      </c>
      <c r="H813" s="18" t="s">
        <v>7733</v>
      </c>
      <c r="I813" s="16" t="s">
        <v>7734</v>
      </c>
      <c r="J813" s="16" t="s">
        <v>86</v>
      </c>
      <c r="K813" s="16" t="s">
        <v>269</v>
      </c>
      <c r="L813" s="16" t="s">
        <v>136</v>
      </c>
      <c r="M813" s="16" t="s">
        <v>7735</v>
      </c>
      <c r="N813" s="16" t="s">
        <v>7736</v>
      </c>
      <c r="O813" s="16" t="s">
        <v>7737</v>
      </c>
      <c r="P813" s="16" t="s">
        <v>7738</v>
      </c>
      <c r="Q813" s="16" t="s">
        <v>2215</v>
      </c>
      <c r="R813" s="16" t="s">
        <v>7267</v>
      </c>
      <c r="S813" s="19" t="s">
        <v>7739</v>
      </c>
      <c r="T813" s="20" t="s">
        <v>176</v>
      </c>
      <c r="U813" s="16" t="s">
        <v>7727</v>
      </c>
      <c r="V813" s="16" t="s">
        <v>7740</v>
      </c>
      <c r="W813" s="30" t="s">
        <v>7741</v>
      </c>
      <c r="X813" s="18" t="s">
        <v>542</v>
      </c>
      <c r="Y813" s="18" t="s">
        <v>98</v>
      </c>
      <c r="Z813" s="18" t="s">
        <v>2215</v>
      </c>
      <c r="AA813" s="16" t="s">
        <v>7222</v>
      </c>
      <c r="AB813" s="16" t="s">
        <v>7223</v>
      </c>
      <c r="AC813" s="16" t="s">
        <v>7224</v>
      </c>
      <c r="AD813" s="123" t="str">
        <f t="shared" si="12"/>
        <v>External Transfer-Other banks</v>
      </c>
      <c r="AE813" s="123" t="str">
        <f>VLOOKUP(Table1[[#This Row],[Name of bank]],'اكواد البنوك'!$A$2:$B$34,2,0)</f>
        <v>BMISEGCXXXX</v>
      </c>
      <c r="AF813" s="21">
        <v>110</v>
      </c>
      <c r="AG813" s="15" t="s">
        <v>167</v>
      </c>
    </row>
    <row r="814" spans="1:33">
      <c r="A814" s="14">
        <v>813</v>
      </c>
      <c r="B814" s="14" t="s">
        <v>7716</v>
      </c>
      <c r="C814" s="14" t="e">
        <v>#N/A</v>
      </c>
      <c r="D814" s="15" t="s">
        <v>1839</v>
      </c>
      <c r="E814" s="16" t="s">
        <v>7742</v>
      </c>
      <c r="F814" s="32" t="s">
        <v>7743</v>
      </c>
      <c r="G814" s="17" t="s">
        <v>7744</v>
      </c>
      <c r="H814" s="18" t="s">
        <v>7745</v>
      </c>
      <c r="I814" s="16" t="s">
        <v>7746</v>
      </c>
      <c r="J814" s="16" t="s">
        <v>173</v>
      </c>
      <c r="K814" s="16" t="s">
        <v>7747</v>
      </c>
      <c r="L814" s="16">
        <v>64773982</v>
      </c>
      <c r="M814" s="16" t="s">
        <v>234</v>
      </c>
      <c r="N814" s="16" t="s">
        <v>7748</v>
      </c>
      <c r="O814" s="16" t="s">
        <v>7749</v>
      </c>
      <c r="P814" s="16" t="s">
        <v>7750</v>
      </c>
      <c r="Q814" s="16" t="s">
        <v>2215</v>
      </c>
      <c r="R814" s="16" t="s">
        <v>7267</v>
      </c>
      <c r="S814" s="19" t="s">
        <v>7751</v>
      </c>
      <c r="T814" s="20" t="s">
        <v>40</v>
      </c>
      <c r="U814" s="16" t="s">
        <v>9886</v>
      </c>
      <c r="V814" s="16" t="s">
        <v>7752</v>
      </c>
      <c r="W814" s="30" t="s">
        <v>7753</v>
      </c>
      <c r="X814" s="18" t="s">
        <v>542</v>
      </c>
      <c r="Y814" s="18" t="s">
        <v>98</v>
      </c>
      <c r="Z814" s="18" t="s">
        <v>2215</v>
      </c>
      <c r="AA814" s="16" t="s">
        <v>7222</v>
      </c>
      <c r="AB814" s="16" t="s">
        <v>7223</v>
      </c>
      <c r="AC814" s="16" t="s">
        <v>7224</v>
      </c>
      <c r="AD814" s="123" t="str">
        <f t="shared" si="12"/>
        <v>External Transfer-NBE</v>
      </c>
      <c r="AE814" s="123" t="str">
        <f>VLOOKUP(Table1[[#This Row],[Name of bank]],'اكواد البنوك'!$A$2:$B$34,2,0)</f>
        <v>NBEGEGCXXXX</v>
      </c>
      <c r="AF814" s="21">
        <v>175</v>
      </c>
      <c r="AG814" s="15" t="s">
        <v>167</v>
      </c>
    </row>
    <row r="815" spans="1:33">
      <c r="A815" s="14">
        <v>814</v>
      </c>
      <c r="B815" s="14" t="s">
        <v>7754</v>
      </c>
      <c r="C815" s="14" t="s">
        <v>1904</v>
      </c>
      <c r="D815" s="15" t="s">
        <v>1839</v>
      </c>
      <c r="E815" s="16" t="s">
        <v>7755</v>
      </c>
      <c r="F815" s="32" t="s">
        <v>7756</v>
      </c>
      <c r="G815" s="17" t="s">
        <v>7757</v>
      </c>
      <c r="H815" s="18" t="s">
        <v>7758</v>
      </c>
      <c r="I815" s="16" t="s">
        <v>7759</v>
      </c>
      <c r="J815" s="16" t="s">
        <v>86</v>
      </c>
      <c r="K815" s="16" t="s">
        <v>2525</v>
      </c>
      <c r="L815" s="16">
        <v>63780807</v>
      </c>
      <c r="M815" s="16" t="s">
        <v>7760</v>
      </c>
      <c r="N815" s="16" t="s">
        <v>7761</v>
      </c>
      <c r="O815" s="16" t="s">
        <v>7762</v>
      </c>
      <c r="P815" s="16" t="s">
        <v>7763</v>
      </c>
      <c r="Q815" s="16" t="s">
        <v>2215</v>
      </c>
      <c r="R815" s="16" t="s">
        <v>7267</v>
      </c>
      <c r="S815" s="19" t="s">
        <v>7764</v>
      </c>
      <c r="T815" s="20" t="s">
        <v>176</v>
      </c>
      <c r="U815" s="16" t="s">
        <v>7765</v>
      </c>
      <c r="V815" s="16" t="s">
        <v>7766</v>
      </c>
      <c r="W815" s="30" t="s">
        <v>7767</v>
      </c>
      <c r="X815" s="18" t="s">
        <v>542</v>
      </c>
      <c r="Y815" s="18" t="s">
        <v>98</v>
      </c>
      <c r="Z815" s="18" t="s">
        <v>2215</v>
      </c>
      <c r="AA815" s="16" t="s">
        <v>7222</v>
      </c>
      <c r="AB815" s="16" t="s">
        <v>7223</v>
      </c>
      <c r="AC815" s="16" t="s">
        <v>7224</v>
      </c>
      <c r="AD815" s="123" t="str">
        <f t="shared" si="12"/>
        <v>External Transfer-Other banks</v>
      </c>
      <c r="AE815" s="123" t="str">
        <f>VLOOKUP(Table1[[#This Row],[Name of bank]],'اكواد البنوك'!$A$2:$B$34,2,0)</f>
        <v>BMISEGCXXXX</v>
      </c>
      <c r="AF815" s="21" t="s">
        <v>7768</v>
      </c>
      <c r="AG815" s="15" t="s">
        <v>49</v>
      </c>
    </row>
    <row r="816" spans="1:33">
      <c r="A816" s="14">
        <v>815</v>
      </c>
      <c r="B816" s="14" t="s">
        <v>7754</v>
      </c>
      <c r="C816" s="14" t="s">
        <v>8392</v>
      </c>
      <c r="D816" s="15" t="s">
        <v>1839</v>
      </c>
      <c r="E816" s="16" t="s">
        <v>7769</v>
      </c>
      <c r="F816" s="32" t="s">
        <v>7777</v>
      </c>
      <c r="G816" s="17" t="s">
        <v>7770</v>
      </c>
      <c r="H816" s="18" t="s">
        <v>7771</v>
      </c>
      <c r="I816" s="16" t="s">
        <v>7772</v>
      </c>
      <c r="J816" s="16" t="s">
        <v>173</v>
      </c>
      <c r="K816" s="16" t="s">
        <v>7773</v>
      </c>
      <c r="L816" s="16">
        <v>21016553</v>
      </c>
      <c r="M816" s="16" t="s">
        <v>136</v>
      </c>
      <c r="N816" s="16" t="s">
        <v>7774</v>
      </c>
      <c r="O816" s="16" t="s">
        <v>7775</v>
      </c>
      <c r="P816" s="16" t="s">
        <v>7776</v>
      </c>
      <c r="Q816" s="16" t="s">
        <v>2215</v>
      </c>
      <c r="R816" s="16" t="s">
        <v>7267</v>
      </c>
      <c r="S816" s="19" t="s">
        <v>7777</v>
      </c>
      <c r="T816" s="20" t="s">
        <v>40</v>
      </c>
      <c r="U816" s="16" t="s">
        <v>9887</v>
      </c>
      <c r="V816" s="16" t="s">
        <v>7778</v>
      </c>
      <c r="W816" s="30" t="s">
        <v>7779</v>
      </c>
      <c r="X816" s="18" t="s">
        <v>542</v>
      </c>
      <c r="Y816" s="18" t="s">
        <v>98</v>
      </c>
      <c r="Z816" s="18" t="s">
        <v>2215</v>
      </c>
      <c r="AA816" s="16" t="s">
        <v>7222</v>
      </c>
      <c r="AB816" s="16" t="s">
        <v>7223</v>
      </c>
      <c r="AC816" s="16" t="s">
        <v>7224</v>
      </c>
      <c r="AD816" s="123" t="str">
        <f t="shared" si="12"/>
        <v>External Transfer-NBE</v>
      </c>
      <c r="AE816" s="123" t="str">
        <f>VLOOKUP(Table1[[#This Row],[Name of bank]],'اكواد البنوك'!$A$2:$B$34,2,0)</f>
        <v>NBEGEGCXXXX</v>
      </c>
      <c r="AF816" s="21" t="s">
        <v>3304</v>
      </c>
      <c r="AG816" s="15" t="s">
        <v>167</v>
      </c>
    </row>
    <row r="817" spans="1:33">
      <c r="A817" s="14">
        <v>816</v>
      </c>
      <c r="B817" s="14" t="s">
        <v>7780</v>
      </c>
      <c r="C817" s="14" t="s">
        <v>7944</v>
      </c>
      <c r="D817" s="15" t="s">
        <v>1839</v>
      </c>
      <c r="E817" s="16" t="s">
        <v>7781</v>
      </c>
      <c r="F817" s="32" t="s">
        <v>7782</v>
      </c>
      <c r="G817" s="17" t="s">
        <v>7783</v>
      </c>
      <c r="H817" s="18" t="s">
        <v>7784</v>
      </c>
      <c r="I817" s="16" t="s">
        <v>7785</v>
      </c>
      <c r="J817" s="16" t="s">
        <v>173</v>
      </c>
      <c r="K817" s="16" t="s">
        <v>160</v>
      </c>
      <c r="L817" s="16">
        <v>46274949</v>
      </c>
      <c r="M817" s="16" t="s">
        <v>136</v>
      </c>
      <c r="N817" s="16" t="s">
        <v>7786</v>
      </c>
      <c r="O817" s="16" t="s">
        <v>7787</v>
      </c>
      <c r="P817" s="16" t="s">
        <v>7788</v>
      </c>
      <c r="Q817" s="16" t="s">
        <v>2215</v>
      </c>
      <c r="R817" s="16" t="s">
        <v>7267</v>
      </c>
      <c r="S817" s="19" t="s">
        <v>7789</v>
      </c>
      <c r="T817" s="20" t="s">
        <v>7790</v>
      </c>
      <c r="U817" s="16" t="s">
        <v>7791</v>
      </c>
      <c r="V817" s="16" t="s">
        <v>7792</v>
      </c>
      <c r="W817" s="30" t="s">
        <v>7793</v>
      </c>
      <c r="X817" s="18" t="s">
        <v>542</v>
      </c>
      <c r="Y817" s="18" t="s">
        <v>98</v>
      </c>
      <c r="Z817" s="18" t="s">
        <v>2215</v>
      </c>
      <c r="AA817" s="16" t="s">
        <v>7222</v>
      </c>
      <c r="AB817" s="16" t="s">
        <v>7223</v>
      </c>
      <c r="AC817" s="16" t="s">
        <v>7224</v>
      </c>
      <c r="AD817" s="123" t="str">
        <f t="shared" si="12"/>
        <v>External Transfer-Other banks</v>
      </c>
      <c r="AE817" s="123" t="str">
        <f>VLOOKUP(Table1[[#This Row],[Name of bank]],'اكواد البنوك'!$A$2:$B$34,2,0)</f>
        <v>SBNKEGCXXXX</v>
      </c>
      <c r="AF817" s="21" t="s">
        <v>7795</v>
      </c>
      <c r="AG817" s="15" t="s">
        <v>49</v>
      </c>
    </row>
    <row r="818" spans="1:33">
      <c r="A818" s="14">
        <v>817</v>
      </c>
      <c r="B818" s="14" t="s">
        <v>7780</v>
      </c>
      <c r="C818" s="14" t="s">
        <v>8040</v>
      </c>
      <c r="D818" s="15" t="s">
        <v>1839</v>
      </c>
      <c r="E818" s="16" t="s">
        <v>7796</v>
      </c>
      <c r="F818" s="32" t="s">
        <v>7797</v>
      </c>
      <c r="G818" s="17" t="s">
        <v>7798</v>
      </c>
      <c r="H818" s="18" t="s">
        <v>7799</v>
      </c>
      <c r="I818" s="16" t="s">
        <v>7800</v>
      </c>
      <c r="J818" s="16" t="s">
        <v>86</v>
      </c>
      <c r="K818" s="16" t="s">
        <v>2726</v>
      </c>
      <c r="L818" s="16">
        <v>26915858</v>
      </c>
      <c r="M818" s="16" t="s">
        <v>136</v>
      </c>
      <c r="N818" s="16" t="s">
        <v>7801</v>
      </c>
      <c r="O818" s="16" t="s">
        <v>7802</v>
      </c>
      <c r="P818" s="16" t="s">
        <v>7803</v>
      </c>
      <c r="Q818" s="16" t="s">
        <v>2215</v>
      </c>
      <c r="R818" s="16" t="s">
        <v>7267</v>
      </c>
      <c r="S818" s="19" t="s">
        <v>7804</v>
      </c>
      <c r="T818" s="20" t="s">
        <v>908</v>
      </c>
      <c r="U818" s="16" t="s">
        <v>7805</v>
      </c>
      <c r="V818" s="16" t="s">
        <v>7806</v>
      </c>
      <c r="W818" s="30" t="s">
        <v>7807</v>
      </c>
      <c r="X818" s="18" t="s">
        <v>542</v>
      </c>
      <c r="Y818" s="18" t="s">
        <v>98</v>
      </c>
      <c r="Z818" s="18" t="s">
        <v>2215</v>
      </c>
      <c r="AA818" s="16" t="s">
        <v>7222</v>
      </c>
      <c r="AB818" s="16" t="s">
        <v>7223</v>
      </c>
      <c r="AC818" s="16" t="s">
        <v>7224</v>
      </c>
      <c r="AD818" s="123" t="str">
        <f t="shared" si="12"/>
        <v>External Transfer-Other banks</v>
      </c>
      <c r="AE818" s="123" t="str">
        <f>VLOOKUP(Table1[[#This Row],[Name of bank]],'اكواد البنوك'!$A$2:$B$34,2,0)</f>
        <v>ARAIEGCXXXX</v>
      </c>
      <c r="AF818" s="21" t="s">
        <v>9888</v>
      </c>
      <c r="AG818" s="15" t="s">
        <v>167</v>
      </c>
    </row>
    <row r="819" spans="1:33">
      <c r="A819" s="14">
        <v>818</v>
      </c>
      <c r="B819" s="14" t="s">
        <v>7808</v>
      </c>
      <c r="C819" s="14" t="s">
        <v>7965</v>
      </c>
      <c r="D819" s="15" t="s">
        <v>1839</v>
      </c>
      <c r="E819" s="16" t="s">
        <v>7809</v>
      </c>
      <c r="F819" s="32" t="s">
        <v>7810</v>
      </c>
      <c r="G819" s="17" t="s">
        <v>7811</v>
      </c>
      <c r="H819" s="18" t="s">
        <v>7812</v>
      </c>
      <c r="I819" s="16" t="s">
        <v>7813</v>
      </c>
      <c r="J819" s="16" t="s">
        <v>86</v>
      </c>
      <c r="K819" s="16" t="s">
        <v>7814</v>
      </c>
      <c r="L819" s="16">
        <v>62582733</v>
      </c>
      <c r="M819" s="16" t="s">
        <v>136</v>
      </c>
      <c r="N819" s="16" t="s">
        <v>7815</v>
      </c>
      <c r="O819" s="16" t="s">
        <v>7816</v>
      </c>
      <c r="P819" s="16" t="s">
        <v>7817</v>
      </c>
      <c r="Q819" s="16" t="s">
        <v>2215</v>
      </c>
      <c r="R819" s="16" t="s">
        <v>7267</v>
      </c>
      <c r="S819" s="19" t="s">
        <v>7818</v>
      </c>
      <c r="T819" s="20" t="s">
        <v>908</v>
      </c>
      <c r="U819" s="16" t="s">
        <v>7819</v>
      </c>
      <c r="V819" s="16" t="s">
        <v>7820</v>
      </c>
      <c r="W819" s="30" t="s">
        <v>7821</v>
      </c>
      <c r="X819" s="18" t="s">
        <v>542</v>
      </c>
      <c r="Y819" s="18" t="s">
        <v>98</v>
      </c>
      <c r="Z819" s="18" t="s">
        <v>2215</v>
      </c>
      <c r="AA819" s="16" t="s">
        <v>7222</v>
      </c>
      <c r="AB819" s="16" t="s">
        <v>7223</v>
      </c>
      <c r="AC819" s="16" t="s">
        <v>7224</v>
      </c>
      <c r="AD819" s="123" t="str">
        <f t="shared" si="12"/>
        <v>External Transfer-Other banks</v>
      </c>
      <c r="AE819" s="123" t="str">
        <f>VLOOKUP(Table1[[#This Row],[Name of bank]],'اكواد البنوك'!$A$2:$B$34,2,0)</f>
        <v>ARAIEGCXXXX</v>
      </c>
      <c r="AF819" s="21" t="s">
        <v>7822</v>
      </c>
      <c r="AG819" s="15" t="s">
        <v>49</v>
      </c>
    </row>
    <row r="820" spans="1:33">
      <c r="A820" s="14">
        <v>819</v>
      </c>
      <c r="B820" s="14" t="s">
        <v>7808</v>
      </c>
      <c r="C820" s="14" t="e">
        <v>#N/A</v>
      </c>
      <c r="D820" s="15" t="s">
        <v>1839</v>
      </c>
      <c r="E820" s="16" t="s">
        <v>7823</v>
      </c>
      <c r="F820" s="32" t="s">
        <v>7824</v>
      </c>
      <c r="G820" s="17" t="s">
        <v>7825</v>
      </c>
      <c r="H820" s="18" t="s">
        <v>7826</v>
      </c>
      <c r="I820" s="16" t="s">
        <v>7827</v>
      </c>
      <c r="J820" s="16" t="s">
        <v>173</v>
      </c>
      <c r="K820" s="16" t="s">
        <v>384</v>
      </c>
      <c r="L820" s="16">
        <v>73355542</v>
      </c>
      <c r="M820" s="16" t="s">
        <v>136</v>
      </c>
      <c r="N820" s="16" t="s">
        <v>7828</v>
      </c>
      <c r="O820" s="16" t="s">
        <v>7829</v>
      </c>
      <c r="P820" s="16" t="s">
        <v>7830</v>
      </c>
      <c r="Q820" s="16" t="s">
        <v>2215</v>
      </c>
      <c r="R820" s="16" t="s">
        <v>7267</v>
      </c>
      <c r="S820" s="19" t="s">
        <v>7823</v>
      </c>
      <c r="T820" s="20" t="s">
        <v>40</v>
      </c>
      <c r="U820" s="16" t="s">
        <v>7831</v>
      </c>
      <c r="V820" s="16" t="s">
        <v>7832</v>
      </c>
      <c r="W820" s="30" t="s">
        <v>9889</v>
      </c>
      <c r="X820" s="18" t="s">
        <v>542</v>
      </c>
      <c r="Y820" s="18" t="s">
        <v>98</v>
      </c>
      <c r="Z820" s="18" t="s">
        <v>2215</v>
      </c>
      <c r="AA820" s="16" t="s">
        <v>7222</v>
      </c>
      <c r="AB820" s="16" t="s">
        <v>7223</v>
      </c>
      <c r="AC820" s="16" t="s">
        <v>7224</v>
      </c>
      <c r="AD820" s="123" t="str">
        <f t="shared" si="12"/>
        <v>External Transfer-NBE</v>
      </c>
      <c r="AE820" s="123" t="str">
        <f>VLOOKUP(Table1[[#This Row],[Name of bank]],'اكواد البنوك'!$A$2:$B$34,2,0)</f>
        <v>NBEGEGCXXXX</v>
      </c>
      <c r="AF820" s="21" t="s">
        <v>9890</v>
      </c>
      <c r="AG820" s="15" t="s">
        <v>167</v>
      </c>
    </row>
    <row r="821" spans="1:33">
      <c r="A821" s="14">
        <v>820</v>
      </c>
      <c r="B821" s="14" t="s">
        <v>7833</v>
      </c>
      <c r="C821" s="14" t="e">
        <v>#N/A</v>
      </c>
      <c r="D821" s="15" t="s">
        <v>1839</v>
      </c>
      <c r="E821" s="16" t="s">
        <v>7834</v>
      </c>
      <c r="F821" s="32" t="s">
        <v>7835</v>
      </c>
      <c r="G821" s="17" t="s">
        <v>7836</v>
      </c>
      <c r="H821" s="18" t="s">
        <v>7837</v>
      </c>
      <c r="I821" s="16" t="s">
        <v>7838</v>
      </c>
      <c r="J821" s="16" t="s">
        <v>86</v>
      </c>
      <c r="K821" s="16" t="s">
        <v>7839</v>
      </c>
      <c r="L821" s="16">
        <v>82065853</v>
      </c>
      <c r="M821" s="16" t="s">
        <v>977</v>
      </c>
      <c r="N821" s="16" t="s">
        <v>7840</v>
      </c>
      <c r="O821" s="16" t="s">
        <v>7841</v>
      </c>
      <c r="P821" s="16" t="s">
        <v>7842</v>
      </c>
      <c r="Q821" s="16" t="s">
        <v>2215</v>
      </c>
      <c r="R821" s="16" t="s">
        <v>7267</v>
      </c>
      <c r="S821" s="19" t="s">
        <v>7843</v>
      </c>
      <c r="T821" s="20" t="s">
        <v>7790</v>
      </c>
      <c r="U821" s="16" t="s">
        <v>2216</v>
      </c>
      <c r="V821" s="16" t="s">
        <v>7844</v>
      </c>
      <c r="W821" s="30" t="s">
        <v>7845</v>
      </c>
      <c r="X821" s="18" t="s">
        <v>542</v>
      </c>
      <c r="Y821" s="18" t="s">
        <v>98</v>
      </c>
      <c r="Z821" s="18" t="s">
        <v>2215</v>
      </c>
      <c r="AA821" s="16" t="s">
        <v>7222</v>
      </c>
      <c r="AB821" s="16" t="s">
        <v>7223</v>
      </c>
      <c r="AC821" s="16" t="s">
        <v>7224</v>
      </c>
      <c r="AD821" s="123" t="str">
        <f t="shared" si="12"/>
        <v>External Transfer-Other banks</v>
      </c>
      <c r="AE821" s="123" t="str">
        <f>VLOOKUP(Table1[[#This Row],[Name of bank]],'اكواد البنوك'!$A$2:$B$34,2,0)</f>
        <v>SBNKEGCXXXX</v>
      </c>
      <c r="AF821" s="21" t="s">
        <v>560</v>
      </c>
      <c r="AG821" s="15" t="s">
        <v>49</v>
      </c>
    </row>
    <row r="822" spans="1:33">
      <c r="A822" s="14">
        <v>821</v>
      </c>
      <c r="B822" s="14" t="s">
        <v>7833</v>
      </c>
      <c r="C822" s="14" t="e">
        <v>#N/A</v>
      </c>
      <c r="D822" s="15" t="s">
        <v>1839</v>
      </c>
      <c r="E822" s="16" t="s">
        <v>7846</v>
      </c>
      <c r="F822" s="32" t="s">
        <v>7847</v>
      </c>
      <c r="G822" s="17" t="s">
        <v>7848</v>
      </c>
      <c r="H822" s="18" t="s">
        <v>7849</v>
      </c>
      <c r="I822" s="16" t="s">
        <v>7827</v>
      </c>
      <c r="J822" s="16" t="s">
        <v>173</v>
      </c>
      <c r="K822" s="16" t="s">
        <v>7850</v>
      </c>
      <c r="L822" s="16">
        <v>33212980</v>
      </c>
      <c r="M822" s="16">
        <v>369520483</v>
      </c>
      <c r="N822" s="16" t="s">
        <v>7851</v>
      </c>
      <c r="O822" s="16" t="s">
        <v>7852</v>
      </c>
      <c r="P822" s="16" t="s">
        <v>7853</v>
      </c>
      <c r="Q822" s="16" t="s">
        <v>2215</v>
      </c>
      <c r="R822" s="16" t="s">
        <v>7267</v>
      </c>
      <c r="S822" s="19" t="s">
        <v>7854</v>
      </c>
      <c r="T822" s="20" t="s">
        <v>40</v>
      </c>
      <c r="U822" s="16" t="s">
        <v>7855</v>
      </c>
      <c r="V822" s="16" t="s">
        <v>7856</v>
      </c>
      <c r="W822" s="113" t="s">
        <v>7857</v>
      </c>
      <c r="X822" s="18" t="s">
        <v>542</v>
      </c>
      <c r="Y822" s="18" t="s">
        <v>98</v>
      </c>
      <c r="Z822" s="18" t="s">
        <v>2215</v>
      </c>
      <c r="AA822" s="16" t="s">
        <v>7222</v>
      </c>
      <c r="AB822" s="16" t="s">
        <v>7223</v>
      </c>
      <c r="AC822" s="16" t="s">
        <v>7224</v>
      </c>
      <c r="AD822" s="123" t="str">
        <f t="shared" si="12"/>
        <v>External Transfer-NBE</v>
      </c>
      <c r="AE822" s="123" t="str">
        <f>VLOOKUP(Table1[[#This Row],[Name of bank]],'اكواد البنوك'!$A$2:$B$34,2,0)</f>
        <v>NBEGEGCXXXX</v>
      </c>
      <c r="AF822" s="114">
        <v>166</v>
      </c>
      <c r="AG822" s="15" t="s">
        <v>167</v>
      </c>
    </row>
    <row r="823" spans="1:33">
      <c r="A823" s="14">
        <v>822</v>
      </c>
      <c r="B823" s="14" t="s">
        <v>7858</v>
      </c>
      <c r="C823" s="14" t="e">
        <v>#N/A</v>
      </c>
      <c r="D823" s="15" t="s">
        <v>1831</v>
      </c>
      <c r="E823" s="16" t="s">
        <v>7859</v>
      </c>
      <c r="F823" s="32" t="s">
        <v>7860</v>
      </c>
      <c r="G823" s="17" t="s">
        <v>7861</v>
      </c>
      <c r="H823" s="18" t="s">
        <v>7862</v>
      </c>
      <c r="I823" s="16" t="s">
        <v>1831</v>
      </c>
      <c r="J823" s="16"/>
      <c r="K823" s="16"/>
      <c r="L823" s="16" t="s">
        <v>1996</v>
      </c>
      <c r="M823" s="16"/>
      <c r="N823" s="16" t="s">
        <v>7863</v>
      </c>
      <c r="O823" s="16"/>
      <c r="P823" s="16"/>
      <c r="Q823" s="16" t="s">
        <v>2215</v>
      </c>
      <c r="R823" s="16" t="s">
        <v>7267</v>
      </c>
      <c r="S823" s="19"/>
      <c r="T823" s="20" t="s">
        <v>1837</v>
      </c>
      <c r="U823" s="16"/>
      <c r="V823" s="16"/>
      <c r="W823" s="30" t="s">
        <v>1838</v>
      </c>
      <c r="X823" s="18" t="s">
        <v>542</v>
      </c>
      <c r="Y823" s="18" t="s">
        <v>98</v>
      </c>
      <c r="Z823" s="18" t="s">
        <v>2215</v>
      </c>
      <c r="AA823" s="16" t="s">
        <v>7222</v>
      </c>
      <c r="AB823" s="16" t="s">
        <v>7223</v>
      </c>
      <c r="AC823" s="16" t="s">
        <v>7224</v>
      </c>
      <c r="AD823" s="123" t="str">
        <f t="shared" si="12"/>
        <v>FUE</v>
      </c>
      <c r="AE823" s="123" t="str">
        <f>VLOOKUP(Table1[[#This Row],[Name of bank]],'اكواد البنوك'!$A$2:$B$34,2,0)</f>
        <v>FUE</v>
      </c>
      <c r="AF823" s="21" t="s">
        <v>1838</v>
      </c>
      <c r="AG823" s="15" t="s">
        <v>49</v>
      </c>
    </row>
    <row r="824" spans="1:33">
      <c r="A824" s="14">
        <v>823</v>
      </c>
      <c r="B824" s="14" t="s">
        <v>7858</v>
      </c>
      <c r="C824" s="14" t="s">
        <v>7754</v>
      </c>
      <c r="D824" s="15" t="s">
        <v>1839</v>
      </c>
      <c r="E824" s="16" t="s">
        <v>7864</v>
      </c>
      <c r="F824" s="32" t="s">
        <v>7865</v>
      </c>
      <c r="G824" s="17" t="s">
        <v>7866</v>
      </c>
      <c r="H824" s="18" t="s">
        <v>7867</v>
      </c>
      <c r="I824" s="16" t="s">
        <v>7868</v>
      </c>
      <c r="J824" s="16" t="s">
        <v>173</v>
      </c>
      <c r="K824" s="16" t="s">
        <v>7628</v>
      </c>
      <c r="L824" s="16" t="s">
        <v>136</v>
      </c>
      <c r="M824" s="16" t="s">
        <v>136</v>
      </c>
      <c r="N824" s="16" t="s">
        <v>7869</v>
      </c>
      <c r="O824" s="16" t="s">
        <v>7870</v>
      </c>
      <c r="P824" s="16" t="s">
        <v>7871</v>
      </c>
      <c r="Q824" s="16" t="s">
        <v>2215</v>
      </c>
      <c r="R824" s="16" t="s">
        <v>7267</v>
      </c>
      <c r="S824" s="19" t="s">
        <v>7865</v>
      </c>
      <c r="T824" s="20" t="s">
        <v>40</v>
      </c>
      <c r="U824" s="16" t="s">
        <v>9891</v>
      </c>
      <c r="V824" s="16" t="s">
        <v>7872</v>
      </c>
      <c r="W824" s="30" t="s">
        <v>7873</v>
      </c>
      <c r="X824" s="18" t="s">
        <v>542</v>
      </c>
      <c r="Y824" s="18" t="s">
        <v>98</v>
      </c>
      <c r="Z824" s="18" t="s">
        <v>2215</v>
      </c>
      <c r="AA824" s="16" t="s">
        <v>7222</v>
      </c>
      <c r="AB824" s="16" t="s">
        <v>7223</v>
      </c>
      <c r="AC824" s="16" t="s">
        <v>7224</v>
      </c>
      <c r="AD824" s="123" t="str">
        <f t="shared" si="12"/>
        <v>External Transfer-NBE</v>
      </c>
      <c r="AE824" s="123" t="str">
        <f>VLOOKUP(Table1[[#This Row],[Name of bank]],'اكواد البنوك'!$A$2:$B$34,2,0)</f>
        <v>NBEGEGCXXXX</v>
      </c>
      <c r="AF824" s="21">
        <v>685</v>
      </c>
      <c r="AG824" s="15" t="s">
        <v>167</v>
      </c>
    </row>
    <row r="825" spans="1:33">
      <c r="A825" s="14">
        <v>824</v>
      </c>
      <c r="B825" s="14" t="s">
        <v>312</v>
      </c>
      <c r="C825" s="14" t="s">
        <v>312</v>
      </c>
      <c r="D825" s="15" t="s">
        <v>1703</v>
      </c>
      <c r="E825" s="16" t="s">
        <v>7874</v>
      </c>
      <c r="F825" s="32" t="s">
        <v>7875</v>
      </c>
      <c r="G825" s="17" t="s">
        <v>7876</v>
      </c>
      <c r="H825" s="18" t="s">
        <v>7877</v>
      </c>
      <c r="I825" s="16" t="s">
        <v>1703</v>
      </c>
      <c r="J825" s="16"/>
      <c r="K825" s="16"/>
      <c r="L825" s="16"/>
      <c r="M825" s="16"/>
      <c r="N825" s="16"/>
      <c r="O825" s="16"/>
      <c r="P825" s="16"/>
      <c r="Q825" s="16" t="s">
        <v>2215</v>
      </c>
      <c r="R825" s="16" t="s">
        <v>7267</v>
      </c>
      <c r="S825" s="19"/>
      <c r="T825" s="20" t="s">
        <v>40</v>
      </c>
      <c r="U825" s="16"/>
      <c r="V825" s="16"/>
      <c r="W825" s="30" t="s">
        <v>7878</v>
      </c>
      <c r="X825" s="18" t="s">
        <v>78</v>
      </c>
      <c r="Y825" s="18" t="s">
        <v>43</v>
      </c>
      <c r="Z825" s="18" t="s">
        <v>2215</v>
      </c>
      <c r="AA825" s="16" t="s">
        <v>7222</v>
      </c>
      <c r="AB825" s="16" t="s">
        <v>7223</v>
      </c>
      <c r="AC825" s="16" t="s">
        <v>7224</v>
      </c>
      <c r="AD825" s="123" t="str">
        <f t="shared" si="12"/>
        <v>Internal Transfer</v>
      </c>
      <c r="AE825" s="123" t="str">
        <f>VLOOKUP(Table1[[#This Row],[Name of bank]],'اكواد البنوك'!$A$2:$B$34,2,0)</f>
        <v>NBEGEGCXXXX</v>
      </c>
      <c r="AF825" s="21" t="s">
        <v>7878</v>
      </c>
      <c r="AG825" s="15" t="s">
        <v>49</v>
      </c>
    </row>
    <row r="826" spans="1:33">
      <c r="A826" s="14">
        <v>825</v>
      </c>
      <c r="B826" s="14" t="s">
        <v>312</v>
      </c>
      <c r="C826" s="14" t="e">
        <v>#N/A</v>
      </c>
      <c r="D826" s="15" t="s">
        <v>1855</v>
      </c>
      <c r="E826" s="16" t="s">
        <v>7879</v>
      </c>
      <c r="F826" s="32" t="s">
        <v>7880</v>
      </c>
      <c r="G826" s="17" t="s">
        <v>7881</v>
      </c>
      <c r="H826" s="18" t="s">
        <v>7882</v>
      </c>
      <c r="I826" s="16" t="s">
        <v>7883</v>
      </c>
      <c r="J826" s="16" t="s">
        <v>1845</v>
      </c>
      <c r="K826" s="16" t="s">
        <v>7883</v>
      </c>
      <c r="L826" s="16" t="s">
        <v>7884</v>
      </c>
      <c r="M826" s="16" t="s">
        <v>136</v>
      </c>
      <c r="N826" s="16" t="s">
        <v>7885</v>
      </c>
      <c r="O826" s="16" t="s">
        <v>7886</v>
      </c>
      <c r="P826" s="16" t="s">
        <v>7887</v>
      </c>
      <c r="Q826" s="16" t="s">
        <v>2215</v>
      </c>
      <c r="R826" s="16" t="s">
        <v>7267</v>
      </c>
      <c r="S826" s="19" t="s">
        <v>7888</v>
      </c>
      <c r="T826" s="20" t="s">
        <v>6292</v>
      </c>
      <c r="U826" s="16" t="s">
        <v>4059</v>
      </c>
      <c r="V826" s="16" t="s">
        <v>7890</v>
      </c>
      <c r="W826" s="30" t="s">
        <v>10246</v>
      </c>
      <c r="X826" s="18" t="s">
        <v>97</v>
      </c>
      <c r="Y826" s="18" t="s">
        <v>98</v>
      </c>
      <c r="Z826" s="18" t="s">
        <v>2215</v>
      </c>
      <c r="AA826" s="16" t="s">
        <v>7222</v>
      </c>
      <c r="AB826" s="16" t="s">
        <v>7223</v>
      </c>
      <c r="AC826" s="16" t="s">
        <v>7224</v>
      </c>
      <c r="AD826" s="123" t="str">
        <f t="shared" si="12"/>
        <v>External Transfer-Other banks</v>
      </c>
      <c r="AE826" s="123" t="str">
        <f>VLOOKUP(Table1[[#This Row],[Name of bank]],'اكواد البنوك'!$A$2:$B$34,2,0)</f>
        <v>FIEGEGCXXXX</v>
      </c>
      <c r="AF826" s="21" t="s">
        <v>10247</v>
      </c>
      <c r="AG826" s="15" t="s">
        <v>167</v>
      </c>
    </row>
    <row r="827" spans="1:33">
      <c r="A827" s="14">
        <v>826</v>
      </c>
      <c r="B827" s="14" t="s">
        <v>312</v>
      </c>
      <c r="C827" s="14" t="s">
        <v>312</v>
      </c>
      <c r="D827" s="15" t="s">
        <v>1839</v>
      </c>
      <c r="E827" s="16" t="s">
        <v>7891</v>
      </c>
      <c r="F827" s="32" t="s">
        <v>10048</v>
      </c>
      <c r="G827" s="17" t="s">
        <v>7893</v>
      </c>
      <c r="H827" s="18" t="s">
        <v>7894</v>
      </c>
      <c r="I827" s="16" t="s">
        <v>7895</v>
      </c>
      <c r="J827" s="16" t="s">
        <v>86</v>
      </c>
      <c r="K827" s="16" t="s">
        <v>269</v>
      </c>
      <c r="L827" s="16">
        <v>64360126</v>
      </c>
      <c r="M827" s="16" t="s">
        <v>136</v>
      </c>
      <c r="N827" s="16" t="s">
        <v>7896</v>
      </c>
      <c r="O827" s="16" t="s">
        <v>7897</v>
      </c>
      <c r="P827" s="16" t="s">
        <v>7898</v>
      </c>
      <c r="Q827" s="16" t="s">
        <v>2215</v>
      </c>
      <c r="R827" s="16" t="s">
        <v>7267</v>
      </c>
      <c r="S827" s="19" t="s">
        <v>7892</v>
      </c>
      <c r="T827" s="20" t="s">
        <v>176</v>
      </c>
      <c r="U827" s="16" t="s">
        <v>7899</v>
      </c>
      <c r="V827" s="16" t="s">
        <v>7900</v>
      </c>
      <c r="W827" s="30" t="s">
        <v>7901</v>
      </c>
      <c r="X827" s="18" t="s">
        <v>97</v>
      </c>
      <c r="Y827" s="18" t="s">
        <v>98</v>
      </c>
      <c r="Z827" s="18" t="s">
        <v>2215</v>
      </c>
      <c r="AA827" s="16" t="s">
        <v>7222</v>
      </c>
      <c r="AB827" s="16" t="s">
        <v>7223</v>
      </c>
      <c r="AC827" s="16" t="s">
        <v>7224</v>
      </c>
      <c r="AD827" s="123" t="str">
        <f t="shared" si="12"/>
        <v>External Transfer-Other banks</v>
      </c>
      <c r="AE827" s="123" t="str">
        <f>VLOOKUP(Table1[[#This Row],[Name of bank]],'اكواد البنوك'!$A$2:$B$34,2,0)</f>
        <v>BMISEGCXXXX</v>
      </c>
      <c r="AF827" s="21" t="s">
        <v>751</v>
      </c>
      <c r="AG827" s="15" t="s">
        <v>49</v>
      </c>
    </row>
    <row r="828" spans="1:33">
      <c r="A828" s="14">
        <v>827</v>
      </c>
      <c r="B828" s="14" t="s">
        <v>312</v>
      </c>
      <c r="C828" s="14" t="s">
        <v>312</v>
      </c>
      <c r="D828" s="15" t="s">
        <v>1703</v>
      </c>
      <c r="E828" s="16" t="s">
        <v>7902</v>
      </c>
      <c r="F828" s="32" t="s">
        <v>7903</v>
      </c>
      <c r="G828" s="17" t="s">
        <v>7904</v>
      </c>
      <c r="H828" s="18" t="s">
        <v>7905</v>
      </c>
      <c r="I828" s="16" t="s">
        <v>1703</v>
      </c>
      <c r="J828" s="16"/>
      <c r="K828" s="16"/>
      <c r="L828" s="16"/>
      <c r="M828" s="16"/>
      <c r="N828" s="16"/>
      <c r="O828" s="16"/>
      <c r="P828" s="16"/>
      <c r="Q828" s="16" t="s">
        <v>2215</v>
      </c>
      <c r="R828" s="16" t="s">
        <v>7267</v>
      </c>
      <c r="S828" s="19"/>
      <c r="T828" s="20" t="s">
        <v>7906</v>
      </c>
      <c r="U828" s="16"/>
      <c r="V828" s="16"/>
      <c r="W828" s="30" t="s">
        <v>7906</v>
      </c>
      <c r="X828" s="18" t="s">
        <v>78</v>
      </c>
      <c r="Y828" s="18" t="s">
        <v>43</v>
      </c>
      <c r="Z828" s="18" t="s">
        <v>2215</v>
      </c>
      <c r="AA828" s="16" t="s">
        <v>7222</v>
      </c>
      <c r="AB828" s="16" t="s">
        <v>7223</v>
      </c>
      <c r="AC828" s="16" t="s">
        <v>7224</v>
      </c>
      <c r="AD828" s="123" t="str">
        <f t="shared" si="12"/>
        <v>INTRNAL CASH</v>
      </c>
      <c r="AE828" s="123" t="str">
        <f>VLOOKUP(Table1[[#This Row],[Name of bank]],'اكواد البنوك'!$A$2:$B$34,2,0)</f>
        <v>INTERNAL CASH</v>
      </c>
      <c r="AF828" s="30" t="s">
        <v>7906</v>
      </c>
      <c r="AG828" s="15" t="s">
        <v>49</v>
      </c>
    </row>
    <row r="829" spans="1:33">
      <c r="A829" s="14">
        <v>828</v>
      </c>
      <c r="B829" s="14" t="s">
        <v>312</v>
      </c>
      <c r="C829" s="14" t="s">
        <v>312</v>
      </c>
      <c r="D829" s="15" t="s">
        <v>1839</v>
      </c>
      <c r="E829" s="16" t="s">
        <v>7907</v>
      </c>
      <c r="F829" s="32" t="s">
        <v>7908</v>
      </c>
      <c r="G829" s="17" t="s">
        <v>7909</v>
      </c>
      <c r="H829" s="18" t="s">
        <v>7910</v>
      </c>
      <c r="I829" s="16" t="s">
        <v>7911</v>
      </c>
      <c r="J829" s="16" t="s">
        <v>86</v>
      </c>
      <c r="K829" s="16" t="s">
        <v>438</v>
      </c>
      <c r="L829" s="16">
        <v>73284526</v>
      </c>
      <c r="M829" s="16" t="s">
        <v>234</v>
      </c>
      <c r="N829" s="16" t="s">
        <v>7912</v>
      </c>
      <c r="O829" s="16" t="s">
        <v>7913</v>
      </c>
      <c r="P829" s="16" t="s">
        <v>7914</v>
      </c>
      <c r="Q829" s="16" t="s">
        <v>2215</v>
      </c>
      <c r="R829" s="16" t="s">
        <v>7267</v>
      </c>
      <c r="S829" s="19" t="s">
        <v>7915</v>
      </c>
      <c r="T829" s="20" t="s">
        <v>307</v>
      </c>
      <c r="U829" s="16" t="s">
        <v>7398</v>
      </c>
      <c r="V829" s="16" t="s">
        <v>7916</v>
      </c>
      <c r="W829" s="30" t="s">
        <v>7917</v>
      </c>
      <c r="X829" s="18" t="s">
        <v>97</v>
      </c>
      <c r="Y829" s="18" t="s">
        <v>98</v>
      </c>
      <c r="Z829" s="18" t="s">
        <v>2215</v>
      </c>
      <c r="AA829" s="16" t="s">
        <v>7222</v>
      </c>
      <c r="AB829" s="16" t="s">
        <v>7223</v>
      </c>
      <c r="AC829" s="16" t="s">
        <v>7224</v>
      </c>
      <c r="AD829" s="123" t="str">
        <f t="shared" si="12"/>
        <v>External Transfer-Other banks</v>
      </c>
      <c r="AE829" s="123" t="str">
        <f>VLOOKUP(Table1[[#This Row],[Name of bank]],'اكواد البنوك'!$A$2:$B$34,2,0)</f>
        <v>CIBEEGCXXXX</v>
      </c>
      <c r="AF829" s="21" t="s">
        <v>5248</v>
      </c>
      <c r="AG829" s="15" t="s">
        <v>49</v>
      </c>
    </row>
    <row r="830" spans="1:33">
      <c r="A830" s="14">
        <v>829</v>
      </c>
      <c r="B830" s="14" t="s">
        <v>7918</v>
      </c>
      <c r="C830" s="14" t="e">
        <v>#N/A</v>
      </c>
      <c r="D830" s="15" t="s">
        <v>1831</v>
      </c>
      <c r="E830" s="16" t="s">
        <v>7919</v>
      </c>
      <c r="F830" s="32" t="s">
        <v>7920</v>
      </c>
      <c r="G830" s="17" t="s">
        <v>7921</v>
      </c>
      <c r="H830" s="18" t="s">
        <v>7922</v>
      </c>
      <c r="I830" s="16" t="s">
        <v>1831</v>
      </c>
      <c r="J830" s="16"/>
      <c r="K830" s="16"/>
      <c r="L830" s="16">
        <v>67458039</v>
      </c>
      <c r="M830" s="16"/>
      <c r="N830" s="16" t="s">
        <v>7923</v>
      </c>
      <c r="O830" s="16"/>
      <c r="P830" s="16"/>
      <c r="Q830" s="16" t="s">
        <v>2215</v>
      </c>
      <c r="R830" s="16" t="s">
        <v>7267</v>
      </c>
      <c r="S830" s="19"/>
      <c r="T830" s="20" t="s">
        <v>1837</v>
      </c>
      <c r="U830" s="16"/>
      <c r="V830" s="16"/>
      <c r="W830" s="30" t="s">
        <v>1838</v>
      </c>
      <c r="X830" s="18" t="s">
        <v>542</v>
      </c>
      <c r="Y830" s="18" t="s">
        <v>98</v>
      </c>
      <c r="Z830" s="18" t="s">
        <v>2215</v>
      </c>
      <c r="AA830" s="16" t="s">
        <v>7222</v>
      </c>
      <c r="AB830" s="16" t="s">
        <v>7223</v>
      </c>
      <c r="AC830" s="16" t="s">
        <v>7224</v>
      </c>
      <c r="AD830" s="123" t="str">
        <f t="shared" si="12"/>
        <v>FUE</v>
      </c>
      <c r="AE830" s="123" t="str">
        <f>VLOOKUP(Table1[[#This Row],[Name of bank]],'اكواد البنوك'!$A$2:$B$34,2,0)</f>
        <v>FUE</v>
      </c>
      <c r="AF830" s="21" t="s">
        <v>1838</v>
      </c>
      <c r="AG830" s="15" t="s">
        <v>49</v>
      </c>
    </row>
    <row r="831" spans="1:33">
      <c r="A831" s="14">
        <v>830</v>
      </c>
      <c r="B831" s="14" t="s">
        <v>7918</v>
      </c>
      <c r="C831" s="14" t="e">
        <v>#N/A</v>
      </c>
      <c r="D831" s="15" t="s">
        <v>1839</v>
      </c>
      <c r="E831" s="16" t="s">
        <v>7924</v>
      </c>
      <c r="F831" s="32" t="s">
        <v>7925</v>
      </c>
      <c r="G831" s="17" t="s">
        <v>7926</v>
      </c>
      <c r="H831" s="18" t="s">
        <v>7927</v>
      </c>
      <c r="I831" s="16" t="s">
        <v>7928</v>
      </c>
      <c r="J831" s="16" t="s">
        <v>86</v>
      </c>
      <c r="K831" s="16" t="s">
        <v>1036</v>
      </c>
      <c r="L831" s="16" t="s">
        <v>7929</v>
      </c>
      <c r="M831" s="16" t="s">
        <v>136</v>
      </c>
      <c r="N831" s="16" t="s">
        <v>7930</v>
      </c>
      <c r="O831" s="16" t="s">
        <v>7931</v>
      </c>
      <c r="P831" s="16" t="s">
        <v>7932</v>
      </c>
      <c r="Q831" s="16" t="s">
        <v>2215</v>
      </c>
      <c r="R831" s="16" t="s">
        <v>7267</v>
      </c>
      <c r="S831" s="19" t="s">
        <v>7924</v>
      </c>
      <c r="T831" s="20" t="s">
        <v>40</v>
      </c>
      <c r="U831" s="16" t="s">
        <v>9892</v>
      </c>
      <c r="V831" s="16" t="s">
        <v>9893</v>
      </c>
      <c r="W831" s="30" t="s">
        <v>7933</v>
      </c>
      <c r="X831" s="18" t="s">
        <v>542</v>
      </c>
      <c r="Y831" s="18" t="s">
        <v>98</v>
      </c>
      <c r="Z831" s="18" t="s">
        <v>2215</v>
      </c>
      <c r="AA831" s="16" t="s">
        <v>7222</v>
      </c>
      <c r="AB831" s="16" t="s">
        <v>7223</v>
      </c>
      <c r="AC831" s="16" t="s">
        <v>7224</v>
      </c>
      <c r="AD831" s="123" t="str">
        <f t="shared" si="12"/>
        <v>External Transfer-NBE</v>
      </c>
      <c r="AE831" s="123" t="str">
        <f>VLOOKUP(Table1[[#This Row],[Name of bank]],'اكواد البنوك'!$A$2:$B$34,2,0)</f>
        <v>NBEGEGCXXXX</v>
      </c>
      <c r="AF831" s="21">
        <v>64</v>
      </c>
      <c r="AG831" s="15" t="s">
        <v>167</v>
      </c>
    </row>
    <row r="832" spans="1:33">
      <c r="A832" s="14">
        <v>831</v>
      </c>
      <c r="B832" s="14" t="s">
        <v>7918</v>
      </c>
      <c r="C832" s="14" t="e">
        <v>#N/A</v>
      </c>
      <c r="D832" s="15" t="s">
        <v>1839</v>
      </c>
      <c r="E832" s="16" t="s">
        <v>7934</v>
      </c>
      <c r="F832" s="32" t="s">
        <v>7935</v>
      </c>
      <c r="G832" s="17" t="s">
        <v>7936</v>
      </c>
      <c r="H832" s="18" t="s">
        <v>7937</v>
      </c>
      <c r="I832" s="16" t="s">
        <v>7532</v>
      </c>
      <c r="J832" s="16" t="s">
        <v>173</v>
      </c>
      <c r="K832" s="16" t="s">
        <v>7938</v>
      </c>
      <c r="L832" s="16">
        <v>64051195</v>
      </c>
      <c r="M832" s="16" t="s">
        <v>7939</v>
      </c>
      <c r="N832" s="16" t="s">
        <v>7940</v>
      </c>
      <c r="O832" s="16" t="s">
        <v>7941</v>
      </c>
      <c r="P832" s="16" t="s">
        <v>7942</v>
      </c>
      <c r="Q832" s="16" t="s">
        <v>2215</v>
      </c>
      <c r="R832" s="16" t="s">
        <v>7267</v>
      </c>
      <c r="S832" s="19" t="s">
        <v>9894</v>
      </c>
      <c r="T832" s="20" t="s">
        <v>93</v>
      </c>
      <c r="U832" s="16" t="s">
        <v>9895</v>
      </c>
      <c r="V832" s="16" t="s">
        <v>9896</v>
      </c>
      <c r="W832" s="30" t="s">
        <v>7943</v>
      </c>
      <c r="X832" s="18" t="s">
        <v>542</v>
      </c>
      <c r="Y832" s="18" t="s">
        <v>98</v>
      </c>
      <c r="Z832" s="18" t="s">
        <v>2215</v>
      </c>
      <c r="AA832" s="16" t="s">
        <v>7222</v>
      </c>
      <c r="AB832" s="16" t="s">
        <v>7223</v>
      </c>
      <c r="AC832" s="16" t="s">
        <v>7224</v>
      </c>
      <c r="AD832" s="123" t="str">
        <f t="shared" si="12"/>
        <v>External Transfer-Other banks</v>
      </c>
      <c r="AE832" s="123" t="str">
        <f>VLOOKUP(Table1[[#This Row],[Name of bank]],'اكواد البنوك'!$A$2:$B$34,2,0)</f>
        <v>QNBAEGCXXXX</v>
      </c>
      <c r="AF832" s="21" t="s">
        <v>9897</v>
      </c>
      <c r="AG832" s="15" t="s">
        <v>167</v>
      </c>
    </row>
    <row r="833" spans="1:33">
      <c r="A833" s="14">
        <v>832</v>
      </c>
      <c r="B833" s="14" t="s">
        <v>7944</v>
      </c>
      <c r="C833" s="14" t="e">
        <v>#N/A</v>
      </c>
      <c r="D833" s="15" t="s">
        <v>1839</v>
      </c>
      <c r="E833" s="16" t="s">
        <v>7945</v>
      </c>
      <c r="F833" s="32" t="s">
        <v>10180</v>
      </c>
      <c r="G833" s="17" t="s">
        <v>7946</v>
      </c>
      <c r="H833" s="18" t="s">
        <v>7947</v>
      </c>
      <c r="I833" s="16" t="s">
        <v>2156</v>
      </c>
      <c r="J833" s="16" t="s">
        <v>1845</v>
      </c>
      <c r="K833" s="16" t="s">
        <v>7948</v>
      </c>
      <c r="L833" s="16">
        <v>11069906</v>
      </c>
      <c r="M833" s="16">
        <v>100675891</v>
      </c>
      <c r="N833" s="16" t="s">
        <v>7949</v>
      </c>
      <c r="O833" s="16" t="s">
        <v>7950</v>
      </c>
      <c r="P833" s="16" t="s">
        <v>7951</v>
      </c>
      <c r="Q833" s="16" t="s">
        <v>2215</v>
      </c>
      <c r="R833" s="16" t="s">
        <v>7267</v>
      </c>
      <c r="S833" s="19" t="s">
        <v>7952</v>
      </c>
      <c r="T833" s="20" t="s">
        <v>40</v>
      </c>
      <c r="U833" s="16" t="s">
        <v>1851</v>
      </c>
      <c r="V833" s="16" t="s">
        <v>7953</v>
      </c>
      <c r="W833" s="30" t="s">
        <v>7954</v>
      </c>
      <c r="X833" s="18" t="s">
        <v>542</v>
      </c>
      <c r="Y833" s="18" t="s">
        <v>98</v>
      </c>
      <c r="Z833" s="18" t="s">
        <v>2215</v>
      </c>
      <c r="AA833" s="16" t="s">
        <v>7222</v>
      </c>
      <c r="AB833" s="16" t="s">
        <v>7223</v>
      </c>
      <c r="AC833" s="16" t="s">
        <v>7224</v>
      </c>
      <c r="AD833" s="123" t="str">
        <f t="shared" si="12"/>
        <v>External Transfer-NBE</v>
      </c>
      <c r="AE833" s="123" t="str">
        <f>VLOOKUP(Table1[[#This Row],[Name of bank]],'اكواد البنوك'!$A$2:$B$34,2,0)</f>
        <v>NBEGEGCXXXX</v>
      </c>
      <c r="AF833" s="21" t="s">
        <v>2163</v>
      </c>
      <c r="AG833" s="15" t="s">
        <v>49</v>
      </c>
    </row>
    <row r="834" spans="1:33">
      <c r="A834" s="14">
        <v>833</v>
      </c>
      <c r="B834" s="14" t="s">
        <v>7944</v>
      </c>
      <c r="C834" s="14" t="s">
        <v>8428</v>
      </c>
      <c r="D834" s="15" t="s">
        <v>1839</v>
      </c>
      <c r="E834" s="16" t="s">
        <v>7955</v>
      </c>
      <c r="F834" s="32" t="s">
        <v>7956</v>
      </c>
      <c r="G834" s="17" t="s">
        <v>7957</v>
      </c>
      <c r="H834" s="18" t="s">
        <v>7958</v>
      </c>
      <c r="I834" s="16" t="s">
        <v>7959</v>
      </c>
      <c r="J834" s="16" t="s">
        <v>86</v>
      </c>
      <c r="K834" s="16" t="s">
        <v>7960</v>
      </c>
      <c r="L834" s="16" t="s">
        <v>7961</v>
      </c>
      <c r="M834" s="16" t="s">
        <v>136</v>
      </c>
      <c r="N834" s="16" t="s">
        <v>7962</v>
      </c>
      <c r="O834" s="16" t="s">
        <v>7963</v>
      </c>
      <c r="P834" s="16" t="s">
        <v>7964</v>
      </c>
      <c r="Q834" s="16" t="s">
        <v>2215</v>
      </c>
      <c r="R834" s="16" t="s">
        <v>7267</v>
      </c>
      <c r="S834" s="19" t="s">
        <v>9898</v>
      </c>
      <c r="T834" s="20" t="s">
        <v>9993</v>
      </c>
      <c r="U834" s="16" t="s">
        <v>9899</v>
      </c>
      <c r="V834" s="16" t="s">
        <v>9900</v>
      </c>
      <c r="W834" s="30" t="s">
        <v>9901</v>
      </c>
      <c r="X834" s="18" t="s">
        <v>542</v>
      </c>
      <c r="Y834" s="18" t="s">
        <v>98</v>
      </c>
      <c r="Z834" s="18" t="s">
        <v>2215</v>
      </c>
      <c r="AA834" s="16" t="s">
        <v>7222</v>
      </c>
      <c r="AB834" s="16" t="s">
        <v>7223</v>
      </c>
      <c r="AC834" s="16" t="s">
        <v>7224</v>
      </c>
      <c r="AD834" s="123" t="str">
        <f t="shared" ref="AD834:AD897" si="13">IF(ISNUMBER(SEARCH("EXTERNAL CASH",T834)),
   "EXTERNAL CASH",
   IF(ISNUMBER(SEARCH("شيك من القاهرة",T834)),
      "FUE",
      IF(ISNUMBER(SEARCH("INTERNAL CASH",T834)),
         "INTRNAL CASH",
         IF(Y834="IP",
            "Internal Transfer",
            IF(ISNUMBER(SEARCH("National Bank of Egypt",T834)),
               "External Transfer-NBE",
               "External Transfer-Other banks"
            )
         )
      )
   )
)</f>
        <v>External Transfer-Other banks</v>
      </c>
      <c r="AE834" s="123" t="str">
        <f>VLOOKUP(Table1[[#This Row],[Name of bank]],'اكواد البنوك'!$A$2:$B$34,2,0)</f>
        <v>ADCBEGCXXXX</v>
      </c>
      <c r="AF834" s="21">
        <v>1032</v>
      </c>
      <c r="AG834" s="15" t="s">
        <v>167</v>
      </c>
    </row>
    <row r="835" spans="1:33">
      <c r="A835" s="14">
        <v>834</v>
      </c>
      <c r="B835" s="14" t="s">
        <v>7965</v>
      </c>
      <c r="C835" s="14" t="s">
        <v>7527</v>
      </c>
      <c r="D835" s="15" t="s">
        <v>1839</v>
      </c>
      <c r="E835" s="16" t="s">
        <v>7966</v>
      </c>
      <c r="F835" s="32" t="s">
        <v>10102</v>
      </c>
      <c r="G835" s="17" t="s">
        <v>7968</v>
      </c>
      <c r="H835" s="18" t="s">
        <v>7969</v>
      </c>
      <c r="I835" s="16" t="s">
        <v>7970</v>
      </c>
      <c r="J835" s="16" t="s">
        <v>173</v>
      </c>
      <c r="K835" s="16" t="s">
        <v>7971</v>
      </c>
      <c r="L835" s="16">
        <v>59232688</v>
      </c>
      <c r="M835" s="16" t="s">
        <v>234</v>
      </c>
      <c r="N835" s="16" t="s">
        <v>7972</v>
      </c>
      <c r="O835" s="16" t="s">
        <v>7973</v>
      </c>
      <c r="P835" s="16" t="s">
        <v>7974</v>
      </c>
      <c r="Q835" s="16" t="s">
        <v>2215</v>
      </c>
      <c r="R835" s="16" t="s">
        <v>7267</v>
      </c>
      <c r="S835" s="19" t="s">
        <v>7967</v>
      </c>
      <c r="T835" s="20" t="s">
        <v>40</v>
      </c>
      <c r="U835" s="16" t="s">
        <v>7975</v>
      </c>
      <c r="V835" s="16" t="s">
        <v>7976</v>
      </c>
      <c r="W835" s="30" t="s">
        <v>7977</v>
      </c>
      <c r="X835" s="18" t="s">
        <v>542</v>
      </c>
      <c r="Y835" s="18" t="s">
        <v>98</v>
      </c>
      <c r="Z835" s="18" t="s">
        <v>2215</v>
      </c>
      <c r="AA835" s="16" t="s">
        <v>7222</v>
      </c>
      <c r="AB835" s="16" t="s">
        <v>7223</v>
      </c>
      <c r="AC835" s="16" t="s">
        <v>7224</v>
      </c>
      <c r="AD835" s="123" t="str">
        <f t="shared" si="13"/>
        <v>External Transfer-NBE</v>
      </c>
      <c r="AE835" s="123" t="str">
        <f>VLOOKUP(Table1[[#This Row],[Name of bank]],'اكواد البنوك'!$A$2:$B$34,2,0)</f>
        <v>NBEGEGCXXXX</v>
      </c>
      <c r="AF835" s="21" t="s">
        <v>346</v>
      </c>
      <c r="AG835" s="15" t="s">
        <v>49</v>
      </c>
    </row>
    <row r="836" spans="1:33">
      <c r="A836" s="14">
        <v>835</v>
      </c>
      <c r="B836" s="14" t="s">
        <v>7978</v>
      </c>
      <c r="C836" s="14" t="s">
        <v>7560</v>
      </c>
      <c r="D836" s="15" t="s">
        <v>1839</v>
      </c>
      <c r="E836" s="16" t="s">
        <v>7979</v>
      </c>
      <c r="F836" s="32" t="s">
        <v>7980</v>
      </c>
      <c r="G836" s="17" t="s">
        <v>7981</v>
      </c>
      <c r="H836" s="18" t="s">
        <v>7982</v>
      </c>
      <c r="I836" s="16" t="s">
        <v>7983</v>
      </c>
      <c r="J836" s="16" t="s">
        <v>173</v>
      </c>
      <c r="K836" s="16" t="s">
        <v>2222</v>
      </c>
      <c r="L836" s="16" t="s">
        <v>136</v>
      </c>
      <c r="M836" s="16" t="s">
        <v>136</v>
      </c>
      <c r="N836" s="16" t="s">
        <v>7984</v>
      </c>
      <c r="O836" s="16" t="s">
        <v>7985</v>
      </c>
      <c r="P836" s="16" t="s">
        <v>7986</v>
      </c>
      <c r="Q836" s="16" t="s">
        <v>2215</v>
      </c>
      <c r="R836" s="16" t="s">
        <v>7267</v>
      </c>
      <c r="S836" s="19" t="s">
        <v>7987</v>
      </c>
      <c r="T836" s="20" t="s">
        <v>176</v>
      </c>
      <c r="U836" s="16" t="s">
        <v>7988</v>
      </c>
      <c r="V836" s="16" t="s">
        <v>7989</v>
      </c>
      <c r="W836" s="30" t="s">
        <v>7990</v>
      </c>
      <c r="X836" s="18" t="s">
        <v>542</v>
      </c>
      <c r="Y836" s="18" t="s">
        <v>98</v>
      </c>
      <c r="Z836" s="18" t="s">
        <v>2215</v>
      </c>
      <c r="AA836" s="16" t="s">
        <v>7222</v>
      </c>
      <c r="AB836" s="16" t="s">
        <v>7223</v>
      </c>
      <c r="AC836" s="16" t="s">
        <v>7224</v>
      </c>
      <c r="AD836" s="123" t="str">
        <f t="shared" si="13"/>
        <v>External Transfer-Other banks</v>
      </c>
      <c r="AE836" s="123" t="str">
        <f>VLOOKUP(Table1[[#This Row],[Name of bank]],'اكواد البنوك'!$A$2:$B$34,2,0)</f>
        <v>BMISEGCXXXX</v>
      </c>
      <c r="AF836" s="21" t="s">
        <v>7991</v>
      </c>
      <c r="AG836" s="15" t="s">
        <v>49</v>
      </c>
    </row>
    <row r="837" spans="1:33">
      <c r="A837" s="14">
        <v>836</v>
      </c>
      <c r="B837" s="14" t="s">
        <v>7978</v>
      </c>
      <c r="C837" s="14" t="e">
        <v>#N/A</v>
      </c>
      <c r="D837" s="15" t="s">
        <v>1839</v>
      </c>
      <c r="E837" s="16" t="s">
        <v>7992</v>
      </c>
      <c r="F837" s="32" t="s">
        <v>7993</v>
      </c>
      <c r="G837" s="17" t="s">
        <v>7994</v>
      </c>
      <c r="H837" s="18" t="s">
        <v>7995</v>
      </c>
      <c r="I837" s="16" t="s">
        <v>7996</v>
      </c>
      <c r="J837" s="16" t="s">
        <v>86</v>
      </c>
      <c r="K837" s="16" t="s">
        <v>7997</v>
      </c>
      <c r="L837" s="16">
        <v>25161543</v>
      </c>
      <c r="M837" s="16" t="s">
        <v>136</v>
      </c>
      <c r="N837" s="16" t="s">
        <v>7998</v>
      </c>
      <c r="O837" s="16" t="s">
        <v>7999</v>
      </c>
      <c r="P837" s="16" t="s">
        <v>8000</v>
      </c>
      <c r="Q837" s="16" t="s">
        <v>2215</v>
      </c>
      <c r="R837" s="16" t="s">
        <v>7267</v>
      </c>
      <c r="S837" s="19" t="s">
        <v>8001</v>
      </c>
      <c r="T837" s="20" t="s">
        <v>908</v>
      </c>
      <c r="U837" s="16" t="s">
        <v>8002</v>
      </c>
      <c r="V837" s="16" t="s">
        <v>8003</v>
      </c>
      <c r="W837" s="30" t="s">
        <v>8004</v>
      </c>
      <c r="X837" s="18" t="s">
        <v>542</v>
      </c>
      <c r="Y837" s="18" t="s">
        <v>98</v>
      </c>
      <c r="Z837" s="18" t="s">
        <v>2215</v>
      </c>
      <c r="AA837" s="16" t="s">
        <v>7222</v>
      </c>
      <c r="AB837" s="16" t="s">
        <v>7223</v>
      </c>
      <c r="AC837" s="16" t="s">
        <v>7224</v>
      </c>
      <c r="AD837" s="123" t="str">
        <f t="shared" si="13"/>
        <v>External Transfer-Other banks</v>
      </c>
      <c r="AE837" s="123" t="str">
        <f>VLOOKUP(Table1[[#This Row],[Name of bank]],'اكواد البنوك'!$A$2:$B$34,2,0)</f>
        <v>ARAIEGCXXXX</v>
      </c>
      <c r="AF837" s="21" t="s">
        <v>8005</v>
      </c>
      <c r="AG837" s="15" t="s">
        <v>49</v>
      </c>
    </row>
    <row r="838" spans="1:33">
      <c r="A838" s="14">
        <v>837</v>
      </c>
      <c r="B838" s="14" t="s">
        <v>7978</v>
      </c>
      <c r="C838" s="14" t="s">
        <v>8428</v>
      </c>
      <c r="D838" s="15" t="s">
        <v>1839</v>
      </c>
      <c r="E838" s="16" t="s">
        <v>8006</v>
      </c>
      <c r="F838" s="32" t="s">
        <v>8007</v>
      </c>
      <c r="G838" s="17" t="s">
        <v>8008</v>
      </c>
      <c r="H838" s="18" t="s">
        <v>8009</v>
      </c>
      <c r="I838" s="16" t="s">
        <v>8010</v>
      </c>
      <c r="J838" s="16" t="s">
        <v>173</v>
      </c>
      <c r="K838" s="16" t="s">
        <v>1952</v>
      </c>
      <c r="L838" s="16">
        <v>81384591</v>
      </c>
      <c r="M838" s="16" t="s">
        <v>427</v>
      </c>
      <c r="N838" s="16" t="s">
        <v>8011</v>
      </c>
      <c r="O838" s="16" t="s">
        <v>8012</v>
      </c>
      <c r="P838" s="16" t="s">
        <v>8013</v>
      </c>
      <c r="Q838" s="16" t="s">
        <v>2215</v>
      </c>
      <c r="R838" s="16" t="s">
        <v>7267</v>
      </c>
      <c r="S838" s="19" t="s">
        <v>9903</v>
      </c>
      <c r="T838" s="20" t="s">
        <v>274</v>
      </c>
      <c r="U838" s="16" t="s">
        <v>9904</v>
      </c>
      <c r="V838" s="16" t="s">
        <v>8014</v>
      </c>
      <c r="W838" s="30" t="s">
        <v>8015</v>
      </c>
      <c r="X838" s="18" t="s">
        <v>542</v>
      </c>
      <c r="Y838" s="18" t="s">
        <v>98</v>
      </c>
      <c r="Z838" s="18" t="s">
        <v>2215</v>
      </c>
      <c r="AA838" s="16" t="s">
        <v>7222</v>
      </c>
      <c r="AB838" s="16" t="s">
        <v>7223</v>
      </c>
      <c r="AC838" s="16" t="s">
        <v>7224</v>
      </c>
      <c r="AD838" s="123" t="str">
        <f t="shared" si="13"/>
        <v>External Transfer-Other banks</v>
      </c>
      <c r="AE838" s="123" t="str">
        <f>VLOOKUP(Table1[[#This Row],[Name of bank]],'اكواد البنوك'!$A$2:$B$34,2,0)</f>
        <v>BCAIEGCXXXX</v>
      </c>
      <c r="AF838" s="21">
        <v>1095</v>
      </c>
      <c r="AG838" s="15" t="s">
        <v>167</v>
      </c>
    </row>
    <row r="839" spans="1:33">
      <c r="A839" s="14">
        <v>838</v>
      </c>
      <c r="B839" s="14" t="s">
        <v>8016</v>
      </c>
      <c r="C839" s="14" t="s">
        <v>7560</v>
      </c>
      <c r="D839" s="15" t="s">
        <v>1839</v>
      </c>
      <c r="E839" s="16" t="s">
        <v>8017</v>
      </c>
      <c r="F839" s="32" t="s">
        <v>8018</v>
      </c>
      <c r="G839" s="17" t="s">
        <v>8019</v>
      </c>
      <c r="H839" s="18" t="s">
        <v>8020</v>
      </c>
      <c r="I839" s="16" t="s">
        <v>8021</v>
      </c>
      <c r="J839" s="16" t="s">
        <v>86</v>
      </c>
      <c r="K839" s="16" t="s">
        <v>106</v>
      </c>
      <c r="L839" s="16">
        <v>80992637</v>
      </c>
      <c r="M839" s="16" t="s">
        <v>136</v>
      </c>
      <c r="N839" s="16" t="s">
        <v>8022</v>
      </c>
      <c r="O839" s="16" t="s">
        <v>8023</v>
      </c>
      <c r="P839" s="16" t="s">
        <v>8024</v>
      </c>
      <c r="Q839" s="16" t="s">
        <v>2215</v>
      </c>
      <c r="R839" s="16" t="s">
        <v>7267</v>
      </c>
      <c r="S839" s="19" t="s">
        <v>8025</v>
      </c>
      <c r="T839" s="20" t="s">
        <v>307</v>
      </c>
      <c r="U839" s="16" t="s">
        <v>8026</v>
      </c>
      <c r="V839" s="16" t="s">
        <v>8027</v>
      </c>
      <c r="W839" s="30" t="s">
        <v>8028</v>
      </c>
      <c r="X839" s="18" t="s">
        <v>542</v>
      </c>
      <c r="Y839" s="18" t="s">
        <v>98</v>
      </c>
      <c r="Z839" s="18" t="s">
        <v>2215</v>
      </c>
      <c r="AA839" s="16" t="s">
        <v>7222</v>
      </c>
      <c r="AB839" s="16" t="s">
        <v>7223</v>
      </c>
      <c r="AC839" s="16" t="s">
        <v>7224</v>
      </c>
      <c r="AD839" s="123" t="str">
        <f t="shared" si="13"/>
        <v>External Transfer-Other banks</v>
      </c>
      <c r="AE839" s="123" t="str">
        <f>VLOOKUP(Table1[[#This Row],[Name of bank]],'اكواد البنوك'!$A$2:$B$34,2,0)</f>
        <v>CIBEEGCXXXX</v>
      </c>
      <c r="AF839" s="21" t="s">
        <v>4336</v>
      </c>
      <c r="AG839" s="15" t="s">
        <v>49</v>
      </c>
    </row>
    <row r="840" spans="1:33">
      <c r="A840" s="14">
        <v>839</v>
      </c>
      <c r="B840" s="14" t="s">
        <v>8016</v>
      </c>
      <c r="C840" s="14" t="s">
        <v>8202</v>
      </c>
      <c r="D840" s="15" t="s">
        <v>1839</v>
      </c>
      <c r="E840" s="16" t="s">
        <v>8029</v>
      </c>
      <c r="F840" s="32" t="s">
        <v>8030</v>
      </c>
      <c r="G840" s="17" t="s">
        <v>8031</v>
      </c>
      <c r="H840" s="18" t="s">
        <v>8032</v>
      </c>
      <c r="I840" s="16" t="s">
        <v>8033</v>
      </c>
      <c r="J840" s="16" t="s">
        <v>86</v>
      </c>
      <c r="K840" s="16" t="s">
        <v>269</v>
      </c>
      <c r="L840" s="16">
        <v>78987256</v>
      </c>
      <c r="M840" s="16" t="s">
        <v>136</v>
      </c>
      <c r="N840" s="16" t="s">
        <v>8034</v>
      </c>
      <c r="O840" s="16" t="s">
        <v>8035</v>
      </c>
      <c r="P840" s="16" t="s">
        <v>8036</v>
      </c>
      <c r="Q840" s="16" t="s">
        <v>2215</v>
      </c>
      <c r="R840" s="16" t="s">
        <v>7267</v>
      </c>
      <c r="S840" s="19" t="s">
        <v>8037</v>
      </c>
      <c r="T840" s="20" t="s">
        <v>1238</v>
      </c>
      <c r="U840" s="16" t="s">
        <v>6950</v>
      </c>
      <c r="V840" s="16" t="s">
        <v>8038</v>
      </c>
      <c r="W840" s="30" t="s">
        <v>8039</v>
      </c>
      <c r="X840" s="18" t="s">
        <v>542</v>
      </c>
      <c r="Y840" s="18" t="s">
        <v>98</v>
      </c>
      <c r="Z840" s="18" t="s">
        <v>2215</v>
      </c>
      <c r="AA840" s="16" t="s">
        <v>7222</v>
      </c>
      <c r="AB840" s="16" t="s">
        <v>7223</v>
      </c>
      <c r="AC840" s="16" t="s">
        <v>7224</v>
      </c>
      <c r="AD840" s="123" t="str">
        <f t="shared" si="13"/>
        <v>External Transfer-Other banks</v>
      </c>
      <c r="AE840" s="123" t="str">
        <f>VLOOKUP(Table1[[#This Row],[Name of bank]],'اكواد البنوك'!$A$2:$B$34,2,0)</f>
        <v>EBBKEGCXXXX</v>
      </c>
      <c r="AF840" s="21" t="s">
        <v>7795</v>
      </c>
      <c r="AG840" s="15" t="s">
        <v>167</v>
      </c>
    </row>
    <row r="841" spans="1:33">
      <c r="A841" s="14">
        <v>840</v>
      </c>
      <c r="B841" s="14" t="s">
        <v>8040</v>
      </c>
      <c r="C841" s="14" t="s">
        <v>7560</v>
      </c>
      <c r="D841" s="15" t="s">
        <v>1839</v>
      </c>
      <c r="E841" s="16" t="s">
        <v>8041</v>
      </c>
      <c r="F841" s="32" t="s">
        <v>8042</v>
      </c>
      <c r="G841" s="17" t="s">
        <v>8043</v>
      </c>
      <c r="H841" s="18" t="s">
        <v>8044</v>
      </c>
      <c r="I841" s="16" t="s">
        <v>8045</v>
      </c>
      <c r="J841" s="16" t="s">
        <v>173</v>
      </c>
      <c r="K841" s="16" t="s">
        <v>106</v>
      </c>
      <c r="L841" s="16">
        <v>82539910</v>
      </c>
      <c r="M841" s="16" t="s">
        <v>136</v>
      </c>
      <c r="N841" s="16" t="s">
        <v>8046</v>
      </c>
      <c r="O841" s="16" t="s">
        <v>8047</v>
      </c>
      <c r="P841" s="16" t="s">
        <v>8048</v>
      </c>
      <c r="Q841" s="16" t="s">
        <v>2215</v>
      </c>
      <c r="R841" s="16" t="s">
        <v>7267</v>
      </c>
      <c r="S841" s="19" t="s">
        <v>8049</v>
      </c>
      <c r="T841" s="20" t="s">
        <v>274</v>
      </c>
      <c r="U841" s="16" t="s">
        <v>8050</v>
      </c>
      <c r="V841" s="16" t="s">
        <v>8051</v>
      </c>
      <c r="W841" s="30" t="s">
        <v>8052</v>
      </c>
      <c r="X841" s="18" t="s">
        <v>542</v>
      </c>
      <c r="Y841" s="18" t="s">
        <v>98</v>
      </c>
      <c r="Z841" s="18" t="s">
        <v>2215</v>
      </c>
      <c r="AA841" s="16" t="s">
        <v>7222</v>
      </c>
      <c r="AB841" s="16" t="s">
        <v>7223</v>
      </c>
      <c r="AC841" s="16" t="s">
        <v>7224</v>
      </c>
      <c r="AD841" s="123" t="str">
        <f t="shared" si="13"/>
        <v>External Transfer-Other banks</v>
      </c>
      <c r="AE841" s="123" t="str">
        <f>VLOOKUP(Table1[[#This Row],[Name of bank]],'اكواد البنوك'!$A$2:$B$34,2,0)</f>
        <v>BCAIEGCXXXX</v>
      </c>
      <c r="AF841" s="21">
        <v>4020</v>
      </c>
      <c r="AG841" s="15" t="s">
        <v>49</v>
      </c>
    </row>
    <row r="842" spans="1:33">
      <c r="A842" s="14">
        <v>841</v>
      </c>
      <c r="B842" s="14" t="s">
        <v>8040</v>
      </c>
      <c r="C842" s="14" t="e">
        <v>#N/A</v>
      </c>
      <c r="D842" s="15" t="s">
        <v>1839</v>
      </c>
      <c r="E842" s="16" t="s">
        <v>8053</v>
      </c>
      <c r="F842" s="32" t="s">
        <v>8054</v>
      </c>
      <c r="G842" s="17" t="s">
        <v>8055</v>
      </c>
      <c r="H842" s="18" t="s">
        <v>8056</v>
      </c>
      <c r="I842" s="16" t="s">
        <v>8057</v>
      </c>
      <c r="J842" s="16" t="s">
        <v>2035</v>
      </c>
      <c r="K842" s="16" t="s">
        <v>8058</v>
      </c>
      <c r="L842" s="16" t="s">
        <v>136</v>
      </c>
      <c r="M842" s="16" t="s">
        <v>136</v>
      </c>
      <c r="N842" s="16" t="s">
        <v>8059</v>
      </c>
      <c r="O842" s="16" t="s">
        <v>8060</v>
      </c>
      <c r="P842" s="16" t="s">
        <v>8061</v>
      </c>
      <c r="Q842" s="16" t="s">
        <v>2215</v>
      </c>
      <c r="R842" s="16" t="s">
        <v>7267</v>
      </c>
      <c r="S842" s="19" t="s">
        <v>8062</v>
      </c>
      <c r="T842" s="20" t="s">
        <v>176</v>
      </c>
      <c r="U842" s="16" t="s">
        <v>10339</v>
      </c>
      <c r="V842" s="16" t="s">
        <v>8063</v>
      </c>
      <c r="W842" s="30" t="s">
        <v>10275</v>
      </c>
      <c r="X842" s="18" t="s">
        <v>542</v>
      </c>
      <c r="Y842" s="18" t="s">
        <v>98</v>
      </c>
      <c r="Z842" s="18" t="s">
        <v>2215</v>
      </c>
      <c r="AA842" s="16" t="s">
        <v>7222</v>
      </c>
      <c r="AB842" s="16" t="s">
        <v>7223</v>
      </c>
      <c r="AC842" s="16" t="s">
        <v>7224</v>
      </c>
      <c r="AD842" s="123" t="str">
        <f t="shared" si="13"/>
        <v>External Transfer-Other banks</v>
      </c>
      <c r="AE842" s="123" t="str">
        <f>VLOOKUP(Table1[[#This Row],[Name of bank]],'اكواد البنوك'!$A$2:$B$34,2,0)</f>
        <v>BMISEGCXXXX</v>
      </c>
      <c r="AF842" s="21" t="s">
        <v>10274</v>
      </c>
      <c r="AG842" s="15" t="s">
        <v>167</v>
      </c>
    </row>
    <row r="843" spans="1:33">
      <c r="A843" s="14">
        <v>842</v>
      </c>
      <c r="B843" s="14" t="s">
        <v>8065</v>
      </c>
      <c r="C843" s="14" t="s">
        <v>7585</v>
      </c>
      <c r="D843" s="15" t="s">
        <v>1839</v>
      </c>
      <c r="E843" s="16" t="s">
        <v>8066</v>
      </c>
      <c r="F843" s="32" t="s">
        <v>8067</v>
      </c>
      <c r="G843" s="17" t="s">
        <v>8068</v>
      </c>
      <c r="H843" s="18" t="s">
        <v>8069</v>
      </c>
      <c r="I843" s="16" t="s">
        <v>8070</v>
      </c>
      <c r="J843" s="16" t="s">
        <v>173</v>
      </c>
      <c r="K843" s="16" t="s">
        <v>8071</v>
      </c>
      <c r="L843" s="16">
        <v>12798989</v>
      </c>
      <c r="M843" s="16" t="s">
        <v>8072</v>
      </c>
      <c r="N843" s="16" t="s">
        <v>8073</v>
      </c>
      <c r="O843" s="16" t="s">
        <v>8074</v>
      </c>
      <c r="P843" s="16" t="s">
        <v>8075</v>
      </c>
      <c r="Q843" s="16" t="s">
        <v>2215</v>
      </c>
      <c r="R843" s="16" t="s">
        <v>7267</v>
      </c>
      <c r="S843" s="19" t="s">
        <v>8076</v>
      </c>
      <c r="T843" s="20" t="s">
        <v>176</v>
      </c>
      <c r="U843" s="16" t="s">
        <v>8077</v>
      </c>
      <c r="V843" s="16" t="s">
        <v>8078</v>
      </c>
      <c r="W843" s="30" t="s">
        <v>8079</v>
      </c>
      <c r="X843" s="18" t="s">
        <v>542</v>
      </c>
      <c r="Y843" s="18" t="s">
        <v>98</v>
      </c>
      <c r="Z843" s="18" t="s">
        <v>2215</v>
      </c>
      <c r="AA843" s="16" t="s">
        <v>7222</v>
      </c>
      <c r="AB843" s="16" t="s">
        <v>7223</v>
      </c>
      <c r="AC843" s="16" t="s">
        <v>7224</v>
      </c>
      <c r="AD843" s="123" t="str">
        <f t="shared" si="13"/>
        <v>External Transfer-Other banks</v>
      </c>
      <c r="AE843" s="123" t="str">
        <f>VLOOKUP(Table1[[#This Row],[Name of bank]],'اكواد البنوك'!$A$2:$B$34,2,0)</f>
        <v>BMISEGCXXXX</v>
      </c>
      <c r="AF843" s="21" t="s">
        <v>7363</v>
      </c>
      <c r="AG843" s="15" t="s">
        <v>167</v>
      </c>
    </row>
    <row r="844" spans="1:33">
      <c r="A844" s="14">
        <v>843</v>
      </c>
      <c r="B844" s="14" t="s">
        <v>8065</v>
      </c>
      <c r="C844" s="14" t="e">
        <v>#N/A</v>
      </c>
      <c r="D844" s="15" t="s">
        <v>1839</v>
      </c>
      <c r="E844" s="43" t="s">
        <v>8080</v>
      </c>
      <c r="F844" s="32" t="s">
        <v>8081</v>
      </c>
      <c r="G844" s="17" t="s">
        <v>8082</v>
      </c>
      <c r="H844" s="18" t="s">
        <v>8083</v>
      </c>
      <c r="I844" s="16" t="s">
        <v>8084</v>
      </c>
      <c r="J844" s="16" t="s">
        <v>173</v>
      </c>
      <c r="K844" s="16" t="s">
        <v>8085</v>
      </c>
      <c r="L844" s="16">
        <v>25234332</v>
      </c>
      <c r="M844" s="16" t="s">
        <v>1224</v>
      </c>
      <c r="N844" s="16" t="s">
        <v>8086</v>
      </c>
      <c r="O844" s="16" t="s">
        <v>8087</v>
      </c>
      <c r="P844" s="16" t="s">
        <v>8088</v>
      </c>
      <c r="Q844" s="16" t="s">
        <v>2215</v>
      </c>
      <c r="R844" s="16" t="s">
        <v>7267</v>
      </c>
      <c r="S844" s="41" t="s">
        <v>8089</v>
      </c>
      <c r="T844" s="42" t="s">
        <v>176</v>
      </c>
      <c r="U844" s="43" t="s">
        <v>8090</v>
      </c>
      <c r="V844" s="44" t="s">
        <v>8091</v>
      </c>
      <c r="W844" s="45" t="s">
        <v>10276</v>
      </c>
      <c r="X844" s="46" t="s">
        <v>542</v>
      </c>
      <c r="Y844" s="46" t="s">
        <v>98</v>
      </c>
      <c r="Z844" s="47" t="s">
        <v>2215</v>
      </c>
      <c r="AA844" s="48" t="s">
        <v>7222</v>
      </c>
      <c r="AB844" s="48" t="s">
        <v>7223</v>
      </c>
      <c r="AC844" s="48" t="s">
        <v>7224</v>
      </c>
      <c r="AD844" s="123" t="str">
        <f t="shared" si="13"/>
        <v>External Transfer-Other banks</v>
      </c>
      <c r="AE844" s="123" t="s">
        <v>180</v>
      </c>
      <c r="AF844" s="49">
        <v>134</v>
      </c>
      <c r="AG844" s="50" t="s">
        <v>167</v>
      </c>
    </row>
    <row r="845" spans="1:33">
      <c r="A845" s="14">
        <v>844</v>
      </c>
      <c r="B845" s="14" t="s">
        <v>8092</v>
      </c>
      <c r="C845" s="14" t="s">
        <v>8155</v>
      </c>
      <c r="D845" s="15" t="s">
        <v>1839</v>
      </c>
      <c r="E845" s="16" t="s">
        <v>8093</v>
      </c>
      <c r="F845" s="32" t="s">
        <v>8094</v>
      </c>
      <c r="G845" s="17" t="s">
        <v>8095</v>
      </c>
      <c r="H845" s="18" t="s">
        <v>8096</v>
      </c>
      <c r="I845" s="16" t="s">
        <v>8097</v>
      </c>
      <c r="J845" s="16" t="s">
        <v>86</v>
      </c>
      <c r="K845" s="16" t="s">
        <v>160</v>
      </c>
      <c r="L845" s="16">
        <v>71354210</v>
      </c>
      <c r="M845" s="16" t="s">
        <v>136</v>
      </c>
      <c r="N845" s="16" t="s">
        <v>8098</v>
      </c>
      <c r="O845" s="16" t="s">
        <v>8099</v>
      </c>
      <c r="P845" s="16" t="s">
        <v>8100</v>
      </c>
      <c r="Q845" s="16" t="s">
        <v>2215</v>
      </c>
      <c r="R845" s="16" t="s">
        <v>7267</v>
      </c>
      <c r="S845" s="19" t="s">
        <v>8101</v>
      </c>
      <c r="T845" s="20" t="s">
        <v>93</v>
      </c>
      <c r="U845" s="16" t="s">
        <v>5174</v>
      </c>
      <c r="V845" s="16" t="s">
        <v>8102</v>
      </c>
      <c r="W845" s="30" t="s">
        <v>8103</v>
      </c>
      <c r="X845" s="18" t="s">
        <v>542</v>
      </c>
      <c r="Y845" s="18" t="s">
        <v>98</v>
      </c>
      <c r="Z845" s="18" t="s">
        <v>2215</v>
      </c>
      <c r="AA845" s="16" t="s">
        <v>7222</v>
      </c>
      <c r="AB845" s="16" t="s">
        <v>7223</v>
      </c>
      <c r="AC845" s="16" t="s">
        <v>7224</v>
      </c>
      <c r="AD845" s="123" t="str">
        <f t="shared" si="13"/>
        <v>External Transfer-Other banks</v>
      </c>
      <c r="AE845" s="123" t="str">
        <f>VLOOKUP(Table1[[#This Row],[Name of bank]],'اكواد البنوك'!$A$2:$B$34,2,0)</f>
        <v>QNBAEGCXXXX</v>
      </c>
      <c r="AF845" s="21" t="s">
        <v>3817</v>
      </c>
      <c r="AG845" s="15" t="s">
        <v>49</v>
      </c>
    </row>
    <row r="846" spans="1:33">
      <c r="A846" s="14">
        <v>845</v>
      </c>
      <c r="B846" s="14" t="s">
        <v>8092</v>
      </c>
      <c r="C846" s="14" t="e">
        <v>#N/A</v>
      </c>
      <c r="D846" s="15" t="s">
        <v>1839</v>
      </c>
      <c r="E846" s="16" t="s">
        <v>8104</v>
      </c>
      <c r="F846" s="32" t="s">
        <v>8105</v>
      </c>
      <c r="G846" s="17" t="s">
        <v>8106</v>
      </c>
      <c r="H846" s="18" t="s">
        <v>8107</v>
      </c>
      <c r="I846" s="16" t="s">
        <v>8108</v>
      </c>
      <c r="J846" s="16" t="s">
        <v>86</v>
      </c>
      <c r="K846" s="16" t="s">
        <v>384</v>
      </c>
      <c r="L846" s="16">
        <v>59920352</v>
      </c>
      <c r="M846" s="16" t="s">
        <v>136</v>
      </c>
      <c r="N846" s="16" t="s">
        <v>8109</v>
      </c>
      <c r="O846" s="16" t="s">
        <v>8110</v>
      </c>
      <c r="P846" s="16" t="s">
        <v>8111</v>
      </c>
      <c r="Q846" s="16" t="s">
        <v>2215</v>
      </c>
      <c r="R846" s="16" t="s">
        <v>7267</v>
      </c>
      <c r="S846" s="19" t="s">
        <v>8105</v>
      </c>
      <c r="T846" s="20" t="s">
        <v>10362</v>
      </c>
      <c r="U846" s="20" t="s">
        <v>10362</v>
      </c>
      <c r="V846" s="20" t="s">
        <v>10362</v>
      </c>
      <c r="W846" s="20" t="s">
        <v>10362</v>
      </c>
      <c r="X846" s="18" t="s">
        <v>542</v>
      </c>
      <c r="Y846" s="18" t="s">
        <v>98</v>
      </c>
      <c r="Z846" s="18" t="s">
        <v>2215</v>
      </c>
      <c r="AA846" s="16" t="s">
        <v>7222</v>
      </c>
      <c r="AB846" s="16" t="s">
        <v>7223</v>
      </c>
      <c r="AC846" s="16" t="s">
        <v>7224</v>
      </c>
      <c r="AD846" s="123" t="str">
        <f t="shared" si="13"/>
        <v>EXTERNAL CASH</v>
      </c>
      <c r="AE846" s="123" t="str">
        <f>VLOOKUP(Table1[[#This Row],[Name of bank]],'اكواد البنوك'!$A$2:$B$34,2,0)</f>
        <v>External CASH</v>
      </c>
      <c r="AF846" s="30" t="s">
        <v>10362</v>
      </c>
      <c r="AG846" s="15" t="s">
        <v>167</v>
      </c>
    </row>
    <row r="847" spans="1:33">
      <c r="A847" s="14">
        <v>846</v>
      </c>
      <c r="B847" s="14" t="s">
        <v>8112</v>
      </c>
      <c r="C847" s="14" t="s">
        <v>1904</v>
      </c>
      <c r="D847" s="15" t="s">
        <v>1839</v>
      </c>
      <c r="E847" s="16" t="s">
        <v>8113</v>
      </c>
      <c r="F847" s="32" t="s">
        <v>8114</v>
      </c>
      <c r="G847" s="17" t="s">
        <v>8115</v>
      </c>
      <c r="H847" s="18" t="s">
        <v>8116</v>
      </c>
      <c r="I847" s="16" t="s">
        <v>8117</v>
      </c>
      <c r="J847" s="16" t="s">
        <v>86</v>
      </c>
      <c r="K847" s="16" t="s">
        <v>2593</v>
      </c>
      <c r="L847" s="16">
        <v>23977846</v>
      </c>
      <c r="M847" s="16" t="s">
        <v>136</v>
      </c>
      <c r="N847" s="16" t="s">
        <v>8118</v>
      </c>
      <c r="O847" s="16" t="s">
        <v>8119</v>
      </c>
      <c r="P847" s="16" t="s">
        <v>8120</v>
      </c>
      <c r="Q847" s="16" t="s">
        <v>2215</v>
      </c>
      <c r="R847" s="16" t="s">
        <v>7267</v>
      </c>
      <c r="S847" s="19" t="s">
        <v>8121</v>
      </c>
      <c r="T847" s="20" t="s">
        <v>40</v>
      </c>
      <c r="U847" s="16" t="s">
        <v>8122</v>
      </c>
      <c r="V847" s="16" t="s">
        <v>8123</v>
      </c>
      <c r="W847" s="30" t="s">
        <v>8124</v>
      </c>
      <c r="X847" s="18" t="s">
        <v>542</v>
      </c>
      <c r="Y847" s="18" t="s">
        <v>98</v>
      </c>
      <c r="Z847" s="18" t="s">
        <v>2215</v>
      </c>
      <c r="AA847" s="16" t="s">
        <v>7222</v>
      </c>
      <c r="AB847" s="16" t="s">
        <v>7223</v>
      </c>
      <c r="AC847" s="16" t="s">
        <v>7224</v>
      </c>
      <c r="AD847" s="123" t="str">
        <f t="shared" si="13"/>
        <v>External Transfer-NBE</v>
      </c>
      <c r="AE847" s="123" t="str">
        <f>VLOOKUP(Table1[[#This Row],[Name of bank]],'اكواد البنوك'!$A$2:$B$34,2,0)</f>
        <v>NBEGEGCXXXX</v>
      </c>
      <c r="AF847" s="21" t="s">
        <v>3016</v>
      </c>
      <c r="AG847" s="15" t="s">
        <v>49</v>
      </c>
    </row>
    <row r="848" spans="1:33">
      <c r="A848" s="14">
        <v>847</v>
      </c>
      <c r="B848" s="14" t="s">
        <v>8112</v>
      </c>
      <c r="C848" s="14" t="s">
        <v>8447</v>
      </c>
      <c r="D848" s="15" t="s">
        <v>1839</v>
      </c>
      <c r="E848" s="16" t="s">
        <v>8125</v>
      </c>
      <c r="F848" s="32" t="s">
        <v>8126</v>
      </c>
      <c r="G848" s="17" t="s">
        <v>8127</v>
      </c>
      <c r="H848" s="18" t="s">
        <v>8128</v>
      </c>
      <c r="I848" s="16" t="s">
        <v>8129</v>
      </c>
      <c r="J848" s="16" t="s">
        <v>173</v>
      </c>
      <c r="K848" s="16" t="s">
        <v>8130</v>
      </c>
      <c r="L848" s="16">
        <v>33651818</v>
      </c>
      <c r="M848" s="16" t="s">
        <v>136</v>
      </c>
      <c r="N848" s="16" t="s">
        <v>8131</v>
      </c>
      <c r="O848" s="16" t="s">
        <v>8132</v>
      </c>
      <c r="P848" s="16" t="s">
        <v>8133</v>
      </c>
      <c r="Q848" s="16" t="s">
        <v>2215</v>
      </c>
      <c r="R848" s="16" t="s">
        <v>7267</v>
      </c>
      <c r="S848" s="19" t="s">
        <v>8125</v>
      </c>
      <c r="T848" s="20" t="s">
        <v>176</v>
      </c>
      <c r="U848" s="16" t="s">
        <v>9905</v>
      </c>
      <c r="V848" s="16" t="s">
        <v>9906</v>
      </c>
      <c r="W848" s="30" t="s">
        <v>10408</v>
      </c>
      <c r="X848" s="18" t="s">
        <v>542</v>
      </c>
      <c r="Y848" s="18" t="s">
        <v>98</v>
      </c>
      <c r="Z848" s="18" t="s">
        <v>2215</v>
      </c>
      <c r="AA848" s="16" t="s">
        <v>7222</v>
      </c>
      <c r="AB848" s="16" t="s">
        <v>7223</v>
      </c>
      <c r="AC848" s="16" t="s">
        <v>7224</v>
      </c>
      <c r="AD848" s="123" t="str">
        <f t="shared" si="13"/>
        <v>External Transfer-Other banks</v>
      </c>
      <c r="AE848" s="123" t="str">
        <f>VLOOKUP(Table1[[#This Row],[Name of bank]],'اكواد البنوك'!$A$2:$B$34,2,0)</f>
        <v>BMISEGCXXXX</v>
      </c>
      <c r="AF848" s="21">
        <v>574</v>
      </c>
      <c r="AG848" s="15" t="s">
        <v>167</v>
      </c>
    </row>
    <row r="849" spans="1:33">
      <c r="A849" s="14">
        <v>848</v>
      </c>
      <c r="B849" s="14" t="s">
        <v>8134</v>
      </c>
      <c r="C849" s="14" t="s">
        <v>7325</v>
      </c>
      <c r="D849" s="15" t="s">
        <v>1839</v>
      </c>
      <c r="E849" s="16" t="s">
        <v>8135</v>
      </c>
      <c r="F849" s="32" t="s">
        <v>8136</v>
      </c>
      <c r="G849" s="17" t="s">
        <v>8137</v>
      </c>
      <c r="H849" s="18" t="s">
        <v>8138</v>
      </c>
      <c r="I849" s="16" t="s">
        <v>7699</v>
      </c>
      <c r="J849" s="16" t="s">
        <v>173</v>
      </c>
      <c r="K849" s="16" t="s">
        <v>384</v>
      </c>
      <c r="L849" s="16" t="s">
        <v>8139</v>
      </c>
      <c r="M849" s="16" t="s">
        <v>136</v>
      </c>
      <c r="N849" s="16" t="s">
        <v>8140</v>
      </c>
      <c r="O849" s="16" t="s">
        <v>8141</v>
      </c>
      <c r="P849" s="16" t="s">
        <v>8142</v>
      </c>
      <c r="Q849" s="16" t="s">
        <v>2215</v>
      </c>
      <c r="R849" s="16" t="s">
        <v>7267</v>
      </c>
      <c r="S849" s="19" t="s">
        <v>8135</v>
      </c>
      <c r="T849" s="20" t="s">
        <v>93</v>
      </c>
      <c r="U849" s="16" t="s">
        <v>8143</v>
      </c>
      <c r="V849" s="16" t="s">
        <v>8144</v>
      </c>
      <c r="W849" s="30" t="s">
        <v>8145</v>
      </c>
      <c r="X849" s="18" t="s">
        <v>542</v>
      </c>
      <c r="Y849" s="18" t="s">
        <v>98</v>
      </c>
      <c r="Z849" s="18" t="s">
        <v>2215</v>
      </c>
      <c r="AA849" s="16" t="s">
        <v>7222</v>
      </c>
      <c r="AB849" s="16" t="s">
        <v>7223</v>
      </c>
      <c r="AC849" s="16" t="s">
        <v>7224</v>
      </c>
      <c r="AD849" s="123" t="str">
        <f t="shared" si="13"/>
        <v>External Transfer-Other banks</v>
      </c>
      <c r="AE849" s="123" t="str">
        <f>VLOOKUP(Table1[[#This Row],[Name of bank]],'اكواد البنوك'!$A$2:$B$34,2,0)</f>
        <v>QNBAEGCXXXX</v>
      </c>
      <c r="AF849" s="21" t="s">
        <v>4336</v>
      </c>
      <c r="AG849" s="15" t="s">
        <v>49</v>
      </c>
    </row>
    <row r="850" spans="1:33">
      <c r="A850" s="14">
        <v>849</v>
      </c>
      <c r="B850" s="14" t="s">
        <v>8134</v>
      </c>
      <c r="C850" s="14" t="s">
        <v>8447</v>
      </c>
      <c r="D850" s="15" t="s">
        <v>1839</v>
      </c>
      <c r="E850" s="16" t="s">
        <v>8146</v>
      </c>
      <c r="F850" s="32" t="s">
        <v>8147</v>
      </c>
      <c r="G850" s="17" t="s">
        <v>8148</v>
      </c>
      <c r="H850" s="18" t="s">
        <v>8149</v>
      </c>
      <c r="I850" s="16" t="s">
        <v>7734</v>
      </c>
      <c r="J850" s="16" t="s">
        <v>86</v>
      </c>
      <c r="K850" s="16" t="s">
        <v>1374</v>
      </c>
      <c r="L850" s="16">
        <v>68732564</v>
      </c>
      <c r="M850" s="16" t="s">
        <v>7735</v>
      </c>
      <c r="N850" s="16" t="s">
        <v>8150</v>
      </c>
      <c r="O850" s="16" t="s">
        <v>8151</v>
      </c>
      <c r="P850" s="16" t="s">
        <v>8152</v>
      </c>
      <c r="Q850" s="16" t="s">
        <v>2215</v>
      </c>
      <c r="R850" s="16" t="s">
        <v>7267</v>
      </c>
      <c r="S850" s="19" t="s">
        <v>8153</v>
      </c>
      <c r="T850" s="20" t="s">
        <v>93</v>
      </c>
      <c r="U850" s="16" t="s">
        <v>2529</v>
      </c>
      <c r="V850" s="16" t="s">
        <v>9907</v>
      </c>
      <c r="W850" s="30" t="s">
        <v>8154</v>
      </c>
      <c r="X850" s="18" t="s">
        <v>542</v>
      </c>
      <c r="Y850" s="18" t="s">
        <v>98</v>
      </c>
      <c r="Z850" s="18" t="s">
        <v>2215</v>
      </c>
      <c r="AA850" s="16" t="s">
        <v>7222</v>
      </c>
      <c r="AB850" s="16" t="s">
        <v>7223</v>
      </c>
      <c r="AC850" s="16" t="s">
        <v>7224</v>
      </c>
      <c r="AD850" s="123" t="str">
        <f t="shared" si="13"/>
        <v>External Transfer-Other banks</v>
      </c>
      <c r="AE850" s="123" t="str">
        <f>VLOOKUP(Table1[[#This Row],[Name of bank]],'اكواد البنوك'!$A$2:$B$34,2,0)</f>
        <v>QNBAEGCXXXX</v>
      </c>
      <c r="AF850" s="21">
        <v>107</v>
      </c>
      <c r="AG850" s="15" t="s">
        <v>167</v>
      </c>
    </row>
    <row r="851" spans="1:33">
      <c r="A851" s="14">
        <v>850</v>
      </c>
      <c r="B851" s="14" t="s">
        <v>8155</v>
      </c>
      <c r="C851" s="14" t="s">
        <v>7585</v>
      </c>
      <c r="D851" s="15" t="s">
        <v>1839</v>
      </c>
      <c r="E851" s="16" t="s">
        <v>8156</v>
      </c>
      <c r="F851" s="32" t="s">
        <v>8157</v>
      </c>
      <c r="G851" s="17" t="s">
        <v>8158</v>
      </c>
      <c r="H851" s="18" t="s">
        <v>8159</v>
      </c>
      <c r="I851" s="16" t="s">
        <v>8160</v>
      </c>
      <c r="J851" s="16" t="s">
        <v>86</v>
      </c>
      <c r="K851" s="16" t="s">
        <v>1374</v>
      </c>
      <c r="L851" s="16">
        <v>25404965</v>
      </c>
      <c r="M851" s="16">
        <v>528564080</v>
      </c>
      <c r="N851" s="16" t="s">
        <v>8161</v>
      </c>
      <c r="O851" s="16" t="s">
        <v>8162</v>
      </c>
      <c r="P851" s="16" t="s">
        <v>8163</v>
      </c>
      <c r="Q851" s="16" t="s">
        <v>2215</v>
      </c>
      <c r="R851" s="16" t="s">
        <v>7267</v>
      </c>
      <c r="S851" s="19" t="s">
        <v>8156</v>
      </c>
      <c r="T851" s="20" t="s">
        <v>93</v>
      </c>
      <c r="U851" s="16" t="s">
        <v>8164</v>
      </c>
      <c r="V851" s="16" t="s">
        <v>8165</v>
      </c>
      <c r="W851" s="30" t="s">
        <v>8166</v>
      </c>
      <c r="X851" s="18" t="s">
        <v>542</v>
      </c>
      <c r="Y851" s="18" t="s">
        <v>98</v>
      </c>
      <c r="Z851" s="18" t="s">
        <v>2215</v>
      </c>
      <c r="AA851" s="16" t="s">
        <v>7222</v>
      </c>
      <c r="AB851" s="16" t="s">
        <v>7223</v>
      </c>
      <c r="AC851" s="16" t="s">
        <v>7224</v>
      </c>
      <c r="AD851" s="123" t="str">
        <f t="shared" si="13"/>
        <v>External Transfer-Other banks</v>
      </c>
      <c r="AE851" s="123" t="str">
        <f>VLOOKUP(Table1[[#This Row],[Name of bank]],'اكواد البنوك'!$A$2:$B$34,2,0)</f>
        <v>QNBAEGCXXXX</v>
      </c>
      <c r="AF851" s="21" t="s">
        <v>193</v>
      </c>
      <c r="AG851" s="15" t="s">
        <v>49</v>
      </c>
    </row>
    <row r="852" spans="1:33">
      <c r="A852" s="14">
        <v>851</v>
      </c>
      <c r="B852" s="14" t="s">
        <v>8155</v>
      </c>
      <c r="C852" s="14" t="e">
        <v>#N/A</v>
      </c>
      <c r="D852" s="23" t="s">
        <v>1839</v>
      </c>
      <c r="E852" s="16" t="s">
        <v>8167</v>
      </c>
      <c r="F852" s="32" t="s">
        <v>8168</v>
      </c>
      <c r="G852" s="17" t="s">
        <v>8169</v>
      </c>
      <c r="H852" s="18" t="s">
        <v>8170</v>
      </c>
      <c r="I852" s="16" t="s">
        <v>8171</v>
      </c>
      <c r="J852" s="16" t="s">
        <v>173</v>
      </c>
      <c r="K852" s="16" t="s">
        <v>553</v>
      </c>
      <c r="L852" s="16">
        <v>69737694</v>
      </c>
      <c r="M852" s="16" t="s">
        <v>136</v>
      </c>
      <c r="N852" s="16" t="s">
        <v>8172</v>
      </c>
      <c r="O852" s="16" t="s">
        <v>8173</v>
      </c>
      <c r="P852" s="16" t="s">
        <v>8174</v>
      </c>
      <c r="Q852" s="16" t="s">
        <v>2215</v>
      </c>
      <c r="R852" s="16" t="s">
        <v>7267</v>
      </c>
      <c r="S852" s="19" t="s">
        <v>9908</v>
      </c>
      <c r="T852" s="20" t="s">
        <v>176</v>
      </c>
      <c r="U852" s="16" t="s">
        <v>8175</v>
      </c>
      <c r="V852" s="16" t="s">
        <v>8176</v>
      </c>
      <c r="W852" s="30" t="s">
        <v>8177</v>
      </c>
      <c r="X852" s="18" t="s">
        <v>542</v>
      </c>
      <c r="Y852" s="18" t="s">
        <v>98</v>
      </c>
      <c r="Z852" s="18" t="s">
        <v>2215</v>
      </c>
      <c r="AA852" s="16" t="s">
        <v>7222</v>
      </c>
      <c r="AB852" s="16" t="s">
        <v>7223</v>
      </c>
      <c r="AC852" s="16" t="s">
        <v>7224</v>
      </c>
      <c r="AD852" s="123" t="str">
        <f t="shared" si="13"/>
        <v>External Transfer-Other banks</v>
      </c>
      <c r="AE852" s="123" t="str">
        <f>VLOOKUP(Table1[[#This Row],[Name of bank]],'اكواد البنوك'!$A$2:$B$34,2,0)</f>
        <v>BMISEGCXXXX</v>
      </c>
      <c r="AF852" s="21">
        <v>147</v>
      </c>
      <c r="AG852" s="15" t="s">
        <v>167</v>
      </c>
    </row>
    <row r="853" spans="1:33">
      <c r="A853" s="14">
        <v>852</v>
      </c>
      <c r="B853" s="14" t="s">
        <v>8178</v>
      </c>
      <c r="C853" s="14" t="s">
        <v>7609</v>
      </c>
      <c r="D853" s="15" t="s">
        <v>1839</v>
      </c>
      <c r="E853" s="16" t="s">
        <v>8179</v>
      </c>
      <c r="F853" s="32" t="s">
        <v>8180</v>
      </c>
      <c r="G853" s="17" t="s">
        <v>8181</v>
      </c>
      <c r="H853" s="18" t="s">
        <v>8182</v>
      </c>
      <c r="I853" s="16" t="s">
        <v>8183</v>
      </c>
      <c r="J853" s="16" t="s">
        <v>86</v>
      </c>
      <c r="K853" s="16" t="s">
        <v>160</v>
      </c>
      <c r="L853" s="16">
        <v>15541692</v>
      </c>
      <c r="M853" s="16">
        <v>694789704</v>
      </c>
      <c r="N853" s="16" t="s">
        <v>8184</v>
      </c>
      <c r="O853" s="16" t="s">
        <v>8185</v>
      </c>
      <c r="P853" s="16" t="s">
        <v>8186</v>
      </c>
      <c r="Q853" s="16" t="s">
        <v>2215</v>
      </c>
      <c r="R853" s="16" t="s">
        <v>7267</v>
      </c>
      <c r="S853" s="19" t="s">
        <v>8187</v>
      </c>
      <c r="T853" s="20" t="s">
        <v>176</v>
      </c>
      <c r="U853" s="16" t="s">
        <v>8188</v>
      </c>
      <c r="V853" s="16" t="s">
        <v>8189</v>
      </c>
      <c r="W853" s="30" t="s">
        <v>8190</v>
      </c>
      <c r="X853" s="18" t="s">
        <v>542</v>
      </c>
      <c r="Y853" s="18" t="s">
        <v>98</v>
      </c>
      <c r="Z853" s="18" t="s">
        <v>2215</v>
      </c>
      <c r="AA853" s="16" t="s">
        <v>7222</v>
      </c>
      <c r="AB853" s="16" t="s">
        <v>7223</v>
      </c>
      <c r="AC853" s="16" t="s">
        <v>7224</v>
      </c>
      <c r="AD853" s="123" t="str">
        <f t="shared" si="13"/>
        <v>External Transfer-Other banks</v>
      </c>
      <c r="AE853" s="123" t="str">
        <f>VLOOKUP(Table1[[#This Row],[Name of bank]],'اكواد البنوك'!$A$2:$B$34,2,0)</f>
        <v>BMISEGCXXXX</v>
      </c>
      <c r="AF853" s="21" t="s">
        <v>8191</v>
      </c>
      <c r="AG853" s="15" t="s">
        <v>49</v>
      </c>
    </row>
    <row r="854" spans="1:33">
      <c r="A854" s="14">
        <v>853</v>
      </c>
      <c r="B854" s="14" t="s">
        <v>8178</v>
      </c>
      <c r="C854" s="14" t="e">
        <v>#N/A</v>
      </c>
      <c r="D854" s="15" t="s">
        <v>1839</v>
      </c>
      <c r="E854" s="16" t="s">
        <v>8192</v>
      </c>
      <c r="F854" s="32" t="s">
        <v>8193</v>
      </c>
      <c r="G854" s="17" t="s">
        <v>8194</v>
      </c>
      <c r="H854" s="18" t="s">
        <v>8195</v>
      </c>
      <c r="I854" s="16" t="s">
        <v>8196</v>
      </c>
      <c r="J854" s="16" t="s">
        <v>173</v>
      </c>
      <c r="K854" s="16" t="s">
        <v>257</v>
      </c>
      <c r="L854" s="16" t="s">
        <v>136</v>
      </c>
      <c r="M854" s="16" t="s">
        <v>136</v>
      </c>
      <c r="N854" s="16" t="s">
        <v>8197</v>
      </c>
      <c r="O854" s="16" t="s">
        <v>8198</v>
      </c>
      <c r="P854" s="16" t="s">
        <v>8199</v>
      </c>
      <c r="Q854" s="16" t="s">
        <v>2215</v>
      </c>
      <c r="R854" s="16" t="s">
        <v>7267</v>
      </c>
      <c r="S854" s="19" t="s">
        <v>9909</v>
      </c>
      <c r="T854" s="20" t="s">
        <v>307</v>
      </c>
      <c r="U854" s="16" t="s">
        <v>9910</v>
      </c>
      <c r="V854" s="16" t="s">
        <v>8200</v>
      </c>
      <c r="W854" s="30" t="s">
        <v>8201</v>
      </c>
      <c r="X854" s="18" t="s">
        <v>542</v>
      </c>
      <c r="Y854" s="18" t="s">
        <v>98</v>
      </c>
      <c r="Z854" s="18" t="s">
        <v>2215</v>
      </c>
      <c r="AA854" s="16" t="s">
        <v>7222</v>
      </c>
      <c r="AB854" s="16" t="s">
        <v>7223</v>
      </c>
      <c r="AC854" s="16" t="s">
        <v>7224</v>
      </c>
      <c r="AD854" s="123" t="str">
        <f t="shared" si="13"/>
        <v>External Transfer-Other banks</v>
      </c>
      <c r="AE854" s="123" t="str">
        <f>VLOOKUP(Table1[[#This Row],[Name of bank]],'اكواد البنوك'!$A$2:$B$34,2,0)</f>
        <v>CIBEEGCXXXX</v>
      </c>
      <c r="AF854" s="21">
        <v>145</v>
      </c>
      <c r="AG854" s="15" t="s">
        <v>167</v>
      </c>
    </row>
    <row r="855" spans="1:33">
      <c r="A855" s="14">
        <v>854</v>
      </c>
      <c r="B855" s="14" t="s">
        <v>8202</v>
      </c>
      <c r="C855" s="14" t="e">
        <v>#N/A</v>
      </c>
      <c r="D855" s="15" t="s">
        <v>1831</v>
      </c>
      <c r="E855" s="16" t="s">
        <v>8203</v>
      </c>
      <c r="F855" s="32" t="s">
        <v>8204</v>
      </c>
      <c r="G855" s="17" t="s">
        <v>8205</v>
      </c>
      <c r="H855" s="18" t="s">
        <v>8206</v>
      </c>
      <c r="I855" s="16" t="s">
        <v>1831</v>
      </c>
      <c r="J855" s="16"/>
      <c r="K855" s="16"/>
      <c r="L855" s="16" t="s">
        <v>8207</v>
      </c>
      <c r="M855" s="16"/>
      <c r="N855" s="16" t="s">
        <v>8208</v>
      </c>
      <c r="O855" s="16"/>
      <c r="P855" s="16"/>
      <c r="Q855" s="16" t="s">
        <v>2215</v>
      </c>
      <c r="R855" s="16" t="s">
        <v>7267</v>
      </c>
      <c r="S855" s="19"/>
      <c r="T855" s="20" t="s">
        <v>1837</v>
      </c>
      <c r="U855" s="16"/>
      <c r="V855" s="16"/>
      <c r="W855" s="30" t="s">
        <v>1838</v>
      </c>
      <c r="X855" s="18" t="s">
        <v>542</v>
      </c>
      <c r="Y855" s="18" t="s">
        <v>98</v>
      </c>
      <c r="Z855" s="18" t="s">
        <v>2215</v>
      </c>
      <c r="AA855" s="16" t="s">
        <v>7222</v>
      </c>
      <c r="AB855" s="16" t="s">
        <v>7223</v>
      </c>
      <c r="AC855" s="16" t="s">
        <v>7224</v>
      </c>
      <c r="AD855" s="123" t="str">
        <f t="shared" si="13"/>
        <v>FUE</v>
      </c>
      <c r="AE855" s="123" t="str">
        <f>VLOOKUP(Table1[[#This Row],[Name of bank]],'اكواد البنوك'!$A$2:$B$34,2,0)</f>
        <v>FUE</v>
      </c>
      <c r="AF855" s="21" t="s">
        <v>1838</v>
      </c>
      <c r="AG855" s="15" t="s">
        <v>49</v>
      </c>
    </row>
    <row r="856" spans="1:33">
      <c r="A856" s="14">
        <v>855</v>
      </c>
      <c r="B856" s="14" t="s">
        <v>8202</v>
      </c>
      <c r="C856" s="14" t="e">
        <v>#N/A</v>
      </c>
      <c r="D856" s="15" t="s">
        <v>1839</v>
      </c>
      <c r="E856" s="16" t="s">
        <v>8209</v>
      </c>
      <c r="F856" s="32" t="s">
        <v>8210</v>
      </c>
      <c r="G856" s="17" t="s">
        <v>8211</v>
      </c>
      <c r="H856" s="18" t="s">
        <v>8212</v>
      </c>
      <c r="I856" s="16" t="s">
        <v>8117</v>
      </c>
      <c r="J856" s="16" t="s">
        <v>86</v>
      </c>
      <c r="K856" s="16" t="s">
        <v>8213</v>
      </c>
      <c r="L856" s="16" t="s">
        <v>136</v>
      </c>
      <c r="M856" s="16" t="s">
        <v>136</v>
      </c>
      <c r="N856" s="16" t="s">
        <v>8214</v>
      </c>
      <c r="O856" s="16" t="s">
        <v>8215</v>
      </c>
      <c r="P856" s="16" t="s">
        <v>8216</v>
      </c>
      <c r="Q856" s="16" t="s">
        <v>2215</v>
      </c>
      <c r="R856" s="16" t="s">
        <v>7267</v>
      </c>
      <c r="S856" s="19" t="s">
        <v>9911</v>
      </c>
      <c r="T856" s="20" t="s">
        <v>40</v>
      </c>
      <c r="U856" s="16" t="s">
        <v>9912</v>
      </c>
      <c r="V856" s="16" t="s">
        <v>8217</v>
      </c>
      <c r="W856" s="30" t="s">
        <v>8218</v>
      </c>
      <c r="X856" s="18" t="s">
        <v>542</v>
      </c>
      <c r="Y856" s="18" t="s">
        <v>98</v>
      </c>
      <c r="Z856" s="18" t="s">
        <v>2215</v>
      </c>
      <c r="AA856" s="16" t="s">
        <v>7222</v>
      </c>
      <c r="AB856" s="16" t="s">
        <v>7223</v>
      </c>
      <c r="AC856" s="16" t="s">
        <v>7224</v>
      </c>
      <c r="AD856" s="123" t="str">
        <f t="shared" si="13"/>
        <v>External Transfer-NBE</v>
      </c>
      <c r="AE856" s="123" t="str">
        <f>VLOOKUP(Table1[[#This Row],[Name of bank]],'اكواد البنوك'!$A$2:$B$34,2,0)</f>
        <v>NBEGEGCXXXX</v>
      </c>
      <c r="AF856" s="21">
        <v>693</v>
      </c>
      <c r="AG856" s="15" t="s">
        <v>167</v>
      </c>
    </row>
    <row r="857" spans="1:33">
      <c r="A857" s="14">
        <v>856</v>
      </c>
      <c r="B857" s="14" t="s">
        <v>409</v>
      </c>
      <c r="C857" s="14" t="s">
        <v>409</v>
      </c>
      <c r="D857" s="15" t="s">
        <v>1703</v>
      </c>
      <c r="E857" s="16" t="s">
        <v>8219</v>
      </c>
      <c r="F857" s="32" t="s">
        <v>8220</v>
      </c>
      <c r="G857" s="17" t="s">
        <v>8221</v>
      </c>
      <c r="H857" s="18" t="s">
        <v>8222</v>
      </c>
      <c r="I857" s="16" t="s">
        <v>1703</v>
      </c>
      <c r="J857" s="16"/>
      <c r="K857" s="16"/>
      <c r="L857" s="16"/>
      <c r="M857" s="16"/>
      <c r="N857" s="16"/>
      <c r="O857" s="16"/>
      <c r="P857" s="16"/>
      <c r="Q857" s="16" t="s">
        <v>2215</v>
      </c>
      <c r="R857" s="16" t="s">
        <v>7267</v>
      </c>
      <c r="S857" s="19"/>
      <c r="T857" s="20" t="s">
        <v>40</v>
      </c>
      <c r="U857" s="16"/>
      <c r="V857" s="16" t="s">
        <v>8223</v>
      </c>
      <c r="W857" s="30" t="s">
        <v>8224</v>
      </c>
      <c r="X857" s="18" t="s">
        <v>78</v>
      </c>
      <c r="Y857" s="18" t="s">
        <v>43</v>
      </c>
      <c r="Z857" s="18" t="s">
        <v>2215</v>
      </c>
      <c r="AA857" s="16" t="s">
        <v>7222</v>
      </c>
      <c r="AB857" s="16" t="s">
        <v>7223</v>
      </c>
      <c r="AC857" s="16" t="s">
        <v>7224</v>
      </c>
      <c r="AD857" s="123" t="str">
        <f t="shared" si="13"/>
        <v>Internal Transfer</v>
      </c>
      <c r="AE857" s="123" t="str">
        <f>VLOOKUP(Table1[[#This Row],[Name of bank]],'اكواد البنوك'!$A$2:$B$34,2,0)</f>
        <v>NBEGEGCXXXX</v>
      </c>
      <c r="AF857" s="21" t="s">
        <v>8224</v>
      </c>
      <c r="AG857" s="15" t="s">
        <v>49</v>
      </c>
    </row>
    <row r="858" spans="1:33">
      <c r="A858" s="14">
        <v>857</v>
      </c>
      <c r="B858" s="14" t="s">
        <v>409</v>
      </c>
      <c r="C858" s="14" t="e">
        <v>#N/A</v>
      </c>
      <c r="D858" s="15" t="s">
        <v>1855</v>
      </c>
      <c r="E858" s="16" t="s">
        <v>8225</v>
      </c>
      <c r="F858" s="32" t="s">
        <v>8226</v>
      </c>
      <c r="G858" s="17" t="s">
        <v>8227</v>
      </c>
      <c r="H858" s="18" t="s">
        <v>8228</v>
      </c>
      <c r="I858" s="16" t="s">
        <v>3471</v>
      </c>
      <c r="J858" s="16" t="s">
        <v>1845</v>
      </c>
      <c r="K858" s="16" t="s">
        <v>8229</v>
      </c>
      <c r="L858" s="16" t="s">
        <v>136</v>
      </c>
      <c r="M858" s="16" t="s">
        <v>136</v>
      </c>
      <c r="N858" s="16" t="s">
        <v>8230</v>
      </c>
      <c r="O858" s="16" t="s">
        <v>8231</v>
      </c>
      <c r="P858" s="16" t="s">
        <v>8232</v>
      </c>
      <c r="Q858" s="16" t="s">
        <v>2215</v>
      </c>
      <c r="R858" s="16" t="s">
        <v>7267</v>
      </c>
      <c r="S858" s="19" t="s">
        <v>8233</v>
      </c>
      <c r="T858" s="20" t="s">
        <v>40</v>
      </c>
      <c r="U858" s="16" t="s">
        <v>8234</v>
      </c>
      <c r="V858" s="16" t="s">
        <v>8235</v>
      </c>
      <c r="W858" s="39" t="s">
        <v>10376</v>
      </c>
      <c r="X858" s="18" t="s">
        <v>97</v>
      </c>
      <c r="Y858" s="18" t="s">
        <v>98</v>
      </c>
      <c r="Z858" s="18" t="s">
        <v>2215</v>
      </c>
      <c r="AA858" s="16" t="s">
        <v>7222</v>
      </c>
      <c r="AB858" s="16" t="s">
        <v>7223</v>
      </c>
      <c r="AC858" s="16" t="s">
        <v>7224</v>
      </c>
      <c r="AD858" s="123" t="str">
        <f t="shared" si="13"/>
        <v>External Transfer-NBE</v>
      </c>
      <c r="AE858" s="123" t="str">
        <f>VLOOKUP(Table1[[#This Row],[Name of bank]],'اكواد البنوك'!$A$2:$B$34,2,0)</f>
        <v>NBEGEGCXXXX</v>
      </c>
      <c r="AF858" s="21" t="s">
        <v>10212</v>
      </c>
      <c r="AG858" s="15" t="s">
        <v>167</v>
      </c>
    </row>
    <row r="859" spans="1:33">
      <c r="A859" s="14">
        <v>858</v>
      </c>
      <c r="B859" s="14" t="s">
        <v>409</v>
      </c>
      <c r="C859" s="14" t="s">
        <v>409</v>
      </c>
      <c r="D859" s="15" t="s">
        <v>1839</v>
      </c>
      <c r="E859" s="16" t="s">
        <v>8236</v>
      </c>
      <c r="F859" s="32" t="s">
        <v>10189</v>
      </c>
      <c r="G859" s="17" t="s">
        <v>8238</v>
      </c>
      <c r="H859" s="18" t="s">
        <v>8239</v>
      </c>
      <c r="I859" s="16" t="s">
        <v>8240</v>
      </c>
      <c r="J859" s="16" t="s">
        <v>86</v>
      </c>
      <c r="K859" s="16" t="s">
        <v>553</v>
      </c>
      <c r="L859" s="16" t="s">
        <v>136</v>
      </c>
      <c r="M859" s="16" t="s">
        <v>136</v>
      </c>
      <c r="N859" s="16" t="s">
        <v>8241</v>
      </c>
      <c r="O859" s="16" t="s">
        <v>8242</v>
      </c>
      <c r="P859" s="16" t="s">
        <v>8243</v>
      </c>
      <c r="Q859" s="16" t="s">
        <v>2215</v>
      </c>
      <c r="R859" s="16" t="s">
        <v>7267</v>
      </c>
      <c r="S859" s="19" t="s">
        <v>8237</v>
      </c>
      <c r="T859" s="20" t="s">
        <v>274</v>
      </c>
      <c r="U859" s="16" t="s">
        <v>4059</v>
      </c>
      <c r="V859" s="16" t="s">
        <v>8244</v>
      </c>
      <c r="W859" s="30" t="s">
        <v>8245</v>
      </c>
      <c r="X859" s="18" t="s">
        <v>97</v>
      </c>
      <c r="Y859" s="18" t="s">
        <v>98</v>
      </c>
      <c r="Z859" s="18" t="s">
        <v>2215</v>
      </c>
      <c r="AA859" s="16" t="s">
        <v>7222</v>
      </c>
      <c r="AB859" s="16" t="s">
        <v>7223</v>
      </c>
      <c r="AC859" s="16" t="s">
        <v>7224</v>
      </c>
      <c r="AD859" s="123" t="str">
        <f t="shared" si="13"/>
        <v>External Transfer-Other banks</v>
      </c>
      <c r="AE859" s="123" t="str">
        <f>VLOOKUP(Table1[[#This Row],[Name of bank]],'اكواد البنوك'!$A$2:$B$34,2,0)</f>
        <v>BCAIEGCXXXX</v>
      </c>
      <c r="AF859" s="21" t="s">
        <v>8246</v>
      </c>
      <c r="AG859" s="15" t="s">
        <v>49</v>
      </c>
    </row>
    <row r="860" spans="1:33">
      <c r="A860" s="14">
        <v>859</v>
      </c>
      <c r="B860" s="14" t="s">
        <v>409</v>
      </c>
      <c r="C860" s="14" t="s">
        <v>409</v>
      </c>
      <c r="D860" s="15" t="s">
        <v>1839</v>
      </c>
      <c r="E860" s="16" t="s">
        <v>8247</v>
      </c>
      <c r="F860" s="32" t="s">
        <v>8248</v>
      </c>
      <c r="G860" s="17" t="s">
        <v>8249</v>
      </c>
      <c r="H860" s="18" t="s">
        <v>8250</v>
      </c>
      <c r="I860" s="16" t="s">
        <v>8251</v>
      </c>
      <c r="J860" s="16" t="s">
        <v>173</v>
      </c>
      <c r="K860" s="16" t="s">
        <v>8252</v>
      </c>
      <c r="L860" s="16">
        <v>61795708</v>
      </c>
      <c r="M860" s="16" t="s">
        <v>977</v>
      </c>
      <c r="N860" s="16" t="s">
        <v>8253</v>
      </c>
      <c r="O860" s="16" t="s">
        <v>8254</v>
      </c>
      <c r="P860" s="16" t="s">
        <v>8255</v>
      </c>
      <c r="Q860" s="16" t="s">
        <v>2215</v>
      </c>
      <c r="R860" s="16" t="s">
        <v>7267</v>
      </c>
      <c r="S860" s="19" t="s">
        <v>8256</v>
      </c>
      <c r="T860" s="20" t="s">
        <v>40</v>
      </c>
      <c r="U860" s="16" t="s">
        <v>3814</v>
      </c>
      <c r="V860" s="16" t="s">
        <v>8257</v>
      </c>
      <c r="W860" s="30" t="s">
        <v>8258</v>
      </c>
      <c r="X860" s="18" t="s">
        <v>78</v>
      </c>
      <c r="Y860" s="18" t="s">
        <v>98</v>
      </c>
      <c r="Z860" s="18" t="s">
        <v>2215</v>
      </c>
      <c r="AA860" s="16" t="s">
        <v>7222</v>
      </c>
      <c r="AB860" s="16" t="s">
        <v>7223</v>
      </c>
      <c r="AC860" s="16" t="s">
        <v>7224</v>
      </c>
      <c r="AD860" s="123" t="str">
        <f t="shared" si="13"/>
        <v>External Transfer-NBE</v>
      </c>
      <c r="AE860" s="123" t="str">
        <f>VLOOKUP(Table1[[#This Row],[Name of bank]],'اكواد البنوك'!$A$2:$B$34,2,0)</f>
        <v>NBEGEGCXXXX</v>
      </c>
      <c r="AF860" s="21" t="s">
        <v>3817</v>
      </c>
      <c r="AG860" s="15" t="s">
        <v>49</v>
      </c>
    </row>
    <row r="861" spans="1:33">
      <c r="A861" s="14">
        <v>860</v>
      </c>
      <c r="B861" s="14" t="s">
        <v>409</v>
      </c>
      <c r="C861" s="14" t="s">
        <v>409</v>
      </c>
      <c r="D861" s="15" t="s">
        <v>1839</v>
      </c>
      <c r="E861" s="16" t="s">
        <v>8259</v>
      </c>
      <c r="F861" s="32" t="s">
        <v>8260</v>
      </c>
      <c r="G861" s="17" t="s">
        <v>8261</v>
      </c>
      <c r="H861" s="18" t="s">
        <v>8262</v>
      </c>
      <c r="I861" s="16" t="s">
        <v>8263</v>
      </c>
      <c r="J861" s="16" t="s">
        <v>86</v>
      </c>
      <c r="K861" s="16" t="s">
        <v>8264</v>
      </c>
      <c r="L861" s="16">
        <v>26288447</v>
      </c>
      <c r="M861" s="16" t="s">
        <v>136</v>
      </c>
      <c r="N861" s="16" t="s">
        <v>8265</v>
      </c>
      <c r="O861" s="16" t="s">
        <v>8266</v>
      </c>
      <c r="P861" s="16" t="s">
        <v>8267</v>
      </c>
      <c r="Q861" s="16" t="s">
        <v>2215</v>
      </c>
      <c r="R861" s="16" t="s">
        <v>7267</v>
      </c>
      <c r="S861" s="19" t="s">
        <v>8268</v>
      </c>
      <c r="T861" s="20" t="s">
        <v>274</v>
      </c>
      <c r="U861" s="16" t="s">
        <v>8269</v>
      </c>
      <c r="V861" s="16" t="s">
        <v>8270</v>
      </c>
      <c r="W861" s="30" t="s">
        <v>8271</v>
      </c>
      <c r="X861" s="18" t="s">
        <v>97</v>
      </c>
      <c r="Y861" s="18" t="s">
        <v>98</v>
      </c>
      <c r="Z861" s="18" t="s">
        <v>2215</v>
      </c>
      <c r="AA861" s="16" t="s">
        <v>7222</v>
      </c>
      <c r="AB861" s="16" t="s">
        <v>7223</v>
      </c>
      <c r="AC861" s="16" t="s">
        <v>7224</v>
      </c>
      <c r="AD861" s="123" t="str">
        <f t="shared" si="13"/>
        <v>External Transfer-Other banks</v>
      </c>
      <c r="AE861" s="123" t="str">
        <f>VLOOKUP(Table1[[#This Row],[Name of bank]],'اكواد البنوك'!$A$2:$B$34,2,0)</f>
        <v>BCAIEGCXXXX</v>
      </c>
      <c r="AF861" s="21" t="s">
        <v>8272</v>
      </c>
      <c r="AG861" s="15" t="s">
        <v>49</v>
      </c>
    </row>
    <row r="862" spans="1:33">
      <c r="A862" s="14">
        <v>861</v>
      </c>
      <c r="B862" s="14" t="s">
        <v>409</v>
      </c>
      <c r="C862" s="14" t="e">
        <v>#N/A</v>
      </c>
      <c r="D862" s="15" t="s">
        <v>1855</v>
      </c>
      <c r="E862" s="16" t="s">
        <v>8273</v>
      </c>
      <c r="F862" s="32" t="s">
        <v>8274</v>
      </c>
      <c r="G862" s="17" t="s">
        <v>8275</v>
      </c>
      <c r="H862" s="18" t="s">
        <v>8276</v>
      </c>
      <c r="I862" s="16" t="s">
        <v>1858</v>
      </c>
      <c r="J862" s="16" t="s">
        <v>1845</v>
      </c>
      <c r="K862" s="16" t="s">
        <v>136</v>
      </c>
      <c r="L862" s="16" t="s">
        <v>136</v>
      </c>
      <c r="M862" s="16" t="s">
        <v>136</v>
      </c>
      <c r="N862" s="16" t="s">
        <v>8277</v>
      </c>
      <c r="O862" s="16" t="s">
        <v>8278</v>
      </c>
      <c r="P862" s="16" t="s">
        <v>8279</v>
      </c>
      <c r="Q862" s="16" t="s">
        <v>2215</v>
      </c>
      <c r="R862" s="16" t="s">
        <v>7267</v>
      </c>
      <c r="S862" s="19" t="s">
        <v>136</v>
      </c>
      <c r="T862" s="20" t="s">
        <v>176</v>
      </c>
      <c r="U862" s="16" t="s">
        <v>7889</v>
      </c>
      <c r="V862" s="16" t="s">
        <v>136</v>
      </c>
      <c r="W862" s="30" t="s">
        <v>10248</v>
      </c>
      <c r="X862" s="18" t="s">
        <v>97</v>
      </c>
      <c r="Y862" s="18" t="s">
        <v>98</v>
      </c>
      <c r="Z862" s="18" t="s">
        <v>2215</v>
      </c>
      <c r="AA862" s="16" t="s">
        <v>7222</v>
      </c>
      <c r="AB862" s="16" t="s">
        <v>7223</v>
      </c>
      <c r="AC862" s="16" t="s">
        <v>7224</v>
      </c>
      <c r="AD862" s="123" t="str">
        <f t="shared" si="13"/>
        <v>External Transfer-Other banks</v>
      </c>
      <c r="AE862" s="123" t="str">
        <f>VLOOKUP(Table1[[#This Row],[Name of bank]],'اكواد البنوك'!$A$2:$B$34,2,0)</f>
        <v>BMISEGCXXXX</v>
      </c>
      <c r="AF862" s="21" t="s">
        <v>10249</v>
      </c>
      <c r="AG862" s="15" t="s">
        <v>167</v>
      </c>
    </row>
    <row r="863" spans="1:33">
      <c r="A863" s="14">
        <v>862</v>
      </c>
      <c r="B863" s="14" t="s">
        <v>8280</v>
      </c>
      <c r="C863" s="14" t="s">
        <v>7527</v>
      </c>
      <c r="D863" s="15" t="s">
        <v>1831</v>
      </c>
      <c r="E863" s="16" t="s">
        <v>8281</v>
      </c>
      <c r="F863" s="32" t="s">
        <v>8282</v>
      </c>
      <c r="G863" s="17" t="s">
        <v>8283</v>
      </c>
      <c r="H863" s="18" t="s">
        <v>8284</v>
      </c>
      <c r="I863" s="16" t="s">
        <v>1831</v>
      </c>
      <c r="J863" s="16"/>
      <c r="K863" s="16"/>
      <c r="L863" s="16"/>
      <c r="M863" s="16">
        <v>63375164</v>
      </c>
      <c r="N863" s="16" t="s">
        <v>8285</v>
      </c>
      <c r="O863" s="16"/>
      <c r="P863" s="16"/>
      <c r="Q863" s="16" t="s">
        <v>2215</v>
      </c>
      <c r="R863" s="16" t="s">
        <v>7267</v>
      </c>
      <c r="S863" s="19"/>
      <c r="T863" s="20" t="s">
        <v>1837</v>
      </c>
      <c r="U863" s="16"/>
      <c r="V863" s="16"/>
      <c r="W863" s="30" t="s">
        <v>1838</v>
      </c>
      <c r="X863" s="18" t="s">
        <v>542</v>
      </c>
      <c r="Y863" s="18" t="s">
        <v>98</v>
      </c>
      <c r="Z863" s="18" t="s">
        <v>2215</v>
      </c>
      <c r="AA863" s="16" t="s">
        <v>7222</v>
      </c>
      <c r="AB863" s="16" t="s">
        <v>7223</v>
      </c>
      <c r="AC863" s="16" t="s">
        <v>7224</v>
      </c>
      <c r="AD863" s="123" t="str">
        <f t="shared" si="13"/>
        <v>FUE</v>
      </c>
      <c r="AE863" s="123" t="str">
        <f>VLOOKUP(Table1[[#This Row],[Name of bank]],'اكواد البنوك'!$A$2:$B$34,2,0)</f>
        <v>FUE</v>
      </c>
      <c r="AF863" s="21" t="s">
        <v>1838</v>
      </c>
      <c r="AG863" s="15" t="s">
        <v>49</v>
      </c>
    </row>
    <row r="864" spans="1:33">
      <c r="A864" s="14">
        <v>863</v>
      </c>
      <c r="B864" s="14" t="s">
        <v>8280</v>
      </c>
      <c r="C864" s="14" t="s">
        <v>7780</v>
      </c>
      <c r="D864" s="15" t="s">
        <v>1839</v>
      </c>
      <c r="E864" s="16" t="s">
        <v>8286</v>
      </c>
      <c r="F864" s="32" t="s">
        <v>8287</v>
      </c>
      <c r="G864" s="17" t="s">
        <v>8288</v>
      </c>
      <c r="H864" s="18" t="s">
        <v>8289</v>
      </c>
      <c r="I864" s="16" t="s">
        <v>8290</v>
      </c>
      <c r="J864" s="16" t="s">
        <v>173</v>
      </c>
      <c r="K864" s="16" t="s">
        <v>148</v>
      </c>
      <c r="L864" s="16">
        <v>84041404</v>
      </c>
      <c r="M864" s="16" t="s">
        <v>136</v>
      </c>
      <c r="N864" s="16" t="s">
        <v>8291</v>
      </c>
      <c r="O864" s="16" t="s">
        <v>8292</v>
      </c>
      <c r="P864" s="16" t="s">
        <v>8293</v>
      </c>
      <c r="Q864" s="16" t="s">
        <v>2215</v>
      </c>
      <c r="R864" s="16" t="s">
        <v>7267</v>
      </c>
      <c r="S864" s="19" t="s">
        <v>8287</v>
      </c>
      <c r="T864" s="20" t="s">
        <v>40</v>
      </c>
      <c r="U864" s="16" t="s">
        <v>7765</v>
      </c>
      <c r="V864" s="16" t="s">
        <v>8294</v>
      </c>
      <c r="W864" s="30" t="s">
        <v>8295</v>
      </c>
      <c r="X864" s="18" t="s">
        <v>542</v>
      </c>
      <c r="Y864" s="18" t="s">
        <v>98</v>
      </c>
      <c r="Z864" s="18" t="s">
        <v>2215</v>
      </c>
      <c r="AA864" s="16" t="s">
        <v>7222</v>
      </c>
      <c r="AB864" s="16" t="s">
        <v>7223</v>
      </c>
      <c r="AC864" s="16" t="s">
        <v>7224</v>
      </c>
      <c r="AD864" s="123" t="str">
        <f t="shared" si="13"/>
        <v>External Transfer-NBE</v>
      </c>
      <c r="AE864" s="123" t="str">
        <f>VLOOKUP(Table1[[#This Row],[Name of bank]],'اكواد البنوك'!$A$2:$B$34,2,0)</f>
        <v>NBEGEGCXXXX</v>
      </c>
      <c r="AF864" s="21" t="s">
        <v>8296</v>
      </c>
      <c r="AG864" s="15" t="s">
        <v>49</v>
      </c>
    </row>
    <row r="865" spans="1:33">
      <c r="A865" s="14">
        <v>864</v>
      </c>
      <c r="B865" s="14" t="s">
        <v>8280</v>
      </c>
      <c r="C865" s="14" t="s">
        <v>8478</v>
      </c>
      <c r="D865" s="15" t="s">
        <v>1839</v>
      </c>
      <c r="E865" s="16" t="s">
        <v>8297</v>
      </c>
      <c r="F865" s="32" t="s">
        <v>8298</v>
      </c>
      <c r="G865" s="17" t="s">
        <v>8299</v>
      </c>
      <c r="H865" s="18" t="s">
        <v>8300</v>
      </c>
      <c r="I865" s="16" t="s">
        <v>8301</v>
      </c>
      <c r="J865" s="16" t="s">
        <v>173</v>
      </c>
      <c r="K865" s="16" t="s">
        <v>553</v>
      </c>
      <c r="L865" s="16">
        <v>48991288</v>
      </c>
      <c r="M865" s="16" t="s">
        <v>234</v>
      </c>
      <c r="N865" s="16" t="s">
        <v>8302</v>
      </c>
      <c r="O865" s="16" t="s">
        <v>8303</v>
      </c>
      <c r="P865" s="16" t="s">
        <v>8304</v>
      </c>
      <c r="Q865" s="16" t="s">
        <v>2215</v>
      </c>
      <c r="R865" s="16" t="s">
        <v>7267</v>
      </c>
      <c r="S865" s="19" t="s">
        <v>8298</v>
      </c>
      <c r="T865" s="20" t="s">
        <v>176</v>
      </c>
      <c r="U865" s="16" t="s">
        <v>9913</v>
      </c>
      <c r="V865" s="16" t="s">
        <v>9914</v>
      </c>
      <c r="W865" s="30" t="s">
        <v>9915</v>
      </c>
      <c r="X865" s="18" t="s">
        <v>542</v>
      </c>
      <c r="Y865" s="18" t="s">
        <v>98</v>
      </c>
      <c r="Z865" s="18" t="s">
        <v>2215</v>
      </c>
      <c r="AA865" s="16" t="s">
        <v>7222</v>
      </c>
      <c r="AB865" s="16" t="s">
        <v>7223</v>
      </c>
      <c r="AC865" s="16" t="s">
        <v>7224</v>
      </c>
      <c r="AD865" s="123" t="str">
        <f t="shared" si="13"/>
        <v>External Transfer-Other banks</v>
      </c>
      <c r="AE865" s="123" t="str">
        <f>VLOOKUP(Table1[[#This Row],[Name of bank]],'اكواد البنوك'!$A$2:$B$34,2,0)</f>
        <v>BMISEGCXXXX</v>
      </c>
      <c r="AF865" s="21">
        <v>137</v>
      </c>
      <c r="AG865" s="15" t="s">
        <v>167</v>
      </c>
    </row>
    <row r="866" spans="1:33">
      <c r="A866" s="14">
        <v>865</v>
      </c>
      <c r="B866" s="14" t="s">
        <v>8305</v>
      </c>
      <c r="C866" s="14" t="s">
        <v>1904</v>
      </c>
      <c r="D866" s="15" t="s">
        <v>1839</v>
      </c>
      <c r="E866" s="16" t="s">
        <v>8306</v>
      </c>
      <c r="F866" s="32" t="s">
        <v>8307</v>
      </c>
      <c r="G866" s="17" t="s">
        <v>8308</v>
      </c>
      <c r="H866" s="18" t="s">
        <v>8309</v>
      </c>
      <c r="I866" s="16" t="s">
        <v>8310</v>
      </c>
      <c r="J866" s="16" t="s">
        <v>86</v>
      </c>
      <c r="K866" s="16" t="s">
        <v>384</v>
      </c>
      <c r="L866" s="16">
        <v>52656755</v>
      </c>
      <c r="M866" s="16">
        <v>694789704</v>
      </c>
      <c r="N866" s="16" t="s">
        <v>8311</v>
      </c>
      <c r="O866" s="16" t="s">
        <v>8312</v>
      </c>
      <c r="P866" s="16" t="s">
        <v>8313</v>
      </c>
      <c r="Q866" s="16" t="s">
        <v>2215</v>
      </c>
      <c r="R866" s="16" t="s">
        <v>7267</v>
      </c>
      <c r="S866" s="19" t="s">
        <v>8314</v>
      </c>
      <c r="T866" s="20" t="s">
        <v>3728</v>
      </c>
      <c r="U866" s="16" t="s">
        <v>8315</v>
      </c>
      <c r="V866" s="16" t="s">
        <v>8316</v>
      </c>
      <c r="W866" s="30" t="s">
        <v>8317</v>
      </c>
      <c r="X866" s="18" t="s">
        <v>542</v>
      </c>
      <c r="Y866" s="18" t="s">
        <v>98</v>
      </c>
      <c r="Z866" s="18" t="s">
        <v>2215</v>
      </c>
      <c r="AA866" s="16" t="s">
        <v>7222</v>
      </c>
      <c r="AB866" s="16" t="s">
        <v>7223</v>
      </c>
      <c r="AC866" s="16" t="s">
        <v>7224</v>
      </c>
      <c r="AD866" s="123" t="str">
        <f t="shared" si="13"/>
        <v>External Transfer-Other banks</v>
      </c>
      <c r="AE866" s="123" t="str">
        <f>VLOOKUP(Table1[[#This Row],[Name of bank]],'اكواد البنوك'!$A$2:$B$34,2,0)</f>
        <v>ABRKEGCAXXX</v>
      </c>
      <c r="AF866" s="21" t="s">
        <v>8318</v>
      </c>
      <c r="AG866" s="15" t="s">
        <v>49</v>
      </c>
    </row>
    <row r="867" spans="1:33">
      <c r="A867" s="14">
        <v>866</v>
      </c>
      <c r="B867" s="14" t="s">
        <v>8305</v>
      </c>
      <c r="C867" s="14" t="e">
        <v>#N/A</v>
      </c>
      <c r="D867" s="15" t="s">
        <v>1839</v>
      </c>
      <c r="E867" s="16" t="s">
        <v>8319</v>
      </c>
      <c r="F867" s="32" t="s">
        <v>8320</v>
      </c>
      <c r="G867" s="17" t="s">
        <v>8321</v>
      </c>
      <c r="H867" s="18" t="s">
        <v>8322</v>
      </c>
      <c r="I867" s="16" t="s">
        <v>8323</v>
      </c>
      <c r="J867" s="16" t="s">
        <v>86</v>
      </c>
      <c r="K867" s="16" t="s">
        <v>2421</v>
      </c>
      <c r="L867" s="16">
        <v>26258800</v>
      </c>
      <c r="M867" s="16" t="s">
        <v>136</v>
      </c>
      <c r="N867" s="16" t="s">
        <v>8324</v>
      </c>
      <c r="O867" s="16" t="s">
        <v>8325</v>
      </c>
      <c r="P867" s="16" t="s">
        <v>8326</v>
      </c>
      <c r="Q867" s="16" t="s">
        <v>2215</v>
      </c>
      <c r="R867" s="16" t="s">
        <v>7267</v>
      </c>
      <c r="S867" s="19" t="s">
        <v>8327</v>
      </c>
      <c r="T867" s="20" t="s">
        <v>40</v>
      </c>
      <c r="U867" s="16" t="s">
        <v>3814</v>
      </c>
      <c r="V867" s="16" t="s">
        <v>8328</v>
      </c>
      <c r="W867" s="30" t="s">
        <v>8329</v>
      </c>
      <c r="X867" s="18" t="s">
        <v>542</v>
      </c>
      <c r="Y867" s="18" t="s">
        <v>98</v>
      </c>
      <c r="Z867" s="18" t="s">
        <v>2215</v>
      </c>
      <c r="AA867" s="16" t="s">
        <v>7222</v>
      </c>
      <c r="AB867" s="16" t="s">
        <v>7223</v>
      </c>
      <c r="AC867" s="16" t="s">
        <v>7224</v>
      </c>
      <c r="AD867" s="123" t="str">
        <f t="shared" si="13"/>
        <v>External Transfer-NBE</v>
      </c>
      <c r="AE867" s="123" t="str">
        <f>VLOOKUP(Table1[[#This Row],[Name of bank]],'اكواد البنوك'!$A$2:$B$34,2,0)</f>
        <v>NBEGEGCXXXX</v>
      </c>
      <c r="AF867" s="21" t="s">
        <v>3817</v>
      </c>
      <c r="AG867" s="15" t="s">
        <v>49</v>
      </c>
    </row>
    <row r="868" spans="1:33">
      <c r="A868" s="14">
        <v>867</v>
      </c>
      <c r="B868" s="14" t="s">
        <v>8305</v>
      </c>
      <c r="C868" s="14" t="s">
        <v>8478</v>
      </c>
      <c r="D868" s="15" t="s">
        <v>1839</v>
      </c>
      <c r="E868" s="16" t="s">
        <v>8330</v>
      </c>
      <c r="F868" s="32" t="s">
        <v>10103</v>
      </c>
      <c r="G868" s="17" t="s">
        <v>8331</v>
      </c>
      <c r="H868" s="18" t="s">
        <v>8332</v>
      </c>
      <c r="I868" s="16" t="s">
        <v>7759</v>
      </c>
      <c r="J868" s="16" t="s">
        <v>173</v>
      </c>
      <c r="K868" s="16" t="s">
        <v>384</v>
      </c>
      <c r="L868" s="16" t="s">
        <v>136</v>
      </c>
      <c r="M868" s="16" t="s">
        <v>136</v>
      </c>
      <c r="N868" s="16" t="s">
        <v>8333</v>
      </c>
      <c r="O868" s="16" t="s">
        <v>8334</v>
      </c>
      <c r="P868" s="16" t="s">
        <v>8335</v>
      </c>
      <c r="Q868" s="16" t="s">
        <v>2215</v>
      </c>
      <c r="R868" s="16" t="s">
        <v>7267</v>
      </c>
      <c r="S868" s="19" t="s">
        <v>9916</v>
      </c>
      <c r="T868" s="20" t="s">
        <v>93</v>
      </c>
      <c r="U868" s="16" t="s">
        <v>9917</v>
      </c>
      <c r="V868" s="16">
        <v>11307473584</v>
      </c>
      <c r="W868" s="113" t="s">
        <v>9918</v>
      </c>
      <c r="X868" s="18" t="s">
        <v>542</v>
      </c>
      <c r="Y868" s="18" t="s">
        <v>98</v>
      </c>
      <c r="Z868" s="18" t="s">
        <v>2215</v>
      </c>
      <c r="AA868" s="16" t="s">
        <v>7222</v>
      </c>
      <c r="AB868" s="16" t="s">
        <v>7223</v>
      </c>
      <c r="AC868" s="16" t="s">
        <v>7224</v>
      </c>
      <c r="AD868" s="123" t="str">
        <f t="shared" si="13"/>
        <v>External Transfer-Other banks</v>
      </c>
      <c r="AE868" s="123" t="str">
        <f>VLOOKUP(Table1[[#This Row],[Name of bank]],'اكواد البنوك'!$A$2:$B$34,2,0)</f>
        <v>QNBAEGCXXXX</v>
      </c>
      <c r="AF868" s="114" t="s">
        <v>8985</v>
      </c>
      <c r="AG868" s="15" t="s">
        <v>167</v>
      </c>
    </row>
    <row r="869" spans="1:33">
      <c r="A869" s="14">
        <v>868</v>
      </c>
      <c r="B869" s="14" t="s">
        <v>8336</v>
      </c>
      <c r="C869" s="14" t="s">
        <v>7609</v>
      </c>
      <c r="D869" s="15" t="s">
        <v>1839</v>
      </c>
      <c r="E869" s="16" t="s">
        <v>8337</v>
      </c>
      <c r="F869" s="32" t="s">
        <v>10195</v>
      </c>
      <c r="G869" s="17" t="s">
        <v>8338</v>
      </c>
      <c r="H869" s="18" t="s">
        <v>8339</v>
      </c>
      <c r="I869" s="16" t="s">
        <v>8340</v>
      </c>
      <c r="J869" s="16" t="s">
        <v>86</v>
      </c>
      <c r="K869" s="16" t="s">
        <v>8341</v>
      </c>
      <c r="L869" s="16" t="s">
        <v>8342</v>
      </c>
      <c r="M869" s="16" t="s">
        <v>8343</v>
      </c>
      <c r="N869" s="16" t="s">
        <v>8344</v>
      </c>
      <c r="O869" s="16" t="s">
        <v>8345</v>
      </c>
      <c r="P869" s="16" t="s">
        <v>8346</v>
      </c>
      <c r="Q869" s="16" t="s">
        <v>2215</v>
      </c>
      <c r="R869" s="16" t="s">
        <v>7267</v>
      </c>
      <c r="S869" s="19" t="s">
        <v>8347</v>
      </c>
      <c r="T869" s="20" t="s">
        <v>176</v>
      </c>
      <c r="U869" s="16" t="s">
        <v>8348</v>
      </c>
      <c r="V869" s="16" t="s">
        <v>8349</v>
      </c>
      <c r="W869" s="30" t="s">
        <v>8350</v>
      </c>
      <c r="X869" s="18" t="s">
        <v>542</v>
      </c>
      <c r="Y869" s="18" t="s">
        <v>98</v>
      </c>
      <c r="Z869" s="18" t="s">
        <v>2215</v>
      </c>
      <c r="AA869" s="16" t="s">
        <v>7222</v>
      </c>
      <c r="AB869" s="16" t="s">
        <v>7223</v>
      </c>
      <c r="AC869" s="16" t="s">
        <v>7224</v>
      </c>
      <c r="AD869" s="123" t="str">
        <f t="shared" si="13"/>
        <v>External Transfer-Other banks</v>
      </c>
      <c r="AE869" s="123" t="str">
        <f>VLOOKUP(Table1[[#This Row],[Name of bank]],'اكواد البنوك'!$A$2:$B$34,2,0)</f>
        <v>BMISEGCXXXX</v>
      </c>
      <c r="AF869" s="21" t="s">
        <v>8191</v>
      </c>
      <c r="AG869" s="15" t="s">
        <v>49</v>
      </c>
    </row>
    <row r="870" spans="1:33">
      <c r="A870" s="14">
        <v>869</v>
      </c>
      <c r="B870" s="14" t="s">
        <v>8336</v>
      </c>
      <c r="C870" s="14" t="s">
        <v>8134</v>
      </c>
      <c r="D870" s="15" t="s">
        <v>1839</v>
      </c>
      <c r="E870" s="16" t="s">
        <v>8351</v>
      </c>
      <c r="F870" s="32" t="s">
        <v>8352</v>
      </c>
      <c r="G870" s="17" t="s">
        <v>8353</v>
      </c>
      <c r="H870" s="18" t="s">
        <v>8354</v>
      </c>
      <c r="I870" s="16" t="s">
        <v>8355</v>
      </c>
      <c r="J870" s="16" t="s">
        <v>86</v>
      </c>
      <c r="K870" s="16" t="s">
        <v>8356</v>
      </c>
      <c r="L870" s="16">
        <v>29894216</v>
      </c>
      <c r="M870" s="16" t="s">
        <v>8357</v>
      </c>
      <c r="N870" s="16" t="s">
        <v>8358</v>
      </c>
      <c r="O870" s="16" t="s">
        <v>8359</v>
      </c>
      <c r="P870" s="16" t="s">
        <v>8360</v>
      </c>
      <c r="Q870" s="16" t="s">
        <v>2215</v>
      </c>
      <c r="R870" s="16" t="s">
        <v>7267</v>
      </c>
      <c r="S870" s="19" t="s">
        <v>8351</v>
      </c>
      <c r="T870" s="20" t="s">
        <v>307</v>
      </c>
      <c r="U870" s="16" t="s">
        <v>3872</v>
      </c>
      <c r="V870" s="16" t="s">
        <v>8361</v>
      </c>
      <c r="W870" s="30" t="s">
        <v>8362</v>
      </c>
      <c r="X870" s="18" t="s">
        <v>542</v>
      </c>
      <c r="Y870" s="18" t="s">
        <v>98</v>
      </c>
      <c r="Z870" s="18" t="s">
        <v>2215</v>
      </c>
      <c r="AA870" s="16" t="s">
        <v>7222</v>
      </c>
      <c r="AB870" s="16" t="s">
        <v>7223</v>
      </c>
      <c r="AC870" s="16" t="s">
        <v>7224</v>
      </c>
      <c r="AD870" s="123" t="str">
        <f t="shared" si="13"/>
        <v>External Transfer-Other banks</v>
      </c>
      <c r="AE870" s="123" t="str">
        <f>VLOOKUP(Table1[[#This Row],[Name of bank]],'اكواد البنوك'!$A$2:$B$34,2,0)</f>
        <v>CIBEEGCXXXX</v>
      </c>
      <c r="AF870" s="21" t="s">
        <v>6459</v>
      </c>
      <c r="AG870" s="15" t="s">
        <v>49</v>
      </c>
    </row>
    <row r="871" spans="1:33">
      <c r="A871" s="14">
        <v>870</v>
      </c>
      <c r="B871" s="14" t="s">
        <v>8336</v>
      </c>
      <c r="C871" s="14" t="s">
        <v>8502</v>
      </c>
      <c r="D871" s="15" t="s">
        <v>1839</v>
      </c>
      <c r="E871" s="16" t="s">
        <v>8363</v>
      </c>
      <c r="F871" s="32" t="s">
        <v>8364</v>
      </c>
      <c r="G871" s="17" t="s">
        <v>8365</v>
      </c>
      <c r="H871" s="18" t="s">
        <v>8366</v>
      </c>
      <c r="I871" s="16" t="s">
        <v>8367</v>
      </c>
      <c r="J871" s="16" t="s">
        <v>173</v>
      </c>
      <c r="K871" s="16" t="s">
        <v>384</v>
      </c>
      <c r="L871" s="16">
        <v>45032764</v>
      </c>
      <c r="M871" s="16" t="s">
        <v>136</v>
      </c>
      <c r="N871" s="16" t="s">
        <v>8368</v>
      </c>
      <c r="O871" s="16" t="s">
        <v>8369</v>
      </c>
      <c r="P871" s="16" t="s">
        <v>8370</v>
      </c>
      <c r="Q871" s="16" t="s">
        <v>2215</v>
      </c>
      <c r="R871" s="16" t="s">
        <v>7267</v>
      </c>
      <c r="S871" s="19" t="s">
        <v>8371</v>
      </c>
      <c r="T871" s="20" t="s">
        <v>1914</v>
      </c>
      <c r="U871" s="16" t="s">
        <v>2886</v>
      </c>
      <c r="V871" s="16">
        <v>59100929632</v>
      </c>
      <c r="W871" s="30" t="s">
        <v>9919</v>
      </c>
      <c r="X871" s="18" t="s">
        <v>542</v>
      </c>
      <c r="Y871" s="18" t="s">
        <v>98</v>
      </c>
      <c r="Z871" s="18" t="s">
        <v>2215</v>
      </c>
      <c r="AA871" s="16" t="s">
        <v>7222</v>
      </c>
      <c r="AB871" s="16" t="s">
        <v>7223</v>
      </c>
      <c r="AC871" s="16" t="s">
        <v>7224</v>
      </c>
      <c r="AD871" s="123" t="str">
        <f t="shared" si="13"/>
        <v>External Transfer-Other banks</v>
      </c>
      <c r="AE871" s="123" t="str">
        <f>VLOOKUP(Table1[[#This Row],[Name of bank]],'اكواد البنوك'!$A$2:$B$34,2,0)</f>
        <v>MSHQEGCAXXX</v>
      </c>
      <c r="AF871" s="21">
        <v>4</v>
      </c>
      <c r="AG871" s="15" t="s">
        <v>167</v>
      </c>
    </row>
    <row r="872" spans="1:33">
      <c r="A872" s="14">
        <v>871</v>
      </c>
      <c r="B872" s="14" t="s">
        <v>8372</v>
      </c>
      <c r="C872" s="14" t="s">
        <v>1904</v>
      </c>
      <c r="D872" s="15" t="s">
        <v>1839</v>
      </c>
      <c r="E872" s="16" t="s">
        <v>8373</v>
      </c>
      <c r="F872" s="32" t="s">
        <v>8374</v>
      </c>
      <c r="G872" s="17" t="s">
        <v>8375</v>
      </c>
      <c r="H872" s="18" t="s">
        <v>8376</v>
      </c>
      <c r="I872" s="16" t="s">
        <v>8377</v>
      </c>
      <c r="J872" s="16" t="s">
        <v>1845</v>
      </c>
      <c r="K872" s="16" t="s">
        <v>2927</v>
      </c>
      <c r="L872" s="16">
        <v>25068736</v>
      </c>
      <c r="M872" s="16">
        <v>10067591</v>
      </c>
      <c r="N872" s="16" t="s">
        <v>8378</v>
      </c>
      <c r="O872" s="16" t="s">
        <v>8379</v>
      </c>
      <c r="P872" s="16" t="s">
        <v>8380</v>
      </c>
      <c r="Q872" s="16" t="s">
        <v>2215</v>
      </c>
      <c r="R872" s="16" t="s">
        <v>7267</v>
      </c>
      <c r="S872" s="19" t="s">
        <v>8373</v>
      </c>
      <c r="T872" s="20" t="s">
        <v>40</v>
      </c>
      <c r="U872" s="16" t="s">
        <v>6937</v>
      </c>
      <c r="V872" s="16" t="s">
        <v>8381</v>
      </c>
      <c r="W872" s="30" t="s">
        <v>8382</v>
      </c>
      <c r="X872" s="18" t="s">
        <v>542</v>
      </c>
      <c r="Y872" s="18" t="s">
        <v>98</v>
      </c>
      <c r="Z872" s="18" t="s">
        <v>2215</v>
      </c>
      <c r="AA872" s="16" t="s">
        <v>7222</v>
      </c>
      <c r="AB872" s="16" t="s">
        <v>7223</v>
      </c>
      <c r="AC872" s="16" t="s">
        <v>7224</v>
      </c>
      <c r="AD872" s="123" t="str">
        <f t="shared" si="13"/>
        <v>External Transfer-NBE</v>
      </c>
      <c r="AE872" s="123" t="str">
        <f>VLOOKUP(Table1[[#This Row],[Name of bank]],'اكواد البنوك'!$A$2:$B$34,2,0)</f>
        <v>NBEGEGCXXXX</v>
      </c>
      <c r="AF872" s="21" t="s">
        <v>2163</v>
      </c>
      <c r="AG872" s="15" t="s">
        <v>49</v>
      </c>
    </row>
    <row r="873" spans="1:33">
      <c r="A873" s="14">
        <v>872</v>
      </c>
      <c r="B873" s="14" t="s">
        <v>8372</v>
      </c>
      <c r="C873" s="14" t="s">
        <v>8502</v>
      </c>
      <c r="D873" s="15" t="s">
        <v>1839</v>
      </c>
      <c r="E873" s="16" t="s">
        <v>8383</v>
      </c>
      <c r="F873" s="32" t="s">
        <v>8384</v>
      </c>
      <c r="G873" s="17" t="s">
        <v>8385</v>
      </c>
      <c r="H873" s="18" t="s">
        <v>8386</v>
      </c>
      <c r="I873" s="16" t="s">
        <v>8387</v>
      </c>
      <c r="J873" s="16" t="s">
        <v>173</v>
      </c>
      <c r="K873" s="16" t="s">
        <v>336</v>
      </c>
      <c r="L873" s="16">
        <v>66130874</v>
      </c>
      <c r="M873" s="16" t="s">
        <v>136</v>
      </c>
      <c r="N873" s="16" t="s">
        <v>8388</v>
      </c>
      <c r="O873" s="16" t="s">
        <v>8389</v>
      </c>
      <c r="P873" s="16" t="s">
        <v>8390</v>
      </c>
      <c r="Q873" s="16" t="s">
        <v>2215</v>
      </c>
      <c r="R873" s="16" t="s">
        <v>7267</v>
      </c>
      <c r="S873" s="19" t="s">
        <v>8383</v>
      </c>
      <c r="T873" s="20" t="s">
        <v>176</v>
      </c>
      <c r="U873" s="16" t="s">
        <v>8391</v>
      </c>
      <c r="V873" s="16" t="s">
        <v>9920</v>
      </c>
      <c r="W873" s="30" t="s">
        <v>9921</v>
      </c>
      <c r="X873" s="18" t="s">
        <v>542</v>
      </c>
      <c r="Y873" s="18" t="s">
        <v>98</v>
      </c>
      <c r="Z873" s="18" t="s">
        <v>2215</v>
      </c>
      <c r="AA873" s="16" t="s">
        <v>7222</v>
      </c>
      <c r="AB873" s="16" t="s">
        <v>7223</v>
      </c>
      <c r="AC873" s="16" t="s">
        <v>7224</v>
      </c>
      <c r="AD873" s="123" t="str">
        <f t="shared" si="13"/>
        <v>External Transfer-Other banks</v>
      </c>
      <c r="AE873" s="123" t="str">
        <f>VLOOKUP(Table1[[#This Row],[Name of bank]],'اكواد البنوك'!$A$2:$B$34,2,0)</f>
        <v>BMISEGCXXXX</v>
      </c>
      <c r="AF873" s="21">
        <v>166</v>
      </c>
      <c r="AG873" s="15" t="s">
        <v>167</v>
      </c>
    </row>
    <row r="874" spans="1:33">
      <c r="A874" s="14">
        <v>873</v>
      </c>
      <c r="B874" s="14" t="s">
        <v>8392</v>
      </c>
      <c r="C874" s="14" t="s">
        <v>7716</v>
      </c>
      <c r="D874" s="15" t="s">
        <v>1839</v>
      </c>
      <c r="E874" s="16" t="s">
        <v>8393</v>
      </c>
      <c r="F874" s="32" t="s">
        <v>8394</v>
      </c>
      <c r="G874" s="17" t="s">
        <v>8395</v>
      </c>
      <c r="H874" s="18" t="s">
        <v>8396</v>
      </c>
      <c r="I874" s="16" t="s">
        <v>8397</v>
      </c>
      <c r="J874" s="16" t="s">
        <v>173</v>
      </c>
      <c r="K874" s="16" t="s">
        <v>384</v>
      </c>
      <c r="L874" s="16">
        <v>27539669</v>
      </c>
      <c r="M874" s="16" t="s">
        <v>8398</v>
      </c>
      <c r="N874" s="16" t="s">
        <v>8399</v>
      </c>
      <c r="O874" s="16" t="s">
        <v>8400</v>
      </c>
      <c r="P874" s="16" t="s">
        <v>8401</v>
      </c>
      <c r="Q874" s="16" t="s">
        <v>2215</v>
      </c>
      <c r="R874" s="16" t="s">
        <v>7267</v>
      </c>
      <c r="S874" s="19" t="s">
        <v>8402</v>
      </c>
      <c r="T874" s="20" t="s">
        <v>176</v>
      </c>
      <c r="U874" s="16" t="s">
        <v>8403</v>
      </c>
      <c r="V874" s="16" t="s">
        <v>8404</v>
      </c>
      <c r="W874" s="30" t="s">
        <v>8405</v>
      </c>
      <c r="X874" s="18" t="s">
        <v>542</v>
      </c>
      <c r="Y874" s="18" t="s">
        <v>98</v>
      </c>
      <c r="Z874" s="18" t="s">
        <v>2215</v>
      </c>
      <c r="AA874" s="16" t="s">
        <v>7222</v>
      </c>
      <c r="AB874" s="16" t="s">
        <v>7223</v>
      </c>
      <c r="AC874" s="16" t="s">
        <v>7224</v>
      </c>
      <c r="AD874" s="123" t="str">
        <f t="shared" si="13"/>
        <v>External Transfer-Other banks</v>
      </c>
      <c r="AE874" s="123" t="str">
        <f>VLOOKUP(Table1[[#This Row],[Name of bank]],'اكواد البنوك'!$A$2:$B$34,2,0)</f>
        <v>BMISEGCXXXX</v>
      </c>
      <c r="AF874" s="21" t="s">
        <v>8406</v>
      </c>
      <c r="AG874" s="15" t="s">
        <v>49</v>
      </c>
    </row>
    <row r="875" spans="1:33">
      <c r="A875" s="14">
        <v>874</v>
      </c>
      <c r="B875" s="14" t="s">
        <v>8392</v>
      </c>
      <c r="C875" s="14" t="s">
        <v>8526</v>
      </c>
      <c r="D875" s="15" t="s">
        <v>1839</v>
      </c>
      <c r="E875" s="16" t="s">
        <v>8407</v>
      </c>
      <c r="F875" s="32" t="s">
        <v>10003</v>
      </c>
      <c r="G875" s="17" t="s">
        <v>8408</v>
      </c>
      <c r="H875" s="18" t="s">
        <v>8409</v>
      </c>
      <c r="I875" s="16" t="s">
        <v>8410</v>
      </c>
      <c r="J875" s="16" t="s">
        <v>86</v>
      </c>
      <c r="K875" s="16" t="s">
        <v>7097</v>
      </c>
      <c r="L875" s="16" t="s">
        <v>136</v>
      </c>
      <c r="M875" s="16" t="s">
        <v>136</v>
      </c>
      <c r="N875" s="16" t="s">
        <v>8411</v>
      </c>
      <c r="O875" s="16" t="s">
        <v>8412</v>
      </c>
      <c r="P875" s="16" t="s">
        <v>8413</v>
      </c>
      <c r="Q875" s="16" t="s">
        <v>2215</v>
      </c>
      <c r="R875" s="16" t="s">
        <v>7267</v>
      </c>
      <c r="S875" s="19" t="s">
        <v>8414</v>
      </c>
      <c r="T875" s="20" t="s">
        <v>307</v>
      </c>
      <c r="U875" s="16" t="s">
        <v>1926</v>
      </c>
      <c r="V875" s="16" t="s">
        <v>8415</v>
      </c>
      <c r="W875" s="30" t="s">
        <v>8416</v>
      </c>
      <c r="X875" s="18" t="s">
        <v>542</v>
      </c>
      <c r="Y875" s="18" t="s">
        <v>98</v>
      </c>
      <c r="Z875" s="18" t="s">
        <v>2215</v>
      </c>
      <c r="AA875" s="16" t="s">
        <v>7222</v>
      </c>
      <c r="AB875" s="16" t="s">
        <v>7223</v>
      </c>
      <c r="AC875" s="16" t="s">
        <v>7224</v>
      </c>
      <c r="AD875" s="123" t="str">
        <f t="shared" si="13"/>
        <v>External Transfer-Other banks</v>
      </c>
      <c r="AE875" s="123" t="str">
        <f>VLOOKUP(Table1[[#This Row],[Name of bank]],'اكواد البنوك'!$A$2:$B$34,2,0)</f>
        <v>CIBEEGCXXXX</v>
      </c>
      <c r="AF875" s="21">
        <v>92</v>
      </c>
      <c r="AG875" s="15" t="s">
        <v>167</v>
      </c>
    </row>
    <row r="876" spans="1:33">
      <c r="A876" s="14">
        <v>875</v>
      </c>
      <c r="B876" s="14" t="s">
        <v>8392</v>
      </c>
      <c r="C876" s="14" t="s">
        <v>7754</v>
      </c>
      <c r="D876" s="15" t="s">
        <v>1839</v>
      </c>
      <c r="E876" s="16" t="s">
        <v>8417</v>
      </c>
      <c r="F876" s="32" t="s">
        <v>8418</v>
      </c>
      <c r="G876" s="17" t="s">
        <v>8419</v>
      </c>
      <c r="H876" s="18" t="s">
        <v>8420</v>
      </c>
      <c r="I876" s="16" t="s">
        <v>7813</v>
      </c>
      <c r="J876" s="16" t="s">
        <v>86</v>
      </c>
      <c r="K876" s="16" t="s">
        <v>160</v>
      </c>
      <c r="L876" s="16">
        <v>13134605</v>
      </c>
      <c r="M876" s="16" t="s">
        <v>234</v>
      </c>
      <c r="N876" s="16" t="s">
        <v>8421</v>
      </c>
      <c r="O876" s="16" t="s">
        <v>8422</v>
      </c>
      <c r="P876" s="16" t="s">
        <v>8423</v>
      </c>
      <c r="Q876" s="16" t="s">
        <v>2215</v>
      </c>
      <c r="R876" s="16" t="s">
        <v>7267</v>
      </c>
      <c r="S876" s="19" t="s">
        <v>8424</v>
      </c>
      <c r="T876" s="20" t="s">
        <v>176</v>
      </c>
      <c r="U876" s="16" t="s">
        <v>8425</v>
      </c>
      <c r="V876" s="16" t="s">
        <v>8426</v>
      </c>
      <c r="W876" s="30" t="s">
        <v>8427</v>
      </c>
      <c r="X876" s="18" t="s">
        <v>542</v>
      </c>
      <c r="Y876" s="18" t="s">
        <v>98</v>
      </c>
      <c r="Z876" s="18" t="s">
        <v>2215</v>
      </c>
      <c r="AA876" s="16" t="s">
        <v>7222</v>
      </c>
      <c r="AB876" s="16" t="s">
        <v>7223</v>
      </c>
      <c r="AC876" s="16" t="s">
        <v>7224</v>
      </c>
      <c r="AD876" s="123" t="str">
        <f t="shared" si="13"/>
        <v>External Transfer-Other banks</v>
      </c>
      <c r="AE876" s="123" t="str">
        <f>VLOOKUP(Table1[[#This Row],[Name of bank]],'اكواد البنوك'!$A$2:$B$34,2,0)</f>
        <v>BMISEGCXXXX</v>
      </c>
      <c r="AF876" s="21" t="s">
        <v>10273</v>
      </c>
      <c r="AG876" s="15" t="s">
        <v>167</v>
      </c>
    </row>
    <row r="877" spans="1:33">
      <c r="A877" s="14">
        <v>876</v>
      </c>
      <c r="B877" s="14" t="s">
        <v>8428</v>
      </c>
      <c r="C877" s="14" t="s">
        <v>7609</v>
      </c>
      <c r="D877" s="15" t="s">
        <v>1839</v>
      </c>
      <c r="E877" s="16" t="s">
        <v>8429</v>
      </c>
      <c r="F877" s="32" t="s">
        <v>8430</v>
      </c>
      <c r="G877" s="17" t="s">
        <v>8431</v>
      </c>
      <c r="H877" s="18" t="s">
        <v>8432</v>
      </c>
      <c r="I877" s="16" t="s">
        <v>8433</v>
      </c>
      <c r="J877" s="16" t="s">
        <v>173</v>
      </c>
      <c r="K877" s="16" t="s">
        <v>106</v>
      </c>
      <c r="L877" s="16">
        <v>66161625</v>
      </c>
      <c r="M877" s="16">
        <v>0</v>
      </c>
      <c r="N877" s="16">
        <v>29207192300145</v>
      </c>
      <c r="O877" s="16" t="s">
        <v>8434</v>
      </c>
      <c r="P877" s="16" t="s">
        <v>8435</v>
      </c>
      <c r="Q877" s="16" t="s">
        <v>2215</v>
      </c>
      <c r="R877" s="16" t="s">
        <v>7267</v>
      </c>
      <c r="S877" s="19" t="s">
        <v>8436</v>
      </c>
      <c r="T877" s="20" t="s">
        <v>40</v>
      </c>
      <c r="U877" s="16" t="s">
        <v>4254</v>
      </c>
      <c r="V877" s="16" t="s">
        <v>8437</v>
      </c>
      <c r="W877" s="30" t="s">
        <v>10272</v>
      </c>
      <c r="X877" s="18" t="s">
        <v>542</v>
      </c>
      <c r="Y877" s="18" t="s">
        <v>98</v>
      </c>
      <c r="Z877" s="18" t="s">
        <v>2215</v>
      </c>
      <c r="AA877" s="16" t="s">
        <v>7222</v>
      </c>
      <c r="AB877" s="16" t="s">
        <v>7223</v>
      </c>
      <c r="AC877" s="16" t="s">
        <v>7224</v>
      </c>
      <c r="AD877" s="123" t="str">
        <f t="shared" si="13"/>
        <v>External Transfer-NBE</v>
      </c>
      <c r="AE877" s="123" t="str">
        <f>VLOOKUP(Table1[[#This Row],[Name of bank]],'اكواد البنوك'!$A$2:$B$34,2,0)</f>
        <v>NBEGEGCXXXX</v>
      </c>
      <c r="AF877" s="21" t="s">
        <v>3144</v>
      </c>
      <c r="AG877" s="15" t="s">
        <v>167</v>
      </c>
    </row>
    <row r="878" spans="1:33">
      <c r="A878" s="14">
        <v>877</v>
      </c>
      <c r="B878" s="14" t="s">
        <v>8428</v>
      </c>
      <c r="C878" s="14" t="s">
        <v>8526</v>
      </c>
      <c r="D878" s="15" t="s">
        <v>1839</v>
      </c>
      <c r="E878" s="16" t="s">
        <v>8439</v>
      </c>
      <c r="F878" s="32" t="s">
        <v>8440</v>
      </c>
      <c r="G878" s="17" t="s">
        <v>8441</v>
      </c>
      <c r="H878" s="18" t="s">
        <v>8442</v>
      </c>
      <c r="I878" s="16" t="s">
        <v>8367</v>
      </c>
      <c r="J878" s="16" t="s">
        <v>173</v>
      </c>
      <c r="K878" s="16" t="s">
        <v>2284</v>
      </c>
      <c r="L878" s="16" t="s">
        <v>136</v>
      </c>
      <c r="M878" s="16" t="s">
        <v>136</v>
      </c>
      <c r="N878" s="16" t="s">
        <v>8443</v>
      </c>
      <c r="O878" s="16" t="s">
        <v>8444</v>
      </c>
      <c r="P878" s="16" t="s">
        <v>8445</v>
      </c>
      <c r="Q878" s="16" t="s">
        <v>2215</v>
      </c>
      <c r="R878" s="16" t="s">
        <v>7267</v>
      </c>
      <c r="S878" s="19" t="s">
        <v>8446</v>
      </c>
      <c r="T878" s="20" t="s">
        <v>176</v>
      </c>
      <c r="U878" s="16" t="s">
        <v>9922</v>
      </c>
      <c r="V878" s="16" t="s">
        <v>9923</v>
      </c>
      <c r="W878" s="30" t="s">
        <v>9924</v>
      </c>
      <c r="X878" s="18" t="s">
        <v>542</v>
      </c>
      <c r="Y878" s="18" t="s">
        <v>98</v>
      </c>
      <c r="Z878" s="18" t="s">
        <v>2215</v>
      </c>
      <c r="AA878" s="16" t="s">
        <v>7222</v>
      </c>
      <c r="AB878" s="16" t="s">
        <v>7223</v>
      </c>
      <c r="AC878" s="16" t="s">
        <v>7224</v>
      </c>
      <c r="AD878" s="123" t="str">
        <f t="shared" si="13"/>
        <v>External Transfer-Other banks</v>
      </c>
      <c r="AE878" s="123" t="str">
        <f>VLOOKUP(Table1[[#This Row],[Name of bank]],'اكواد البنوك'!$A$2:$B$34,2,0)</f>
        <v>BMISEGCXXXX</v>
      </c>
      <c r="AF878" s="21">
        <v>180</v>
      </c>
      <c r="AG878" s="15" t="s">
        <v>167</v>
      </c>
    </row>
    <row r="879" spans="1:33">
      <c r="A879" s="14">
        <v>878</v>
      </c>
      <c r="B879" s="14" t="s">
        <v>8447</v>
      </c>
      <c r="C879" s="14" t="s">
        <v>7645</v>
      </c>
      <c r="D879" s="15" t="s">
        <v>1839</v>
      </c>
      <c r="E879" s="16" t="s">
        <v>8448</v>
      </c>
      <c r="F879" s="32" t="s">
        <v>8449</v>
      </c>
      <c r="G879" s="17" t="s">
        <v>8450</v>
      </c>
      <c r="H879" s="18" t="s">
        <v>8451</v>
      </c>
      <c r="I879" s="16" t="s">
        <v>8452</v>
      </c>
      <c r="J879" s="16" t="s">
        <v>2035</v>
      </c>
      <c r="K879" s="16" t="s">
        <v>1206</v>
      </c>
      <c r="L879" s="16">
        <v>19100856</v>
      </c>
      <c r="M879" s="16">
        <v>55534988</v>
      </c>
      <c r="N879" s="16" t="s">
        <v>8453</v>
      </c>
      <c r="O879" s="16" t="s">
        <v>8454</v>
      </c>
      <c r="P879" s="16" t="s">
        <v>8455</v>
      </c>
      <c r="Q879" s="16" t="s">
        <v>2215</v>
      </c>
      <c r="R879" s="16" t="s">
        <v>7267</v>
      </c>
      <c r="S879" s="19" t="s">
        <v>8449</v>
      </c>
      <c r="T879" s="20" t="s">
        <v>40</v>
      </c>
      <c r="U879" s="16" t="s">
        <v>7314</v>
      </c>
      <c r="V879" s="16" t="s">
        <v>8456</v>
      </c>
      <c r="W879" s="30" t="s">
        <v>8457</v>
      </c>
      <c r="X879" s="18" t="s">
        <v>542</v>
      </c>
      <c r="Y879" s="18" t="s">
        <v>98</v>
      </c>
      <c r="Z879" s="18" t="s">
        <v>2215</v>
      </c>
      <c r="AA879" s="16" t="s">
        <v>7222</v>
      </c>
      <c r="AB879" s="16" t="s">
        <v>7223</v>
      </c>
      <c r="AC879" s="16" t="s">
        <v>7224</v>
      </c>
      <c r="AD879" s="123" t="str">
        <f t="shared" si="13"/>
        <v>External Transfer-NBE</v>
      </c>
      <c r="AE879" s="123" t="str">
        <f>VLOOKUP(Table1[[#This Row],[Name of bank]],'اكواد البنوك'!$A$2:$B$34,2,0)</f>
        <v>NBEGEGCXXXX</v>
      </c>
      <c r="AF879" s="21" t="s">
        <v>1745</v>
      </c>
      <c r="AG879" s="15" t="s">
        <v>49</v>
      </c>
    </row>
    <row r="880" spans="1:33">
      <c r="A880" s="14">
        <v>879</v>
      </c>
      <c r="B880" s="14" t="s">
        <v>8447</v>
      </c>
      <c r="C880" s="14" t="e">
        <v>#N/A</v>
      </c>
      <c r="D880" s="15" t="s">
        <v>1839</v>
      </c>
      <c r="E880" s="16" t="s">
        <v>8458</v>
      </c>
      <c r="F880" s="32" t="s">
        <v>8459</v>
      </c>
      <c r="G880" s="17" t="s">
        <v>8460</v>
      </c>
      <c r="H880" s="18" t="s">
        <v>8461</v>
      </c>
      <c r="I880" s="16" t="s">
        <v>8462</v>
      </c>
      <c r="J880" s="16" t="s">
        <v>173</v>
      </c>
      <c r="K880" s="16" t="s">
        <v>257</v>
      </c>
      <c r="L880" s="16">
        <v>67957102</v>
      </c>
      <c r="M880" s="16" t="s">
        <v>136</v>
      </c>
      <c r="N880" s="16" t="s">
        <v>8463</v>
      </c>
      <c r="O880" s="16" t="s">
        <v>8464</v>
      </c>
      <c r="P880" s="16" t="s">
        <v>8465</v>
      </c>
      <c r="Q880" s="16" t="s">
        <v>2215</v>
      </c>
      <c r="R880" s="16" t="s">
        <v>7267</v>
      </c>
      <c r="S880" s="19" t="s">
        <v>8466</v>
      </c>
      <c r="T880" s="20" t="s">
        <v>7790</v>
      </c>
      <c r="U880" s="16" t="s">
        <v>8467</v>
      </c>
      <c r="V880" s="16" t="s">
        <v>8468</v>
      </c>
      <c r="W880" s="30" t="s">
        <v>8469</v>
      </c>
      <c r="X880" s="18" t="s">
        <v>542</v>
      </c>
      <c r="Y880" s="18" t="s">
        <v>98</v>
      </c>
      <c r="Z880" s="18" t="s">
        <v>2215</v>
      </c>
      <c r="AA880" s="16" t="s">
        <v>7222</v>
      </c>
      <c r="AB880" s="16" t="s">
        <v>7223</v>
      </c>
      <c r="AC880" s="16" t="s">
        <v>7224</v>
      </c>
      <c r="AD880" s="123" t="str">
        <f t="shared" si="13"/>
        <v>External Transfer-Other banks</v>
      </c>
      <c r="AE880" s="123" t="str">
        <f>VLOOKUP(Table1[[#This Row],[Name of bank]],'اكواد البنوك'!$A$2:$B$34,2,0)</f>
        <v>SBNKEGCXXXX</v>
      </c>
      <c r="AF880" s="21" t="s">
        <v>7795</v>
      </c>
      <c r="AG880" s="15" t="s">
        <v>49</v>
      </c>
    </row>
    <row r="881" spans="1:33">
      <c r="A881" s="14">
        <v>880</v>
      </c>
      <c r="B881" s="14" t="s">
        <v>8447</v>
      </c>
      <c r="C881" s="14" t="s">
        <v>7780</v>
      </c>
      <c r="D881" s="15" t="s">
        <v>1839</v>
      </c>
      <c r="E881" s="16" t="s">
        <v>8470</v>
      </c>
      <c r="F881" s="32" t="s">
        <v>10051</v>
      </c>
      <c r="G881" s="17" t="s">
        <v>8471</v>
      </c>
      <c r="H881" s="18" t="s">
        <v>8472</v>
      </c>
      <c r="I881" s="16" t="s">
        <v>7473</v>
      </c>
      <c r="J881" s="16" t="s">
        <v>173</v>
      </c>
      <c r="K881" s="16" t="s">
        <v>136</v>
      </c>
      <c r="L881" s="16" t="s">
        <v>136</v>
      </c>
      <c r="M881" s="16" t="s">
        <v>136</v>
      </c>
      <c r="N881" s="16" t="s">
        <v>8473</v>
      </c>
      <c r="O881" s="16" t="s">
        <v>8474</v>
      </c>
      <c r="P881" s="16" t="s">
        <v>8475</v>
      </c>
      <c r="Q881" s="16" t="s">
        <v>2215</v>
      </c>
      <c r="R881" s="16" t="s">
        <v>7267</v>
      </c>
      <c r="S881" s="19" t="s">
        <v>9925</v>
      </c>
      <c r="T881" s="20" t="s">
        <v>307</v>
      </c>
      <c r="U881" s="16" t="s">
        <v>9926</v>
      </c>
      <c r="V881" s="16" t="s">
        <v>8476</v>
      </c>
      <c r="W881" s="30" t="s">
        <v>8477</v>
      </c>
      <c r="X881" s="18" t="s">
        <v>542</v>
      </c>
      <c r="Y881" s="18" t="s">
        <v>98</v>
      </c>
      <c r="Z881" s="18" t="s">
        <v>2215</v>
      </c>
      <c r="AA881" s="16" t="s">
        <v>7222</v>
      </c>
      <c r="AB881" s="16" t="s">
        <v>7223</v>
      </c>
      <c r="AC881" s="16" t="s">
        <v>7224</v>
      </c>
      <c r="AD881" s="123" t="str">
        <f t="shared" si="13"/>
        <v>External Transfer-Other banks</v>
      </c>
      <c r="AE881" s="123" t="str">
        <f>VLOOKUP(Table1[[#This Row],[Name of bank]],'اكواد البنوك'!$A$2:$B$34,2,0)</f>
        <v>CIBEEGCXXXX</v>
      </c>
      <c r="AF881" s="21">
        <v>130</v>
      </c>
      <c r="AG881" s="15" t="s">
        <v>167</v>
      </c>
    </row>
    <row r="882" spans="1:33">
      <c r="A882" s="14">
        <v>881</v>
      </c>
      <c r="B882" s="14" t="s">
        <v>8478</v>
      </c>
      <c r="C882" s="14" t="e">
        <v>#N/A</v>
      </c>
      <c r="D882" s="15" t="s">
        <v>1839</v>
      </c>
      <c r="E882" s="16" t="s">
        <v>8479</v>
      </c>
      <c r="F882" s="32" t="s">
        <v>8480</v>
      </c>
      <c r="G882" s="17" t="s">
        <v>8481</v>
      </c>
      <c r="H882" s="18" t="s">
        <v>8482</v>
      </c>
      <c r="I882" s="16" t="s">
        <v>8483</v>
      </c>
      <c r="J882" s="16" t="s">
        <v>173</v>
      </c>
      <c r="K882" s="16" t="s">
        <v>384</v>
      </c>
      <c r="L882" s="16" t="s">
        <v>8484</v>
      </c>
      <c r="M882" s="16" t="s">
        <v>136</v>
      </c>
      <c r="N882" s="16" t="s">
        <v>8485</v>
      </c>
      <c r="O882" s="16" t="s">
        <v>8486</v>
      </c>
      <c r="P882" s="16" t="s">
        <v>8487</v>
      </c>
      <c r="Q882" s="16" t="s">
        <v>2215</v>
      </c>
      <c r="R882" s="16" t="s">
        <v>7267</v>
      </c>
      <c r="S882" s="19" t="s">
        <v>8480</v>
      </c>
      <c r="T882" s="20" t="s">
        <v>40</v>
      </c>
      <c r="U882" s="16" t="s">
        <v>8488</v>
      </c>
      <c r="V882" s="16" t="s">
        <v>8489</v>
      </c>
      <c r="W882" s="30" t="s">
        <v>8490</v>
      </c>
      <c r="X882" s="18" t="s">
        <v>542</v>
      </c>
      <c r="Y882" s="18" t="s">
        <v>98</v>
      </c>
      <c r="Z882" s="18" t="s">
        <v>2215</v>
      </c>
      <c r="AA882" s="16" t="s">
        <v>7222</v>
      </c>
      <c r="AB882" s="16" t="s">
        <v>7223</v>
      </c>
      <c r="AC882" s="16" t="s">
        <v>7224</v>
      </c>
      <c r="AD882" s="123" t="str">
        <f t="shared" si="13"/>
        <v>External Transfer-NBE</v>
      </c>
      <c r="AE882" s="123" t="str">
        <f>VLOOKUP(Table1[[#This Row],[Name of bank]],'اكواد البنوك'!$A$2:$B$34,2,0)</f>
        <v>NBEGEGCXXXX</v>
      </c>
      <c r="AF882" s="21" t="s">
        <v>4414</v>
      </c>
      <c r="AG882" s="15" t="s">
        <v>49</v>
      </c>
    </row>
    <row r="883" spans="1:33">
      <c r="A883" s="14">
        <v>882</v>
      </c>
      <c r="B883" s="14" t="s">
        <v>8478</v>
      </c>
      <c r="C883" s="14" t="e">
        <v>#N/A</v>
      </c>
      <c r="D883" s="15" t="s">
        <v>1839</v>
      </c>
      <c r="E883" s="43" t="s">
        <v>8491</v>
      </c>
      <c r="F883" s="32" t="s">
        <v>8492</v>
      </c>
      <c r="G883" s="17" t="s">
        <v>8493</v>
      </c>
      <c r="H883" s="18" t="s">
        <v>8494</v>
      </c>
      <c r="I883" s="16" t="s">
        <v>7827</v>
      </c>
      <c r="J883" s="16" t="s">
        <v>173</v>
      </c>
      <c r="K883" s="16" t="s">
        <v>8495</v>
      </c>
      <c r="L883" s="16">
        <v>55778657</v>
      </c>
      <c r="M883" s="16" t="s">
        <v>136</v>
      </c>
      <c r="N883" s="16" t="s">
        <v>8496</v>
      </c>
      <c r="O883" s="16" t="s">
        <v>8497</v>
      </c>
      <c r="P883" s="16" t="s">
        <v>8498</v>
      </c>
      <c r="Q883" s="16" t="s">
        <v>2215</v>
      </c>
      <c r="R883" s="16" t="s">
        <v>7267</v>
      </c>
      <c r="S883" s="41" t="s">
        <v>8499</v>
      </c>
      <c r="T883" s="42" t="s">
        <v>93</v>
      </c>
      <c r="U883" s="43" t="s">
        <v>8500</v>
      </c>
      <c r="V883" s="44" t="s">
        <v>8501</v>
      </c>
      <c r="W883" s="45" t="s">
        <v>10279</v>
      </c>
      <c r="X883" s="46" t="s">
        <v>542</v>
      </c>
      <c r="Y883" s="46" t="s">
        <v>98</v>
      </c>
      <c r="Z883" s="47" t="s">
        <v>2215</v>
      </c>
      <c r="AA883" s="48" t="s">
        <v>7222</v>
      </c>
      <c r="AB883" s="48" t="s">
        <v>7223</v>
      </c>
      <c r="AC883" s="48" t="s">
        <v>7224</v>
      </c>
      <c r="AD883" s="123" t="str">
        <f t="shared" si="13"/>
        <v>External Transfer-Other banks</v>
      </c>
      <c r="AE883" s="123" t="s">
        <v>99</v>
      </c>
      <c r="AF883" s="49" t="s">
        <v>4336</v>
      </c>
      <c r="AG883" s="50" t="s">
        <v>167</v>
      </c>
    </row>
    <row r="884" spans="1:33">
      <c r="A884" s="14">
        <v>883</v>
      </c>
      <c r="B884" s="14" t="s">
        <v>8502</v>
      </c>
      <c r="C884" s="14" t="e">
        <v>#N/A</v>
      </c>
      <c r="D884" s="15" t="s">
        <v>1839</v>
      </c>
      <c r="E884" s="16" t="s">
        <v>8503</v>
      </c>
      <c r="F884" s="32" t="s">
        <v>8504</v>
      </c>
      <c r="G884" s="17" t="s">
        <v>8505</v>
      </c>
      <c r="H884" s="18" t="s">
        <v>8506</v>
      </c>
      <c r="I884" s="16" t="s">
        <v>8507</v>
      </c>
      <c r="J884" s="16" t="s">
        <v>86</v>
      </c>
      <c r="K884" s="16" t="s">
        <v>1910</v>
      </c>
      <c r="L884" s="16">
        <v>65718799</v>
      </c>
      <c r="M884" s="16" t="s">
        <v>8508</v>
      </c>
      <c r="N884" s="16" t="s">
        <v>8509</v>
      </c>
      <c r="O884" s="16" t="s">
        <v>8510</v>
      </c>
      <c r="P884" s="16" t="s">
        <v>8511</v>
      </c>
      <c r="Q884" s="16" t="s">
        <v>2215</v>
      </c>
      <c r="R884" s="16" t="s">
        <v>7267</v>
      </c>
      <c r="S884" s="19" t="s">
        <v>8512</v>
      </c>
      <c r="T884" s="20" t="s">
        <v>40</v>
      </c>
      <c r="U884" s="16" t="s">
        <v>8513</v>
      </c>
      <c r="V884" s="16" t="s">
        <v>8514</v>
      </c>
      <c r="W884" s="30" t="s">
        <v>8515</v>
      </c>
      <c r="X884" s="18" t="s">
        <v>542</v>
      </c>
      <c r="Y884" s="18" t="s">
        <v>98</v>
      </c>
      <c r="Z884" s="18" t="s">
        <v>2215</v>
      </c>
      <c r="AA884" s="16" t="s">
        <v>7222</v>
      </c>
      <c r="AB884" s="16" t="s">
        <v>7223</v>
      </c>
      <c r="AC884" s="16" t="s">
        <v>7224</v>
      </c>
      <c r="AD884" s="123" t="str">
        <f t="shared" si="13"/>
        <v>External Transfer-NBE</v>
      </c>
      <c r="AE884" s="123" t="str">
        <f>VLOOKUP(Table1[[#This Row],[Name of bank]],'اكواد البنوك'!$A$2:$B$34,2,0)</f>
        <v>NBEGEGCXXXX</v>
      </c>
      <c r="AF884" s="21" t="s">
        <v>8516</v>
      </c>
      <c r="AG884" s="15" t="s">
        <v>49</v>
      </c>
    </row>
    <row r="885" spans="1:33">
      <c r="A885" s="14">
        <v>884</v>
      </c>
      <c r="B885" s="14" t="s">
        <v>8502</v>
      </c>
      <c r="C885" s="14" t="s">
        <v>8544</v>
      </c>
      <c r="D885" s="15" t="s">
        <v>1839</v>
      </c>
      <c r="E885" s="16" t="s">
        <v>8517</v>
      </c>
      <c r="F885" s="32" t="s">
        <v>8518</v>
      </c>
      <c r="G885" s="17" t="s">
        <v>8519</v>
      </c>
      <c r="H885" s="18" t="s">
        <v>8520</v>
      </c>
      <c r="I885" s="16" t="s">
        <v>8323</v>
      </c>
      <c r="J885" s="16" t="s">
        <v>86</v>
      </c>
      <c r="K885" s="16" t="s">
        <v>1910</v>
      </c>
      <c r="L885" s="16">
        <v>56903291</v>
      </c>
      <c r="M885" s="16" t="s">
        <v>136</v>
      </c>
      <c r="N885" s="16" t="s">
        <v>8521</v>
      </c>
      <c r="O885" s="16" t="s">
        <v>8522</v>
      </c>
      <c r="P885" s="16" t="s">
        <v>8523</v>
      </c>
      <c r="Q885" s="16" t="s">
        <v>2215</v>
      </c>
      <c r="R885" s="16" t="s">
        <v>7267</v>
      </c>
      <c r="S885" s="19" t="s">
        <v>8524</v>
      </c>
      <c r="T885" s="20" t="s">
        <v>40</v>
      </c>
      <c r="U885" s="16" t="s">
        <v>3026</v>
      </c>
      <c r="V885" s="16" t="s">
        <v>9927</v>
      </c>
      <c r="W885" s="30" t="s">
        <v>8525</v>
      </c>
      <c r="X885" s="18" t="s">
        <v>542</v>
      </c>
      <c r="Y885" s="18" t="s">
        <v>98</v>
      </c>
      <c r="Z885" s="18" t="s">
        <v>2215</v>
      </c>
      <c r="AA885" s="16" t="s">
        <v>7222</v>
      </c>
      <c r="AB885" s="16" t="s">
        <v>7223</v>
      </c>
      <c r="AC885" s="16" t="s">
        <v>7224</v>
      </c>
      <c r="AD885" s="123" t="str">
        <f t="shared" si="13"/>
        <v>External Transfer-NBE</v>
      </c>
      <c r="AE885" s="123" t="str">
        <f>VLOOKUP(Table1[[#This Row],[Name of bank]],'اكواد البنوك'!$A$2:$B$34,2,0)</f>
        <v>NBEGEGCXXXX</v>
      </c>
      <c r="AF885" s="21">
        <v>187</v>
      </c>
      <c r="AG885" s="15" t="s">
        <v>167</v>
      </c>
    </row>
    <row r="886" spans="1:33">
      <c r="A886" s="14">
        <v>885</v>
      </c>
      <c r="B886" s="14" t="s">
        <v>8526</v>
      </c>
      <c r="C886" s="14" t="e">
        <v>#N/A</v>
      </c>
      <c r="D886" s="15" t="s">
        <v>1839</v>
      </c>
      <c r="E886" s="16" t="s">
        <v>8527</v>
      </c>
      <c r="F886" s="32" t="s">
        <v>8528</v>
      </c>
      <c r="G886" s="17" t="s">
        <v>8529</v>
      </c>
      <c r="H886" s="18" t="s">
        <v>8530</v>
      </c>
      <c r="I886" s="16" t="s">
        <v>8531</v>
      </c>
      <c r="J886" s="16" t="s">
        <v>86</v>
      </c>
      <c r="K886" s="16" t="s">
        <v>8532</v>
      </c>
      <c r="L886" s="16" t="s">
        <v>136</v>
      </c>
      <c r="M886" s="16" t="s">
        <v>136</v>
      </c>
      <c r="N886" s="16" t="s">
        <v>8533</v>
      </c>
      <c r="O886" s="16" t="s">
        <v>8534</v>
      </c>
      <c r="P886" s="16" t="s">
        <v>8535</v>
      </c>
      <c r="Q886" s="16" t="s">
        <v>2215</v>
      </c>
      <c r="R886" s="16" t="s">
        <v>7267</v>
      </c>
      <c r="S886" s="19" t="s">
        <v>8536</v>
      </c>
      <c r="T886" s="20" t="s">
        <v>40</v>
      </c>
      <c r="U886" s="16" t="s">
        <v>8537</v>
      </c>
      <c r="V886" s="16" t="s">
        <v>8538</v>
      </c>
      <c r="W886" s="30" t="s">
        <v>8539</v>
      </c>
      <c r="X886" s="18" t="s">
        <v>542</v>
      </c>
      <c r="Y886" s="18" t="s">
        <v>98</v>
      </c>
      <c r="Z886" s="18" t="s">
        <v>2215</v>
      </c>
      <c r="AA886" s="16" t="s">
        <v>7222</v>
      </c>
      <c r="AB886" s="16" t="s">
        <v>7223</v>
      </c>
      <c r="AC886" s="16" t="s">
        <v>7224</v>
      </c>
      <c r="AD886" s="123" t="str">
        <f t="shared" si="13"/>
        <v>External Transfer-NBE</v>
      </c>
      <c r="AE886" s="123" t="str">
        <f>VLOOKUP(Table1[[#This Row],[Name of bank]],'اكواد البنوك'!$A$2:$B$34,2,0)</f>
        <v>NBEGEGCXXXX</v>
      </c>
      <c r="AF886" s="21" t="s">
        <v>4350</v>
      </c>
      <c r="AG886" s="15" t="s">
        <v>49</v>
      </c>
    </row>
    <row r="887" spans="1:33">
      <c r="A887" s="14">
        <v>886</v>
      </c>
      <c r="B887" s="14" t="s">
        <v>8526</v>
      </c>
      <c r="C887" s="14" t="e">
        <v>#N/A</v>
      </c>
      <c r="D887" s="15" t="s">
        <v>1831</v>
      </c>
      <c r="E887" s="16" t="s">
        <v>8540</v>
      </c>
      <c r="F887" s="32" t="s">
        <v>9994</v>
      </c>
      <c r="G887" s="17" t="s">
        <v>8541</v>
      </c>
      <c r="H887" s="18" t="s">
        <v>8542</v>
      </c>
      <c r="I887" s="16"/>
      <c r="J887" s="16" t="s">
        <v>1831</v>
      </c>
      <c r="K887" s="16"/>
      <c r="L887" s="16">
        <v>63779103</v>
      </c>
      <c r="M887" s="16"/>
      <c r="N887" s="16" t="s">
        <v>8543</v>
      </c>
      <c r="O887" s="16"/>
      <c r="P887" s="16"/>
      <c r="Q887" s="16" t="s">
        <v>2215</v>
      </c>
      <c r="R887" s="16" t="s">
        <v>7267</v>
      </c>
      <c r="S887" s="19"/>
      <c r="T887" s="20" t="s">
        <v>1837</v>
      </c>
      <c r="U887" s="16"/>
      <c r="V887" s="16"/>
      <c r="W887" s="30" t="s">
        <v>1838</v>
      </c>
      <c r="X887" s="18" t="s">
        <v>542</v>
      </c>
      <c r="Y887" s="18" t="s">
        <v>98</v>
      </c>
      <c r="Z887" s="18" t="s">
        <v>2215</v>
      </c>
      <c r="AA887" s="16" t="s">
        <v>7222</v>
      </c>
      <c r="AB887" s="16" t="s">
        <v>7223</v>
      </c>
      <c r="AC887" s="16" t="s">
        <v>7224</v>
      </c>
      <c r="AD887" s="123" t="str">
        <f t="shared" si="13"/>
        <v>FUE</v>
      </c>
      <c r="AE887" s="123" t="str">
        <f>VLOOKUP(Table1[[#This Row],[Name of bank]],'اكواد البنوك'!$A$2:$B$34,2,0)</f>
        <v>FUE</v>
      </c>
      <c r="AF887" s="21" t="s">
        <v>1838</v>
      </c>
      <c r="AG887" s="15" t="s">
        <v>167</v>
      </c>
    </row>
    <row r="888" spans="1:33">
      <c r="A888" s="14">
        <v>887</v>
      </c>
      <c r="B888" s="14" t="s">
        <v>8544</v>
      </c>
      <c r="C888" s="14" t="e">
        <v>#N/A</v>
      </c>
      <c r="D888" s="15" t="s">
        <v>1839</v>
      </c>
      <c r="E888" s="16" t="s">
        <v>8545</v>
      </c>
      <c r="F888" s="32" t="s">
        <v>8546</v>
      </c>
      <c r="G888" s="17" t="s">
        <v>8547</v>
      </c>
      <c r="H888" s="18" t="s">
        <v>8548</v>
      </c>
      <c r="I888" s="16" t="s">
        <v>8549</v>
      </c>
      <c r="J888" s="16" t="s">
        <v>86</v>
      </c>
      <c r="K888" s="16" t="s">
        <v>4394</v>
      </c>
      <c r="L888" s="16">
        <v>71129550</v>
      </c>
      <c r="M888" s="16" t="s">
        <v>136</v>
      </c>
      <c r="N888" s="16" t="s">
        <v>8550</v>
      </c>
      <c r="O888" s="16" t="s">
        <v>8551</v>
      </c>
      <c r="P888" s="16" t="s">
        <v>8552</v>
      </c>
      <c r="Q888" s="16" t="s">
        <v>2215</v>
      </c>
      <c r="R888" s="16" t="s">
        <v>7267</v>
      </c>
      <c r="S888" s="19" t="s">
        <v>8545</v>
      </c>
      <c r="T888" s="20" t="s">
        <v>40</v>
      </c>
      <c r="U888" s="16" t="s">
        <v>8553</v>
      </c>
      <c r="V888" s="16" t="s">
        <v>8554</v>
      </c>
      <c r="W888" s="30" t="s">
        <v>8555</v>
      </c>
      <c r="X888" s="18" t="s">
        <v>542</v>
      </c>
      <c r="Y888" s="18" t="s">
        <v>98</v>
      </c>
      <c r="Z888" s="18" t="s">
        <v>2215</v>
      </c>
      <c r="AA888" s="16" t="s">
        <v>7222</v>
      </c>
      <c r="AB888" s="16" t="s">
        <v>7223</v>
      </c>
      <c r="AC888" s="16" t="s">
        <v>7224</v>
      </c>
      <c r="AD888" s="123" t="str">
        <f t="shared" si="13"/>
        <v>External Transfer-NBE</v>
      </c>
      <c r="AE888" s="123" t="str">
        <f>VLOOKUP(Table1[[#This Row],[Name of bank]],'اكواد البنوك'!$A$2:$B$34,2,0)</f>
        <v>NBEGEGCXXXX</v>
      </c>
      <c r="AF888" s="21" t="s">
        <v>8296</v>
      </c>
      <c r="AG888" s="15" t="s">
        <v>49</v>
      </c>
    </row>
    <row r="889" spans="1:33">
      <c r="A889" s="14">
        <v>888</v>
      </c>
      <c r="B889" s="14" t="s">
        <v>8544</v>
      </c>
      <c r="C889" s="14" t="s">
        <v>8544</v>
      </c>
      <c r="D889" s="15" t="s">
        <v>1839</v>
      </c>
      <c r="E889" s="16" t="s">
        <v>8556</v>
      </c>
      <c r="F889" s="32" t="s">
        <v>8557</v>
      </c>
      <c r="G889" s="17" t="s">
        <v>8558</v>
      </c>
      <c r="H889" s="18" t="s">
        <v>8559</v>
      </c>
      <c r="I889" s="16" t="s">
        <v>8560</v>
      </c>
      <c r="J889" s="16" t="s">
        <v>173</v>
      </c>
      <c r="K889" s="16" t="s">
        <v>8561</v>
      </c>
      <c r="L889" s="16">
        <v>40132315</v>
      </c>
      <c r="M889" s="16" t="s">
        <v>234</v>
      </c>
      <c r="N889" s="16" t="s">
        <v>8562</v>
      </c>
      <c r="O889" s="16" t="s">
        <v>8563</v>
      </c>
      <c r="P889" s="16" t="s">
        <v>8564</v>
      </c>
      <c r="Q889" s="16" t="s">
        <v>2215</v>
      </c>
      <c r="R889" s="16" t="s">
        <v>7267</v>
      </c>
      <c r="S889" s="19" t="s">
        <v>8557</v>
      </c>
      <c r="T889" s="20" t="s">
        <v>176</v>
      </c>
      <c r="U889" s="16" t="s">
        <v>7765</v>
      </c>
      <c r="V889" s="16" t="s">
        <v>9928</v>
      </c>
      <c r="W889" s="30" t="s">
        <v>8565</v>
      </c>
      <c r="X889" s="18" t="s">
        <v>542</v>
      </c>
      <c r="Y889" s="18" t="s">
        <v>98</v>
      </c>
      <c r="Z889" s="18" t="s">
        <v>2215</v>
      </c>
      <c r="AA889" s="16" t="s">
        <v>7222</v>
      </c>
      <c r="AB889" s="16" t="s">
        <v>7223</v>
      </c>
      <c r="AC889" s="16" t="s">
        <v>7224</v>
      </c>
      <c r="AD889" s="123" t="str">
        <f t="shared" si="13"/>
        <v>External Transfer-Other banks</v>
      </c>
      <c r="AE889" s="123" t="str">
        <f>VLOOKUP(Table1[[#This Row],[Name of bank]],'اكواد البنوك'!$A$2:$B$34,2,0)</f>
        <v>BMISEGCXXXX</v>
      </c>
      <c r="AF889" s="21">
        <v>513</v>
      </c>
      <c r="AG889" s="15" t="s">
        <v>167</v>
      </c>
    </row>
    <row r="890" spans="1:33">
      <c r="A890" s="14">
        <v>889</v>
      </c>
      <c r="B890" s="14" t="s">
        <v>8566</v>
      </c>
      <c r="C890" s="14" t="e">
        <v>#N/A</v>
      </c>
      <c r="D890" s="15" t="s">
        <v>1839</v>
      </c>
      <c r="E890" s="16" t="s">
        <v>8567</v>
      </c>
      <c r="F890" s="32" t="s">
        <v>8568</v>
      </c>
      <c r="G890" s="17" t="s">
        <v>8569</v>
      </c>
      <c r="H890" s="18" t="s">
        <v>8570</v>
      </c>
      <c r="I890" s="16" t="s">
        <v>8571</v>
      </c>
      <c r="J890" s="16" t="s">
        <v>86</v>
      </c>
      <c r="K890" s="16" t="s">
        <v>8572</v>
      </c>
      <c r="L890" s="16">
        <v>62044668</v>
      </c>
      <c r="M890" s="16">
        <v>694789704</v>
      </c>
      <c r="N890" s="16" t="s">
        <v>8573</v>
      </c>
      <c r="O890" s="16" t="s">
        <v>8574</v>
      </c>
      <c r="P890" s="16" t="s">
        <v>8575</v>
      </c>
      <c r="Q890" s="16" t="s">
        <v>2215</v>
      </c>
      <c r="R890" s="16" t="s">
        <v>7267</v>
      </c>
      <c r="S890" s="19" t="s">
        <v>8576</v>
      </c>
      <c r="T890" s="20" t="s">
        <v>176</v>
      </c>
      <c r="U890" s="16" t="s">
        <v>8577</v>
      </c>
      <c r="V890" s="16" t="s">
        <v>8578</v>
      </c>
      <c r="W890" s="30" t="s">
        <v>8579</v>
      </c>
      <c r="X890" s="18" t="s">
        <v>542</v>
      </c>
      <c r="Y890" s="18" t="s">
        <v>98</v>
      </c>
      <c r="Z890" s="18" t="s">
        <v>2215</v>
      </c>
      <c r="AA890" s="16" t="s">
        <v>7222</v>
      </c>
      <c r="AB890" s="16" t="s">
        <v>7223</v>
      </c>
      <c r="AC890" s="16" t="s">
        <v>7224</v>
      </c>
      <c r="AD890" s="123" t="str">
        <f t="shared" si="13"/>
        <v>External Transfer-Other banks</v>
      </c>
      <c r="AE890" s="123" t="str">
        <f>VLOOKUP(Table1[[#This Row],[Name of bank]],'اكواد البنوك'!$A$2:$B$34,2,0)</f>
        <v>BMISEGCXXXX</v>
      </c>
      <c r="AF890" s="21" t="s">
        <v>751</v>
      </c>
      <c r="AG890" s="15" t="s">
        <v>49</v>
      </c>
    </row>
    <row r="891" spans="1:33">
      <c r="A891" s="14">
        <v>890</v>
      </c>
      <c r="B891" s="14" t="s">
        <v>8566</v>
      </c>
      <c r="C891" s="14" t="s">
        <v>8566</v>
      </c>
      <c r="D891" s="15" t="s">
        <v>1839</v>
      </c>
      <c r="E891" s="16" t="s">
        <v>8580</v>
      </c>
      <c r="F891" s="32" t="s">
        <v>8581</v>
      </c>
      <c r="G891" s="17" t="s">
        <v>8582</v>
      </c>
      <c r="H891" s="18" t="s">
        <v>8583</v>
      </c>
      <c r="I891" s="16" t="s">
        <v>8584</v>
      </c>
      <c r="J891" s="16" t="s">
        <v>86</v>
      </c>
      <c r="K891" s="16" t="s">
        <v>8585</v>
      </c>
      <c r="L891" s="16">
        <v>77947428</v>
      </c>
      <c r="M891" s="16" t="s">
        <v>234</v>
      </c>
      <c r="N891" s="16" t="s">
        <v>8586</v>
      </c>
      <c r="O891" s="16" t="s">
        <v>8587</v>
      </c>
      <c r="P891" s="16" t="s">
        <v>8588</v>
      </c>
      <c r="Q891" s="16" t="s">
        <v>2215</v>
      </c>
      <c r="R891" s="16" t="s">
        <v>7267</v>
      </c>
      <c r="S891" s="19" t="s">
        <v>9929</v>
      </c>
      <c r="T891" s="20" t="s">
        <v>40</v>
      </c>
      <c r="U891" s="16" t="s">
        <v>8589</v>
      </c>
      <c r="V891" s="16" t="s">
        <v>9930</v>
      </c>
      <c r="W891" s="113" t="s">
        <v>8590</v>
      </c>
      <c r="X891" s="18" t="s">
        <v>542</v>
      </c>
      <c r="Y891" s="18" t="s">
        <v>98</v>
      </c>
      <c r="Z891" s="18" t="s">
        <v>2215</v>
      </c>
      <c r="AA891" s="16" t="s">
        <v>7222</v>
      </c>
      <c r="AB891" s="16" t="s">
        <v>7223</v>
      </c>
      <c r="AC891" s="16" t="s">
        <v>7224</v>
      </c>
      <c r="AD891" s="123" t="str">
        <f t="shared" si="13"/>
        <v>External Transfer-NBE</v>
      </c>
      <c r="AE891" s="123" t="str">
        <f>VLOOKUP(Table1[[#This Row],[Name of bank]],'اكواد البنوك'!$A$2:$B$34,2,0)</f>
        <v>NBEGEGCXXXX</v>
      </c>
      <c r="AF891" s="114">
        <v>666</v>
      </c>
      <c r="AG891" s="15" t="s">
        <v>167</v>
      </c>
    </row>
    <row r="892" spans="1:33">
      <c r="A892" s="14">
        <v>891</v>
      </c>
      <c r="B892" s="14" t="s">
        <v>8591</v>
      </c>
      <c r="C892" s="14" t="e">
        <v>#N/A</v>
      </c>
      <c r="D892" s="15" t="s">
        <v>1839</v>
      </c>
      <c r="E892" s="16" t="s">
        <v>8592</v>
      </c>
      <c r="F892" s="32" t="s">
        <v>8593</v>
      </c>
      <c r="G892" s="17" t="s">
        <v>8594</v>
      </c>
      <c r="H892" s="18" t="s">
        <v>8595</v>
      </c>
      <c r="I892" s="16" t="s">
        <v>8596</v>
      </c>
      <c r="J892" s="16" t="s">
        <v>86</v>
      </c>
      <c r="K892" s="16" t="s">
        <v>384</v>
      </c>
      <c r="L892" s="16">
        <v>60706428</v>
      </c>
      <c r="M892" s="16">
        <v>694789704</v>
      </c>
      <c r="N892" s="16" t="s">
        <v>8597</v>
      </c>
      <c r="O892" s="16" t="s">
        <v>8598</v>
      </c>
      <c r="P892" s="16" t="s">
        <v>8599</v>
      </c>
      <c r="Q892" s="16" t="s">
        <v>2215</v>
      </c>
      <c r="R892" s="16" t="s">
        <v>7267</v>
      </c>
      <c r="S892" s="19" t="s">
        <v>8600</v>
      </c>
      <c r="T892" s="20" t="s">
        <v>176</v>
      </c>
      <c r="U892" s="16" t="s">
        <v>8601</v>
      </c>
      <c r="V892" s="16" t="s">
        <v>8602</v>
      </c>
      <c r="W892" s="30" t="s">
        <v>8603</v>
      </c>
      <c r="X892" s="18" t="s">
        <v>542</v>
      </c>
      <c r="Y892" s="18" t="s">
        <v>98</v>
      </c>
      <c r="Z892" s="18" t="s">
        <v>2215</v>
      </c>
      <c r="AA892" s="16" t="s">
        <v>7222</v>
      </c>
      <c r="AB892" s="16" t="s">
        <v>7223</v>
      </c>
      <c r="AC892" s="16" t="s">
        <v>7224</v>
      </c>
      <c r="AD892" s="123" t="str">
        <f t="shared" si="13"/>
        <v>External Transfer-Other banks</v>
      </c>
      <c r="AE892" s="123" t="str">
        <f>VLOOKUP(Table1[[#This Row],[Name of bank]],'اكواد البنوك'!$A$2:$B$34,2,0)</f>
        <v>BMISEGCXXXX</v>
      </c>
      <c r="AF892" s="1" t="s">
        <v>8191</v>
      </c>
      <c r="AG892" s="15" t="s">
        <v>49</v>
      </c>
    </row>
    <row r="893" spans="1:33">
      <c r="A893" s="14">
        <v>892</v>
      </c>
      <c r="B893" s="14" t="s">
        <v>8591</v>
      </c>
      <c r="C893" s="14" t="s">
        <v>8566</v>
      </c>
      <c r="D893" s="15" t="s">
        <v>1839</v>
      </c>
      <c r="E893" s="16" t="s">
        <v>8604</v>
      </c>
      <c r="F893" s="32" t="s">
        <v>10149</v>
      </c>
      <c r="G893" s="17" t="s">
        <v>8605</v>
      </c>
      <c r="H893" s="18" t="s">
        <v>8606</v>
      </c>
      <c r="I893" s="16" t="s">
        <v>8607</v>
      </c>
      <c r="J893" s="16" t="s">
        <v>86</v>
      </c>
      <c r="K893" s="16" t="s">
        <v>8608</v>
      </c>
      <c r="L893" s="16">
        <v>82556099</v>
      </c>
      <c r="M893" s="16" t="s">
        <v>234</v>
      </c>
      <c r="N893" s="16" t="s">
        <v>8609</v>
      </c>
      <c r="O893" s="16" t="s">
        <v>8610</v>
      </c>
      <c r="P893" s="16" t="s">
        <v>8611</v>
      </c>
      <c r="Q893" s="16" t="s">
        <v>2215</v>
      </c>
      <c r="R893" s="16" t="s">
        <v>7267</v>
      </c>
      <c r="S893" s="19" t="s">
        <v>8612</v>
      </c>
      <c r="T893" s="20" t="s">
        <v>93</v>
      </c>
      <c r="U893" s="16" t="s">
        <v>8613</v>
      </c>
      <c r="V893" s="16" t="s">
        <v>8614</v>
      </c>
      <c r="W893" s="30" t="s">
        <v>9931</v>
      </c>
      <c r="X893" s="18" t="s">
        <v>542</v>
      </c>
      <c r="Y893" s="18" t="s">
        <v>98</v>
      </c>
      <c r="Z893" s="18" t="s">
        <v>2215</v>
      </c>
      <c r="AA893" s="16" t="s">
        <v>7222</v>
      </c>
      <c r="AB893" s="16" t="s">
        <v>7223</v>
      </c>
      <c r="AC893" s="16" t="s">
        <v>7224</v>
      </c>
      <c r="AD893" s="123" t="str">
        <f t="shared" si="13"/>
        <v>External Transfer-Other banks</v>
      </c>
      <c r="AE893" s="123" t="str">
        <f>VLOOKUP(Table1[[#This Row],[Name of bank]],'اكواد البنوك'!$A$2:$B$34,2,0)</f>
        <v>QNBAEGCXXXX</v>
      </c>
      <c r="AF893" s="21" t="s">
        <v>3614</v>
      </c>
      <c r="AG893" s="15" t="s">
        <v>167</v>
      </c>
    </row>
    <row r="894" spans="1:33">
      <c r="A894" s="14">
        <v>893</v>
      </c>
      <c r="B894" s="14" t="s">
        <v>8615</v>
      </c>
      <c r="C894" s="14" t="e">
        <v>#N/A</v>
      </c>
      <c r="D894" s="15" t="s">
        <v>1839</v>
      </c>
      <c r="E894" s="16" t="s">
        <v>8616</v>
      </c>
      <c r="F894" s="32" t="s">
        <v>8617</v>
      </c>
      <c r="G894" s="17" t="s">
        <v>8618</v>
      </c>
      <c r="H894" s="18" t="s">
        <v>8619</v>
      </c>
      <c r="I894" s="16" t="s">
        <v>8620</v>
      </c>
      <c r="J894" s="16" t="s">
        <v>1845</v>
      </c>
      <c r="K894" s="16" t="s">
        <v>8621</v>
      </c>
      <c r="L894" s="16">
        <v>5345669</v>
      </c>
      <c r="M894" s="16">
        <v>100675891</v>
      </c>
      <c r="N894" s="16" t="s">
        <v>8622</v>
      </c>
      <c r="O894" s="16" t="s">
        <v>8623</v>
      </c>
      <c r="P894" s="16" t="s">
        <v>8624</v>
      </c>
      <c r="Q894" s="16" t="s">
        <v>2215</v>
      </c>
      <c r="R894" s="16" t="s">
        <v>7267</v>
      </c>
      <c r="S894" s="19" t="s">
        <v>8617</v>
      </c>
      <c r="T894" s="20" t="s">
        <v>40</v>
      </c>
      <c r="U894" s="16" t="s">
        <v>1851</v>
      </c>
      <c r="V894" s="16" t="s">
        <v>8625</v>
      </c>
      <c r="W894" s="30" t="s">
        <v>8626</v>
      </c>
      <c r="X894" s="18" t="s">
        <v>542</v>
      </c>
      <c r="Y894" s="18" t="s">
        <v>98</v>
      </c>
      <c r="Z894" s="18" t="s">
        <v>2215</v>
      </c>
      <c r="AA894" s="16" t="s">
        <v>7222</v>
      </c>
      <c r="AB894" s="16" t="s">
        <v>7223</v>
      </c>
      <c r="AC894" s="16" t="s">
        <v>7224</v>
      </c>
      <c r="AD894" s="123" t="str">
        <f t="shared" si="13"/>
        <v>External Transfer-NBE</v>
      </c>
      <c r="AE894" s="123" t="str">
        <f>VLOOKUP(Table1[[#This Row],[Name of bank]],'اكواد البنوك'!$A$2:$B$34,2,0)</f>
        <v>NBEGEGCXXXX</v>
      </c>
      <c r="AF894" s="21" t="s">
        <v>2163</v>
      </c>
      <c r="AG894" s="15" t="s">
        <v>49</v>
      </c>
    </row>
    <row r="895" spans="1:33">
      <c r="A895" s="14">
        <v>894</v>
      </c>
      <c r="B895" s="14" t="s">
        <v>8615</v>
      </c>
      <c r="C895" s="14" t="s">
        <v>8591</v>
      </c>
      <c r="D895" s="15" t="s">
        <v>1839</v>
      </c>
      <c r="E895" s="16" t="s">
        <v>8627</v>
      </c>
      <c r="F895" s="32" t="s">
        <v>10175</v>
      </c>
      <c r="G895" s="17" t="s">
        <v>8628</v>
      </c>
      <c r="H895" s="18" t="s">
        <v>8629</v>
      </c>
      <c r="I895" s="16" t="s">
        <v>8630</v>
      </c>
      <c r="J895" s="16" t="s">
        <v>86</v>
      </c>
      <c r="K895" s="16" t="s">
        <v>8631</v>
      </c>
      <c r="L895" s="16">
        <v>33141816</v>
      </c>
      <c r="M895" s="16" t="s">
        <v>136</v>
      </c>
      <c r="N895" s="16" t="s">
        <v>8632</v>
      </c>
      <c r="O895" s="16" t="s">
        <v>8633</v>
      </c>
      <c r="P895" s="16" t="s">
        <v>8634</v>
      </c>
      <c r="Q895" s="16" t="s">
        <v>2215</v>
      </c>
      <c r="R895" s="16" t="s">
        <v>7267</v>
      </c>
      <c r="S895" s="19" t="s">
        <v>8635</v>
      </c>
      <c r="T895" s="20" t="s">
        <v>93</v>
      </c>
      <c r="U895" s="16" t="s">
        <v>2215</v>
      </c>
      <c r="V895" s="16" t="s">
        <v>8636</v>
      </c>
      <c r="W895" s="30" t="s">
        <v>8637</v>
      </c>
      <c r="X895" s="18" t="s">
        <v>542</v>
      </c>
      <c r="Y895" s="18" t="s">
        <v>98</v>
      </c>
      <c r="Z895" s="18" t="s">
        <v>2215</v>
      </c>
      <c r="AA895" s="16" t="s">
        <v>7222</v>
      </c>
      <c r="AB895" s="16" t="s">
        <v>7223</v>
      </c>
      <c r="AC895" s="16" t="s">
        <v>7224</v>
      </c>
      <c r="AD895" s="123" t="str">
        <f t="shared" si="13"/>
        <v>External Transfer-Other banks</v>
      </c>
      <c r="AE895" s="123" t="str">
        <f>VLOOKUP(Table1[[#This Row],[Name of bank]],'اكواد البنوك'!$A$2:$B$34,2,0)</f>
        <v>QNBAEGCXXXX</v>
      </c>
      <c r="AF895" s="21">
        <v>709</v>
      </c>
      <c r="AG895" s="15" t="s">
        <v>167</v>
      </c>
    </row>
    <row r="896" spans="1:33">
      <c r="A896" s="14">
        <v>895</v>
      </c>
      <c r="B896" s="14" t="s">
        <v>8615</v>
      </c>
      <c r="C896" s="14" t="e">
        <v>#N/A</v>
      </c>
      <c r="D896" s="15" t="s">
        <v>1839</v>
      </c>
      <c r="E896" s="16" t="s">
        <v>8638</v>
      </c>
      <c r="F896" s="32" t="s">
        <v>8639</v>
      </c>
      <c r="G896" s="17" t="s">
        <v>8640</v>
      </c>
      <c r="H896" s="18" t="s">
        <v>8641</v>
      </c>
      <c r="I896" s="16" t="s">
        <v>8642</v>
      </c>
      <c r="J896" s="16" t="s">
        <v>173</v>
      </c>
      <c r="K896" s="16" t="s">
        <v>8643</v>
      </c>
      <c r="L896" s="16">
        <v>62454163</v>
      </c>
      <c r="M896" s="16" t="s">
        <v>136</v>
      </c>
      <c r="N896" s="16" t="s">
        <v>8644</v>
      </c>
      <c r="O896" s="16" t="s">
        <v>8645</v>
      </c>
      <c r="P896" s="16" t="s">
        <v>8646</v>
      </c>
      <c r="Q896" s="16" t="s">
        <v>2215</v>
      </c>
      <c r="R896" s="16" t="s">
        <v>7267</v>
      </c>
      <c r="S896" s="19" t="s">
        <v>9932</v>
      </c>
      <c r="T896" s="20" t="s">
        <v>223</v>
      </c>
      <c r="U896" s="16" t="s">
        <v>9860</v>
      </c>
      <c r="V896" s="16">
        <v>6975310001</v>
      </c>
      <c r="W896" s="113" t="s">
        <v>9933</v>
      </c>
      <c r="X896" s="18" t="s">
        <v>542</v>
      </c>
      <c r="Y896" s="18" t="s">
        <v>98</v>
      </c>
      <c r="Z896" s="18" t="s">
        <v>2215</v>
      </c>
      <c r="AA896" s="16" t="s">
        <v>7222</v>
      </c>
      <c r="AB896" s="16" t="s">
        <v>7223</v>
      </c>
      <c r="AC896" s="16" t="s">
        <v>7224</v>
      </c>
      <c r="AD896" s="123" t="str">
        <f t="shared" si="13"/>
        <v>External Transfer-Other banks</v>
      </c>
      <c r="AE896" s="123" t="str">
        <f>VLOOKUP(Table1[[#This Row],[Name of bank]],'اكواد البنوك'!$A$2:$B$34,2,0)</f>
        <v>NBADEGCAXXX</v>
      </c>
      <c r="AF896" s="114" t="s">
        <v>10393</v>
      </c>
      <c r="AG896" s="15" t="s">
        <v>167</v>
      </c>
    </row>
    <row r="897" spans="1:33">
      <c r="A897" s="14">
        <v>896</v>
      </c>
      <c r="B897" s="14" t="s">
        <v>639</v>
      </c>
      <c r="C897" s="14" t="s">
        <v>206</v>
      </c>
      <c r="D897" s="15" t="s">
        <v>1703</v>
      </c>
      <c r="E897" s="16" t="s">
        <v>8647</v>
      </c>
      <c r="F897" s="32" t="s">
        <v>8648</v>
      </c>
      <c r="G897" s="17" t="s">
        <v>8649</v>
      </c>
      <c r="H897" s="18" t="s">
        <v>8650</v>
      </c>
      <c r="I897" s="16" t="s">
        <v>1703</v>
      </c>
      <c r="J897" s="16"/>
      <c r="K897" s="16"/>
      <c r="L897" s="16"/>
      <c r="M897" s="16"/>
      <c r="N897" s="16"/>
      <c r="O897" s="16"/>
      <c r="P897" s="16"/>
      <c r="Q897" s="16" t="s">
        <v>2215</v>
      </c>
      <c r="R897" s="16" t="s">
        <v>7267</v>
      </c>
      <c r="S897" s="19"/>
      <c r="T897" s="20" t="s">
        <v>40</v>
      </c>
      <c r="U897" s="16"/>
      <c r="V897" s="16"/>
      <c r="W897" s="30" t="s">
        <v>8651</v>
      </c>
      <c r="X897" s="18" t="s">
        <v>78</v>
      </c>
      <c r="Y897" s="18" t="s">
        <v>43</v>
      </c>
      <c r="Z897" s="18" t="s">
        <v>2215</v>
      </c>
      <c r="AA897" s="16" t="s">
        <v>7222</v>
      </c>
      <c r="AB897" s="16" t="s">
        <v>7233</v>
      </c>
      <c r="AC897" s="16" t="s">
        <v>7224</v>
      </c>
      <c r="AD897" s="123" t="str">
        <f t="shared" si="13"/>
        <v>Internal Transfer</v>
      </c>
      <c r="AE897" s="123" t="str">
        <f>VLOOKUP(Table1[[#This Row],[Name of bank]],'اكواد البنوك'!$A$2:$B$34,2,0)</f>
        <v>NBEGEGCXXXX</v>
      </c>
      <c r="AF897" s="21" t="s">
        <v>8651</v>
      </c>
      <c r="AG897" s="15" t="s">
        <v>49</v>
      </c>
    </row>
    <row r="898" spans="1:33">
      <c r="A898" s="14">
        <v>897</v>
      </c>
      <c r="B898" s="14" t="s">
        <v>639</v>
      </c>
      <c r="C898" s="14" t="e">
        <v>#N/A</v>
      </c>
      <c r="D898" s="15" t="s">
        <v>1855</v>
      </c>
      <c r="E898" s="16" t="s">
        <v>8652</v>
      </c>
      <c r="F898" s="32" t="s">
        <v>8653</v>
      </c>
      <c r="G898" s="17" t="s">
        <v>8654</v>
      </c>
      <c r="H898" s="18" t="s">
        <v>8655</v>
      </c>
      <c r="I898" s="16" t="s">
        <v>8656</v>
      </c>
      <c r="J898" s="16" t="s">
        <v>86</v>
      </c>
      <c r="K898" s="16" t="s">
        <v>269</v>
      </c>
      <c r="L898" s="16" t="s">
        <v>136</v>
      </c>
      <c r="M898" s="16" t="s">
        <v>136</v>
      </c>
      <c r="N898" s="16" t="s">
        <v>8657</v>
      </c>
      <c r="O898" s="16" t="s">
        <v>8658</v>
      </c>
      <c r="P898" s="16" t="s">
        <v>8659</v>
      </c>
      <c r="Q898" s="16" t="s">
        <v>2215</v>
      </c>
      <c r="R898" s="16" t="s">
        <v>7267</v>
      </c>
      <c r="S898" s="19" t="s">
        <v>136</v>
      </c>
      <c r="T898" s="20" t="s">
        <v>734</v>
      </c>
      <c r="U898" s="16" t="s">
        <v>10236</v>
      </c>
      <c r="V898" s="16" t="s">
        <v>136</v>
      </c>
      <c r="W898" s="115" t="s">
        <v>10237</v>
      </c>
      <c r="X898" s="18" t="s">
        <v>97</v>
      </c>
      <c r="Y898" s="18" t="s">
        <v>98</v>
      </c>
      <c r="Z898" s="18" t="s">
        <v>2215</v>
      </c>
      <c r="AA898" s="16" t="s">
        <v>7222</v>
      </c>
      <c r="AB898" s="16" t="s">
        <v>7233</v>
      </c>
      <c r="AC898" s="16" t="s">
        <v>7224</v>
      </c>
      <c r="AD898" s="123" t="str">
        <f t="shared" ref="AD898:AD961" si="14">IF(ISNUMBER(SEARCH("EXTERNAL CASH",T898)),
   "EXTERNAL CASH",
   IF(ISNUMBER(SEARCH("شيك من القاهرة",T898)),
      "FUE",
      IF(ISNUMBER(SEARCH("INTERNAL CASH",T898)),
         "INTRNAL CASH",
         IF(Y898="IP",
            "Internal Transfer",
            IF(ISNUMBER(SEARCH("National Bank of Egypt",T898)),
               "External Transfer-NBE",
               "External Transfer-Other banks"
            )
         )
      )
   )
)</f>
        <v>External Transfer-Other banks</v>
      </c>
      <c r="AE898" s="123" t="str">
        <f>VLOOKUP(Table1[[#This Row],[Name of bank]],'اكواد البنوك'!$A$2:$B$34,2,0)</f>
        <v>BDACEGCAXXX</v>
      </c>
      <c r="AF898" s="114" t="s">
        <v>10238</v>
      </c>
      <c r="AG898" s="15" t="s">
        <v>167</v>
      </c>
    </row>
    <row r="899" spans="1:33">
      <c r="A899" s="14">
        <v>898</v>
      </c>
      <c r="B899" s="14" t="s">
        <v>639</v>
      </c>
      <c r="C899" s="14" t="s">
        <v>206</v>
      </c>
      <c r="D899" s="15" t="s">
        <v>1839</v>
      </c>
      <c r="E899" s="16" t="s">
        <v>8660</v>
      </c>
      <c r="F899" s="32" t="s">
        <v>8661</v>
      </c>
      <c r="G899" s="17" t="s">
        <v>8662</v>
      </c>
      <c r="H899" s="18" t="s">
        <v>8663</v>
      </c>
      <c r="I899" s="16" t="s">
        <v>8664</v>
      </c>
      <c r="J899" s="16" t="s">
        <v>86</v>
      </c>
      <c r="K899" s="16" t="s">
        <v>8665</v>
      </c>
      <c r="L899" s="16">
        <v>76799512</v>
      </c>
      <c r="M899" s="16" t="s">
        <v>427</v>
      </c>
      <c r="N899" s="16" t="s">
        <v>8666</v>
      </c>
      <c r="O899" s="16" t="s">
        <v>8667</v>
      </c>
      <c r="P899" s="16" t="s">
        <v>8668</v>
      </c>
      <c r="Q899" s="16" t="s">
        <v>2215</v>
      </c>
      <c r="R899" s="16" t="s">
        <v>7267</v>
      </c>
      <c r="S899" s="19" t="s">
        <v>8669</v>
      </c>
      <c r="T899" s="20" t="s">
        <v>93</v>
      </c>
      <c r="U899" s="16" t="s">
        <v>8670</v>
      </c>
      <c r="V899" s="16">
        <v>11307394178</v>
      </c>
      <c r="W899" s="30" t="s">
        <v>8671</v>
      </c>
      <c r="X899" s="18" t="s">
        <v>78</v>
      </c>
      <c r="Y899" s="18" t="s">
        <v>98</v>
      </c>
      <c r="Z899" s="18" t="s">
        <v>2215</v>
      </c>
      <c r="AA899" s="16" t="s">
        <v>7222</v>
      </c>
      <c r="AB899" s="16" t="s">
        <v>7233</v>
      </c>
      <c r="AC899" s="16" t="s">
        <v>7224</v>
      </c>
      <c r="AD899" s="123" t="str">
        <f t="shared" si="14"/>
        <v>External Transfer-Other banks</v>
      </c>
      <c r="AE899" s="123" t="str">
        <f>VLOOKUP(Table1[[#This Row],[Name of bank]],'اكواد البنوك'!$A$2:$B$34,2,0)</f>
        <v>QNBAEGCXXXX</v>
      </c>
      <c r="AF899" s="21" t="s">
        <v>193</v>
      </c>
      <c r="AG899" s="15" t="s">
        <v>49</v>
      </c>
    </row>
    <row r="900" spans="1:33">
      <c r="A900" s="14">
        <v>899</v>
      </c>
      <c r="B900" s="14" t="s">
        <v>639</v>
      </c>
      <c r="C900" s="14" t="s">
        <v>8155</v>
      </c>
      <c r="D900" s="15" t="s">
        <v>1839</v>
      </c>
      <c r="E900" s="16" t="s">
        <v>8672</v>
      </c>
      <c r="F900" s="32" t="s">
        <v>8673</v>
      </c>
      <c r="G900" s="17" t="s">
        <v>8674</v>
      </c>
      <c r="H900" s="18" t="s">
        <v>8675</v>
      </c>
      <c r="I900" s="16" t="s">
        <v>8676</v>
      </c>
      <c r="J900" s="16" t="s">
        <v>86</v>
      </c>
      <c r="K900" s="16" t="s">
        <v>384</v>
      </c>
      <c r="L900" s="16">
        <v>68650725</v>
      </c>
      <c r="M900" s="16" t="s">
        <v>136</v>
      </c>
      <c r="N900" s="16" t="s">
        <v>8677</v>
      </c>
      <c r="O900" s="16" t="s">
        <v>8678</v>
      </c>
      <c r="P900" s="16" t="s">
        <v>8679</v>
      </c>
      <c r="Q900" s="16" t="s">
        <v>2215</v>
      </c>
      <c r="R900" s="16" t="s">
        <v>7267</v>
      </c>
      <c r="S900" s="19" t="s">
        <v>8673</v>
      </c>
      <c r="T900" s="20" t="s">
        <v>176</v>
      </c>
      <c r="U900" s="16" t="s">
        <v>8175</v>
      </c>
      <c r="V900" s="16" t="s">
        <v>8680</v>
      </c>
      <c r="W900" s="30" t="s">
        <v>8681</v>
      </c>
      <c r="X900" s="18" t="s">
        <v>97</v>
      </c>
      <c r="Y900" s="18" t="s">
        <v>98</v>
      </c>
      <c r="Z900" s="18" t="s">
        <v>2215</v>
      </c>
      <c r="AA900" s="16" t="s">
        <v>7222</v>
      </c>
      <c r="AB900" s="16" t="s">
        <v>7233</v>
      </c>
      <c r="AC900" s="16" t="s">
        <v>7224</v>
      </c>
      <c r="AD900" s="123" t="str">
        <f t="shared" si="14"/>
        <v>External Transfer-Other banks</v>
      </c>
      <c r="AE900" s="123" t="str">
        <f>VLOOKUP(Table1[[#This Row],[Name of bank]],'اكواد البنوك'!$A$2:$B$34,2,0)</f>
        <v>BMISEGCXXXX</v>
      </c>
      <c r="AF900" s="21" t="s">
        <v>8682</v>
      </c>
      <c r="AG900" s="15" t="s">
        <v>49</v>
      </c>
    </row>
    <row r="901" spans="1:33">
      <c r="A901" s="14">
        <v>900</v>
      </c>
      <c r="B901" s="14" t="s">
        <v>639</v>
      </c>
      <c r="C901" s="14" t="s">
        <v>8112</v>
      </c>
      <c r="D901" s="15" t="s">
        <v>1839</v>
      </c>
      <c r="E901" s="16" t="s">
        <v>8683</v>
      </c>
      <c r="F901" s="32" t="s">
        <v>8684</v>
      </c>
      <c r="G901" s="17" t="s">
        <v>8685</v>
      </c>
      <c r="H901" s="18" t="s">
        <v>8686</v>
      </c>
      <c r="I901" s="16" t="s">
        <v>7699</v>
      </c>
      <c r="J901" s="16" t="s">
        <v>173</v>
      </c>
      <c r="K901" s="16" t="s">
        <v>1952</v>
      </c>
      <c r="L901" s="16">
        <v>74431807</v>
      </c>
      <c r="M901" s="16">
        <v>2126986</v>
      </c>
      <c r="N901" s="16" t="s">
        <v>8687</v>
      </c>
      <c r="O901" s="16" t="s">
        <v>8688</v>
      </c>
      <c r="P901" s="16" t="s">
        <v>8689</v>
      </c>
      <c r="Q901" s="16" t="s">
        <v>2215</v>
      </c>
      <c r="R901" s="16" t="s">
        <v>7267</v>
      </c>
      <c r="S901" s="19" t="s">
        <v>8690</v>
      </c>
      <c r="T901" s="20" t="s">
        <v>176</v>
      </c>
      <c r="U901" s="16" t="s">
        <v>8691</v>
      </c>
      <c r="V901" s="16" t="s">
        <v>8692</v>
      </c>
      <c r="W901" s="30" t="s">
        <v>8693</v>
      </c>
      <c r="X901" s="18" t="s">
        <v>97</v>
      </c>
      <c r="Y901" s="18" t="s">
        <v>98</v>
      </c>
      <c r="Z901" s="18" t="s">
        <v>2215</v>
      </c>
      <c r="AA901" s="16" t="s">
        <v>7222</v>
      </c>
      <c r="AB901" s="16" t="s">
        <v>7233</v>
      </c>
      <c r="AC901" s="16" t="s">
        <v>7224</v>
      </c>
      <c r="AD901" s="123" t="str">
        <f t="shared" si="14"/>
        <v>External Transfer-Other banks</v>
      </c>
      <c r="AE901" s="123" t="str">
        <f>VLOOKUP(Table1[[#This Row],[Name of bank]],'اكواد البنوك'!$A$2:$B$34,2,0)</f>
        <v>BMISEGCXXXX</v>
      </c>
      <c r="AF901" s="21" t="s">
        <v>3955</v>
      </c>
      <c r="AG901" s="15" t="s">
        <v>49</v>
      </c>
    </row>
    <row r="902" spans="1:33">
      <c r="A902" s="14">
        <v>901</v>
      </c>
      <c r="B902" s="14" t="s">
        <v>2587</v>
      </c>
      <c r="C902" s="14" t="e">
        <v>#N/A</v>
      </c>
      <c r="D902" s="15" t="s">
        <v>1839</v>
      </c>
      <c r="E902" s="16" t="s">
        <v>8694</v>
      </c>
      <c r="F902" s="32" t="s">
        <v>8695</v>
      </c>
      <c r="G902" s="17" t="s">
        <v>8696</v>
      </c>
      <c r="H902" s="18" t="s">
        <v>8697</v>
      </c>
      <c r="I902" s="16" t="s">
        <v>8698</v>
      </c>
      <c r="J902" s="16" t="s">
        <v>86</v>
      </c>
      <c r="K902" s="16" t="s">
        <v>160</v>
      </c>
      <c r="L902" s="16">
        <v>24598502</v>
      </c>
      <c r="M902" s="16">
        <v>694789704</v>
      </c>
      <c r="N902" s="16" t="s">
        <v>8699</v>
      </c>
      <c r="O902" s="16" t="s">
        <v>8700</v>
      </c>
      <c r="P902" s="16" t="s">
        <v>8701</v>
      </c>
      <c r="Q902" s="16" t="s">
        <v>2215</v>
      </c>
      <c r="R902" s="16" t="s">
        <v>7267</v>
      </c>
      <c r="S902" s="19" t="s">
        <v>8702</v>
      </c>
      <c r="T902" s="20" t="s">
        <v>176</v>
      </c>
      <c r="U902" s="16" t="s">
        <v>8703</v>
      </c>
      <c r="V902" s="16" t="s">
        <v>8704</v>
      </c>
      <c r="W902" s="30" t="s">
        <v>8705</v>
      </c>
      <c r="X902" s="18" t="s">
        <v>542</v>
      </c>
      <c r="Y902" s="18" t="s">
        <v>98</v>
      </c>
      <c r="Z902" s="18" t="s">
        <v>2215</v>
      </c>
      <c r="AA902" s="16" t="s">
        <v>7222</v>
      </c>
      <c r="AB902" s="16" t="s">
        <v>7233</v>
      </c>
      <c r="AC902" s="16" t="s">
        <v>7224</v>
      </c>
      <c r="AD902" s="123" t="str">
        <f t="shared" si="14"/>
        <v>External Transfer-Other banks</v>
      </c>
      <c r="AE902" s="123" t="str">
        <f>VLOOKUP(Table1[[#This Row],[Name of bank]],'اكواد البنوك'!$A$2:$B$34,2,0)</f>
        <v>BMISEGCXXXX</v>
      </c>
      <c r="AF902" s="21" t="s">
        <v>751</v>
      </c>
      <c r="AG902" s="15" t="s">
        <v>49</v>
      </c>
    </row>
    <row r="903" spans="1:33">
      <c r="A903" s="14">
        <v>902</v>
      </c>
      <c r="B903" s="14" t="s">
        <v>2587</v>
      </c>
      <c r="C903" s="14" t="s">
        <v>8591</v>
      </c>
      <c r="D903" s="15" t="s">
        <v>1839</v>
      </c>
      <c r="E903" s="16" t="s">
        <v>8706</v>
      </c>
      <c r="F903" s="32" t="s">
        <v>8707</v>
      </c>
      <c r="G903" s="17" t="s">
        <v>8708</v>
      </c>
      <c r="H903" s="18" t="s">
        <v>8709</v>
      </c>
      <c r="I903" s="16" t="s">
        <v>8710</v>
      </c>
      <c r="J903" s="16" t="s">
        <v>173</v>
      </c>
      <c r="K903" s="16" t="s">
        <v>106</v>
      </c>
      <c r="L903" s="16">
        <v>22271415</v>
      </c>
      <c r="M903" s="16" t="s">
        <v>136</v>
      </c>
      <c r="N903" s="16" t="s">
        <v>8711</v>
      </c>
      <c r="O903" s="16" t="s">
        <v>8712</v>
      </c>
      <c r="P903" s="16" t="s">
        <v>8713</v>
      </c>
      <c r="Q903" s="16" t="s">
        <v>2215</v>
      </c>
      <c r="R903" s="16" t="s">
        <v>7267</v>
      </c>
      <c r="S903" s="19" t="s">
        <v>9934</v>
      </c>
      <c r="T903" s="20" t="s">
        <v>40</v>
      </c>
      <c r="U903" s="16" t="s">
        <v>8714</v>
      </c>
      <c r="V903" s="16" t="s">
        <v>8715</v>
      </c>
      <c r="W903" s="30" t="s">
        <v>9935</v>
      </c>
      <c r="X903" s="18" t="s">
        <v>542</v>
      </c>
      <c r="Y903" s="18" t="s">
        <v>98</v>
      </c>
      <c r="Z903" s="18" t="s">
        <v>2215</v>
      </c>
      <c r="AA903" s="16" t="s">
        <v>7222</v>
      </c>
      <c r="AB903" s="16" t="s">
        <v>7233</v>
      </c>
      <c r="AC903" s="16" t="s">
        <v>7224</v>
      </c>
      <c r="AD903" s="123" t="str">
        <f t="shared" si="14"/>
        <v>External Transfer-NBE</v>
      </c>
      <c r="AE903" s="123" t="str">
        <f>VLOOKUP(Table1[[#This Row],[Name of bank]],'اكواد البنوك'!$A$2:$B$34,2,0)</f>
        <v>NBEGEGCXXXX</v>
      </c>
      <c r="AF903" s="21">
        <v>175</v>
      </c>
      <c r="AG903" s="15" t="s">
        <v>167</v>
      </c>
    </row>
    <row r="904" spans="1:33">
      <c r="A904" s="14">
        <v>903</v>
      </c>
      <c r="B904" s="14" t="s">
        <v>2587</v>
      </c>
      <c r="C904" s="14" t="e">
        <v>#N/A</v>
      </c>
      <c r="D904" s="15" t="s">
        <v>1839</v>
      </c>
      <c r="E904" s="16" t="s">
        <v>8716</v>
      </c>
      <c r="F904" s="32" t="s">
        <v>8717</v>
      </c>
      <c r="G904" s="17" t="s">
        <v>8718</v>
      </c>
      <c r="H904" s="18" t="s">
        <v>8719</v>
      </c>
      <c r="I904" s="16" t="s">
        <v>8720</v>
      </c>
      <c r="J904" s="16" t="s">
        <v>173</v>
      </c>
      <c r="K904" s="16" t="s">
        <v>2284</v>
      </c>
      <c r="L904" s="16" t="s">
        <v>136</v>
      </c>
      <c r="M904" s="16" t="s">
        <v>136</v>
      </c>
      <c r="N904" s="16" t="s">
        <v>8721</v>
      </c>
      <c r="O904" s="16" t="s">
        <v>8722</v>
      </c>
      <c r="P904" s="16" t="s">
        <v>8723</v>
      </c>
      <c r="Q904" s="16" t="s">
        <v>2215</v>
      </c>
      <c r="R904" s="16" t="s">
        <v>7267</v>
      </c>
      <c r="S904" s="19" t="s">
        <v>8716</v>
      </c>
      <c r="T904" s="20" t="s">
        <v>176</v>
      </c>
      <c r="U904" s="16" t="s">
        <v>9936</v>
      </c>
      <c r="V904" s="16" t="s">
        <v>8724</v>
      </c>
      <c r="W904" s="30" t="s">
        <v>8725</v>
      </c>
      <c r="X904" s="18" t="s">
        <v>542</v>
      </c>
      <c r="Y904" s="18" t="s">
        <v>98</v>
      </c>
      <c r="Z904" s="18" t="s">
        <v>2215</v>
      </c>
      <c r="AA904" s="16" t="s">
        <v>7222</v>
      </c>
      <c r="AB904" s="16" t="s">
        <v>7233</v>
      </c>
      <c r="AC904" s="16" t="s">
        <v>7224</v>
      </c>
      <c r="AD904" s="123" t="str">
        <f t="shared" si="14"/>
        <v>External Transfer-Other banks</v>
      </c>
      <c r="AE904" s="123" t="str">
        <f>VLOOKUP(Table1[[#This Row],[Name of bank]],'اكواد البنوك'!$A$2:$B$34,2,0)</f>
        <v>BMISEGCXXXX</v>
      </c>
      <c r="AF904" s="21">
        <v>136</v>
      </c>
      <c r="AG904" s="15" t="s">
        <v>167</v>
      </c>
    </row>
    <row r="905" spans="1:33">
      <c r="A905" s="14">
        <v>904</v>
      </c>
      <c r="B905" s="14" t="s">
        <v>2611</v>
      </c>
      <c r="C905" s="14" t="s">
        <v>7808</v>
      </c>
      <c r="D905" s="15" t="s">
        <v>1839</v>
      </c>
      <c r="E905" s="16" t="s">
        <v>8726</v>
      </c>
      <c r="F905" s="32" t="s">
        <v>8727</v>
      </c>
      <c r="G905" s="17" t="s">
        <v>8728</v>
      </c>
      <c r="H905" s="18" t="s">
        <v>8729</v>
      </c>
      <c r="I905" s="16" t="s">
        <v>8730</v>
      </c>
      <c r="J905" s="16" t="s">
        <v>86</v>
      </c>
      <c r="K905" s="16" t="s">
        <v>5050</v>
      </c>
      <c r="L905" s="16">
        <v>80663807</v>
      </c>
      <c r="M905" s="16" t="s">
        <v>8731</v>
      </c>
      <c r="N905" s="16" t="s">
        <v>8732</v>
      </c>
      <c r="O905" s="16" t="s">
        <v>8733</v>
      </c>
      <c r="P905" s="16" t="s">
        <v>8734</v>
      </c>
      <c r="Q905" s="16" t="s">
        <v>2215</v>
      </c>
      <c r="R905" s="16" t="s">
        <v>7267</v>
      </c>
      <c r="S905" s="19" t="s">
        <v>9937</v>
      </c>
      <c r="T905" s="20" t="s">
        <v>6966</v>
      </c>
      <c r="U905" s="16" t="s">
        <v>9938</v>
      </c>
      <c r="V905" s="16" t="s">
        <v>8735</v>
      </c>
      <c r="W905" s="30" t="s">
        <v>8736</v>
      </c>
      <c r="X905" s="18" t="s">
        <v>542</v>
      </c>
      <c r="Y905" s="18" t="s">
        <v>98</v>
      </c>
      <c r="Z905" s="18" t="s">
        <v>2215</v>
      </c>
      <c r="AA905" s="16" t="s">
        <v>7222</v>
      </c>
      <c r="AB905" s="16" t="s">
        <v>7233</v>
      </c>
      <c r="AC905" s="16" t="s">
        <v>7224</v>
      </c>
      <c r="AD905" s="123" t="str">
        <f t="shared" si="14"/>
        <v>External Transfer-Other banks</v>
      </c>
      <c r="AE905" s="123" t="str">
        <f>VLOOKUP(Table1[[#This Row],[Name of bank]],'اكواد البنوك'!$A$2:$B$34,2,0)</f>
        <v>ARABEGCXXXX</v>
      </c>
      <c r="AF905" s="21">
        <v>5001</v>
      </c>
      <c r="AG905" s="15" t="s">
        <v>167</v>
      </c>
    </row>
    <row r="906" spans="1:33">
      <c r="A906" s="14">
        <v>905</v>
      </c>
      <c r="B906" s="14" t="s">
        <v>2611</v>
      </c>
      <c r="C906" s="14" t="e">
        <v>#N/A</v>
      </c>
      <c r="D906" s="15" t="s">
        <v>1839</v>
      </c>
      <c r="E906" s="16" t="s">
        <v>8737</v>
      </c>
      <c r="F906" s="32" t="s">
        <v>8738</v>
      </c>
      <c r="G906" s="17" t="s">
        <v>8739</v>
      </c>
      <c r="H906" s="18" t="s">
        <v>8740</v>
      </c>
      <c r="I906" s="16" t="s">
        <v>8741</v>
      </c>
      <c r="J906" s="16" t="s">
        <v>86</v>
      </c>
      <c r="K906" s="16" t="s">
        <v>384</v>
      </c>
      <c r="L906" s="16">
        <v>63990152</v>
      </c>
      <c r="M906" s="16">
        <v>694789704</v>
      </c>
      <c r="N906" s="16" t="s">
        <v>8742</v>
      </c>
      <c r="O906" s="16" t="s">
        <v>8743</v>
      </c>
      <c r="P906" s="16" t="s">
        <v>8744</v>
      </c>
      <c r="Q906" s="16" t="s">
        <v>2215</v>
      </c>
      <c r="R906" s="16" t="s">
        <v>7267</v>
      </c>
      <c r="S906" s="19" t="s">
        <v>8745</v>
      </c>
      <c r="T906" s="20" t="s">
        <v>176</v>
      </c>
      <c r="U906" s="16" t="s">
        <v>8746</v>
      </c>
      <c r="V906" s="16" t="s">
        <v>8747</v>
      </c>
      <c r="W906" s="30" t="s">
        <v>8748</v>
      </c>
      <c r="X906" s="18" t="s">
        <v>542</v>
      </c>
      <c r="Y906" s="18" t="s">
        <v>98</v>
      </c>
      <c r="Z906" s="18" t="s">
        <v>2215</v>
      </c>
      <c r="AA906" s="16" t="s">
        <v>7222</v>
      </c>
      <c r="AB906" s="16" t="s">
        <v>7233</v>
      </c>
      <c r="AC906" s="16" t="s">
        <v>7224</v>
      </c>
      <c r="AD906" s="123" t="str">
        <f t="shared" si="14"/>
        <v>External Transfer-Other banks</v>
      </c>
      <c r="AE906" s="123" t="str">
        <f>VLOOKUP(Table1[[#This Row],[Name of bank]],'اكواد البنوك'!$A$2:$B$34,2,0)</f>
        <v>BMISEGCXXXX</v>
      </c>
      <c r="AF906" s="21" t="s">
        <v>311</v>
      </c>
      <c r="AG906" s="15" t="s">
        <v>49</v>
      </c>
    </row>
    <row r="907" spans="1:33">
      <c r="A907" s="14">
        <v>906</v>
      </c>
      <c r="B907" s="14" t="s">
        <v>2635</v>
      </c>
      <c r="C907" s="14" t="e">
        <v>#N/A</v>
      </c>
      <c r="D907" s="15" t="s">
        <v>1839</v>
      </c>
      <c r="E907" s="16" t="s">
        <v>8749</v>
      </c>
      <c r="F907" s="32" t="s">
        <v>10054</v>
      </c>
      <c r="G907" s="17" t="s">
        <v>8750</v>
      </c>
      <c r="H907" s="18" t="s">
        <v>8751</v>
      </c>
      <c r="I907" s="16" t="s">
        <v>8752</v>
      </c>
      <c r="J907" s="16" t="s">
        <v>173</v>
      </c>
      <c r="K907" s="16" t="s">
        <v>8753</v>
      </c>
      <c r="L907" s="16">
        <v>67870516</v>
      </c>
      <c r="M907" s="16" t="s">
        <v>136</v>
      </c>
      <c r="N907" s="16" t="s">
        <v>8754</v>
      </c>
      <c r="O907" s="16" t="s">
        <v>8755</v>
      </c>
      <c r="P907" s="16" t="s">
        <v>8756</v>
      </c>
      <c r="Q907" s="16" t="s">
        <v>2215</v>
      </c>
      <c r="R907" s="16" t="s">
        <v>7267</v>
      </c>
      <c r="S907" s="19" t="s">
        <v>8757</v>
      </c>
      <c r="T907" s="20" t="s">
        <v>40</v>
      </c>
      <c r="U907" s="16" t="s">
        <v>9913</v>
      </c>
      <c r="V907" s="16" t="s">
        <v>8758</v>
      </c>
      <c r="W907" s="113" t="s">
        <v>8759</v>
      </c>
      <c r="X907" s="18" t="s">
        <v>542</v>
      </c>
      <c r="Y907" s="18" t="s">
        <v>98</v>
      </c>
      <c r="Z907" s="18" t="s">
        <v>2215</v>
      </c>
      <c r="AA907" s="16" t="s">
        <v>7222</v>
      </c>
      <c r="AB907" s="16" t="s">
        <v>7233</v>
      </c>
      <c r="AC907" s="16" t="s">
        <v>7224</v>
      </c>
      <c r="AD907" s="123" t="str">
        <f t="shared" si="14"/>
        <v>External Transfer-NBE</v>
      </c>
      <c r="AE907" s="123" t="str">
        <f>VLOOKUP(Table1[[#This Row],[Name of bank]],'اكواد البنوك'!$A$2:$B$34,2,0)</f>
        <v>NBEGEGCXXXX</v>
      </c>
      <c r="AF907" s="114" t="s">
        <v>10232</v>
      </c>
      <c r="AG907" s="15" t="s">
        <v>167</v>
      </c>
    </row>
    <row r="908" spans="1:33">
      <c r="A908" s="14">
        <v>907</v>
      </c>
      <c r="B908" s="14" t="s">
        <v>2635</v>
      </c>
      <c r="C908" s="14" t="e">
        <v>#N/A</v>
      </c>
      <c r="D908" s="15" t="s">
        <v>1839</v>
      </c>
      <c r="E908" s="16" t="s">
        <v>8760</v>
      </c>
      <c r="F908" s="32" t="s">
        <v>8761</v>
      </c>
      <c r="G908" s="17" t="s">
        <v>8762</v>
      </c>
      <c r="H908" s="18" t="s">
        <v>8763</v>
      </c>
      <c r="I908" s="16" t="s">
        <v>8764</v>
      </c>
      <c r="J908" s="16" t="s">
        <v>86</v>
      </c>
      <c r="K908" s="16" t="s">
        <v>257</v>
      </c>
      <c r="L908" s="16" t="s">
        <v>136</v>
      </c>
      <c r="M908" s="16" t="s">
        <v>977</v>
      </c>
      <c r="N908" s="16" t="s">
        <v>8765</v>
      </c>
      <c r="O908" s="16" t="s">
        <v>8766</v>
      </c>
      <c r="P908" s="16" t="s">
        <v>8767</v>
      </c>
      <c r="Q908" s="16" t="s">
        <v>2215</v>
      </c>
      <c r="R908" s="16" t="s">
        <v>7267</v>
      </c>
      <c r="S908" s="19" t="s">
        <v>8768</v>
      </c>
      <c r="T908" s="20" t="s">
        <v>40</v>
      </c>
      <c r="U908" s="16" t="s">
        <v>8769</v>
      </c>
      <c r="V908" s="16" t="s">
        <v>8770</v>
      </c>
      <c r="W908" s="30" t="s">
        <v>8771</v>
      </c>
      <c r="X908" s="18" t="s">
        <v>542</v>
      </c>
      <c r="Y908" s="18" t="s">
        <v>98</v>
      </c>
      <c r="Z908" s="18" t="s">
        <v>2215</v>
      </c>
      <c r="AA908" s="16" t="s">
        <v>7222</v>
      </c>
      <c r="AB908" s="16" t="s">
        <v>7233</v>
      </c>
      <c r="AC908" s="16" t="s">
        <v>7224</v>
      </c>
      <c r="AD908" s="123" t="str">
        <f t="shared" si="14"/>
        <v>External Transfer-NBE</v>
      </c>
      <c r="AE908" s="123" t="str">
        <f>VLOOKUP(Table1[[#This Row],[Name of bank]],'اكواد البنوك'!$A$2:$B$34,2,0)</f>
        <v>NBEGEGCXXXX</v>
      </c>
      <c r="AF908" s="21" t="s">
        <v>8772</v>
      </c>
      <c r="AG908" s="15" t="s">
        <v>49</v>
      </c>
    </row>
    <row r="909" spans="1:33">
      <c r="A909" s="14">
        <v>908</v>
      </c>
      <c r="B909" s="14" t="s">
        <v>2661</v>
      </c>
      <c r="C909" s="14" t="e">
        <v>#N/A</v>
      </c>
      <c r="D909" s="15" t="s">
        <v>1839</v>
      </c>
      <c r="E909" s="16" t="s">
        <v>8773</v>
      </c>
      <c r="F909" s="32" t="s">
        <v>10085</v>
      </c>
      <c r="G909" s="17" t="s">
        <v>8774</v>
      </c>
      <c r="H909" s="18" t="s">
        <v>8775</v>
      </c>
      <c r="I909" s="16" t="s">
        <v>8776</v>
      </c>
      <c r="J909" s="16" t="s">
        <v>173</v>
      </c>
      <c r="K909" s="16" t="s">
        <v>148</v>
      </c>
      <c r="L909" s="16">
        <v>66003097</v>
      </c>
      <c r="M909" s="16">
        <v>266853943</v>
      </c>
      <c r="N909" s="16" t="s">
        <v>8777</v>
      </c>
      <c r="O909" s="16" t="s">
        <v>8778</v>
      </c>
      <c r="P909" s="16" t="s">
        <v>8779</v>
      </c>
      <c r="Q909" s="16" t="s">
        <v>2215</v>
      </c>
      <c r="R909" s="16" t="s">
        <v>7267</v>
      </c>
      <c r="S909" s="19" t="s">
        <v>9939</v>
      </c>
      <c r="T909" s="20" t="s">
        <v>176</v>
      </c>
      <c r="U909" s="16" t="s">
        <v>9940</v>
      </c>
      <c r="V909" s="16" t="s">
        <v>8780</v>
      </c>
      <c r="W909" s="30" t="s">
        <v>8781</v>
      </c>
      <c r="X909" s="18" t="s">
        <v>542</v>
      </c>
      <c r="Y909" s="18" t="s">
        <v>98</v>
      </c>
      <c r="Z909" s="18" t="s">
        <v>2215</v>
      </c>
      <c r="AA909" s="16" t="s">
        <v>7222</v>
      </c>
      <c r="AB909" s="16" t="s">
        <v>7233</v>
      </c>
      <c r="AC909" s="16" t="s">
        <v>7224</v>
      </c>
      <c r="AD909" s="123" t="str">
        <f t="shared" si="14"/>
        <v>External Transfer-Other banks</v>
      </c>
      <c r="AE909" s="123" t="str">
        <f>VLOOKUP(Table1[[#This Row],[Name of bank]],'اكواد البنوك'!$A$2:$B$34,2,0)</f>
        <v>BMISEGCXXXX</v>
      </c>
      <c r="AF909" s="21">
        <v>175</v>
      </c>
      <c r="AG909" s="15" t="s">
        <v>167</v>
      </c>
    </row>
    <row r="910" spans="1:33">
      <c r="A910" s="14">
        <v>909</v>
      </c>
      <c r="B910" s="14" t="s">
        <v>2661</v>
      </c>
      <c r="C910" s="14" t="e">
        <v>#N/A</v>
      </c>
      <c r="D910" s="15" t="s">
        <v>1839</v>
      </c>
      <c r="E910" s="16" t="s">
        <v>8782</v>
      </c>
      <c r="F910" s="32" t="s">
        <v>8783</v>
      </c>
      <c r="G910" s="17" t="s">
        <v>8784</v>
      </c>
      <c r="H910" s="18" t="s">
        <v>8785</v>
      </c>
      <c r="I910" s="16" t="s">
        <v>8160</v>
      </c>
      <c r="J910" s="16" t="s">
        <v>86</v>
      </c>
      <c r="K910" s="16" t="s">
        <v>8786</v>
      </c>
      <c r="L910" s="16">
        <v>73531846</v>
      </c>
      <c r="M910" s="16">
        <v>528564080</v>
      </c>
      <c r="N910" s="16" t="s">
        <v>8787</v>
      </c>
      <c r="O910" s="16" t="s">
        <v>8788</v>
      </c>
      <c r="P910" s="16" t="s">
        <v>8789</v>
      </c>
      <c r="Q910" s="16" t="s">
        <v>2215</v>
      </c>
      <c r="R910" s="16" t="s">
        <v>7267</v>
      </c>
      <c r="S910" s="19" t="s">
        <v>8790</v>
      </c>
      <c r="T910" s="20" t="s">
        <v>40</v>
      </c>
      <c r="U910" s="16" t="s">
        <v>8791</v>
      </c>
      <c r="V910" s="16" t="s">
        <v>8792</v>
      </c>
      <c r="W910" s="30" t="s">
        <v>8793</v>
      </c>
      <c r="X910" s="18" t="s">
        <v>542</v>
      </c>
      <c r="Y910" s="18" t="s">
        <v>98</v>
      </c>
      <c r="Z910" s="18" t="s">
        <v>2215</v>
      </c>
      <c r="AA910" s="16" t="s">
        <v>7222</v>
      </c>
      <c r="AB910" s="16" t="s">
        <v>7233</v>
      </c>
      <c r="AC910" s="16" t="s">
        <v>7224</v>
      </c>
      <c r="AD910" s="123" t="str">
        <f t="shared" si="14"/>
        <v>External Transfer-NBE</v>
      </c>
      <c r="AE910" s="123" t="str">
        <f>VLOOKUP(Table1[[#This Row],[Name of bank]],'اكواد البنوك'!$A$2:$B$34,2,0)</f>
        <v>NBEGEGCXXXX</v>
      </c>
      <c r="AF910" s="21" t="s">
        <v>311</v>
      </c>
      <c r="AG910" s="15" t="s">
        <v>49</v>
      </c>
    </row>
    <row r="911" spans="1:33">
      <c r="A911" s="14">
        <v>910</v>
      </c>
      <c r="B911" s="14" t="s">
        <v>8794</v>
      </c>
      <c r="C911" s="14" t="s">
        <v>8615</v>
      </c>
      <c r="D911" s="15" t="s">
        <v>1839</v>
      </c>
      <c r="E911" s="16" t="s">
        <v>8795</v>
      </c>
      <c r="F911" s="32" t="s">
        <v>8796</v>
      </c>
      <c r="G911" s="17" t="s">
        <v>8797</v>
      </c>
      <c r="H911" s="18" t="s">
        <v>8798</v>
      </c>
      <c r="I911" s="16" t="s">
        <v>8799</v>
      </c>
      <c r="J911" s="16" t="s">
        <v>2035</v>
      </c>
      <c r="K911" s="16" t="s">
        <v>8800</v>
      </c>
      <c r="L911" s="16">
        <v>53536213</v>
      </c>
      <c r="M911" s="16">
        <v>2117774</v>
      </c>
      <c r="N911" s="16" t="s">
        <v>8801</v>
      </c>
      <c r="O911" s="16" t="s">
        <v>8802</v>
      </c>
      <c r="P911" s="16" t="s">
        <v>8803</v>
      </c>
      <c r="Q911" s="16" t="s">
        <v>2215</v>
      </c>
      <c r="R911" s="16" t="s">
        <v>7267</v>
      </c>
      <c r="S911" s="19" t="s">
        <v>8804</v>
      </c>
      <c r="T911" s="20" t="s">
        <v>1566</v>
      </c>
      <c r="U911" s="16" t="s">
        <v>9941</v>
      </c>
      <c r="V911" s="16" t="s">
        <v>9942</v>
      </c>
      <c r="W911" s="30" t="s">
        <v>8805</v>
      </c>
      <c r="X911" s="18" t="s">
        <v>542</v>
      </c>
      <c r="Y911" s="18" t="s">
        <v>98</v>
      </c>
      <c r="Z911" s="18" t="s">
        <v>2215</v>
      </c>
      <c r="AA911" s="16" t="s">
        <v>7222</v>
      </c>
      <c r="AB911" s="16" t="s">
        <v>7233</v>
      </c>
      <c r="AC911" s="16" t="s">
        <v>7224</v>
      </c>
      <c r="AD911" s="123" t="str">
        <f t="shared" si="14"/>
        <v>External Transfer-Other banks</v>
      </c>
      <c r="AE911" s="123" t="str">
        <f>VLOOKUP(Table1[[#This Row],[Name of bank]],'اكواد البنوك'!$A$2:$B$34,2,0)</f>
        <v>HDBKEGCAXXX</v>
      </c>
      <c r="AF911" s="21">
        <v>17</v>
      </c>
      <c r="AG911" s="15" t="s">
        <v>167</v>
      </c>
    </row>
    <row r="912" spans="1:33">
      <c r="A912" s="14">
        <v>911</v>
      </c>
      <c r="B912" s="14" t="s">
        <v>8794</v>
      </c>
      <c r="C912" s="14" t="e">
        <v>#N/A</v>
      </c>
      <c r="D912" s="15" t="s">
        <v>1839</v>
      </c>
      <c r="E912" s="16" t="s">
        <v>8806</v>
      </c>
      <c r="F912" s="32" t="s">
        <v>8807</v>
      </c>
      <c r="G912" s="17" t="s">
        <v>8808</v>
      </c>
      <c r="H912" s="18" t="s">
        <v>8809</v>
      </c>
      <c r="I912" s="16" t="s">
        <v>8810</v>
      </c>
      <c r="J912" s="16" t="s">
        <v>86</v>
      </c>
      <c r="K912" s="16" t="s">
        <v>1206</v>
      </c>
      <c r="L912" s="16" t="s">
        <v>136</v>
      </c>
      <c r="M912" s="16" t="s">
        <v>136</v>
      </c>
      <c r="N912" s="16" t="s">
        <v>8811</v>
      </c>
      <c r="O912" s="16" t="s">
        <v>8812</v>
      </c>
      <c r="P912" s="16" t="s">
        <v>8813</v>
      </c>
      <c r="Q912" s="16" t="s">
        <v>2215</v>
      </c>
      <c r="R912" s="16" t="s">
        <v>7267</v>
      </c>
      <c r="S912" s="19" t="s">
        <v>8807</v>
      </c>
      <c r="T912" s="20" t="s">
        <v>176</v>
      </c>
      <c r="U912" s="16" t="s">
        <v>8814</v>
      </c>
      <c r="V912" s="16" t="s">
        <v>8815</v>
      </c>
      <c r="W912" s="30" t="s">
        <v>8816</v>
      </c>
      <c r="X912" s="18" t="s">
        <v>542</v>
      </c>
      <c r="Y912" s="18" t="s">
        <v>98</v>
      </c>
      <c r="Z912" s="18" t="s">
        <v>2215</v>
      </c>
      <c r="AA912" s="16" t="s">
        <v>7222</v>
      </c>
      <c r="AB912" s="16" t="s">
        <v>7233</v>
      </c>
      <c r="AC912" s="16" t="s">
        <v>7224</v>
      </c>
      <c r="AD912" s="123" t="str">
        <f t="shared" si="14"/>
        <v>External Transfer-Other banks</v>
      </c>
      <c r="AE912" s="123" t="str">
        <f>VLOOKUP(Table1[[#This Row],[Name of bank]],'اكواد البنوك'!$A$2:$B$34,2,0)</f>
        <v>BMISEGCXXXX</v>
      </c>
      <c r="AF912" s="21" t="s">
        <v>8817</v>
      </c>
      <c r="AG912" s="15" t="s">
        <v>49</v>
      </c>
    </row>
    <row r="913" spans="1:33">
      <c r="A913" s="14">
        <v>912</v>
      </c>
      <c r="B913" s="14" t="s">
        <v>8818</v>
      </c>
      <c r="C913" s="14" t="e">
        <v>#N/A</v>
      </c>
      <c r="D913" s="15" t="s">
        <v>1839</v>
      </c>
      <c r="E913" s="16" t="s">
        <v>8819</v>
      </c>
      <c r="F913" s="32" t="s">
        <v>8820</v>
      </c>
      <c r="G913" s="17" t="s">
        <v>8821</v>
      </c>
      <c r="H913" s="18" t="s">
        <v>8822</v>
      </c>
      <c r="I913" s="16" t="s">
        <v>8823</v>
      </c>
      <c r="J913" s="16" t="s">
        <v>2035</v>
      </c>
      <c r="K913" s="16" t="s">
        <v>8824</v>
      </c>
      <c r="L913" s="16" t="s">
        <v>136</v>
      </c>
      <c r="M913" s="16" t="s">
        <v>136</v>
      </c>
      <c r="N913" s="16" t="s">
        <v>8825</v>
      </c>
      <c r="O913" s="16" t="s">
        <v>8826</v>
      </c>
      <c r="P913" s="16" t="s">
        <v>8827</v>
      </c>
      <c r="Q913" s="16" t="s">
        <v>2215</v>
      </c>
      <c r="R913" s="16" t="s">
        <v>7267</v>
      </c>
      <c r="S913" s="19" t="s">
        <v>8828</v>
      </c>
      <c r="T913" s="20" t="s">
        <v>40</v>
      </c>
      <c r="U913" s="16" t="s">
        <v>8829</v>
      </c>
      <c r="V913" s="16" t="s">
        <v>8063</v>
      </c>
      <c r="W913" s="30" t="s">
        <v>8064</v>
      </c>
      <c r="X913" s="18" t="s">
        <v>542</v>
      </c>
      <c r="Y913" s="18" t="s">
        <v>98</v>
      </c>
      <c r="Z913" s="18" t="s">
        <v>2215</v>
      </c>
      <c r="AA913" s="16" t="s">
        <v>7222</v>
      </c>
      <c r="AB913" s="16" t="s">
        <v>7233</v>
      </c>
      <c r="AC913" s="16" t="s">
        <v>7224</v>
      </c>
      <c r="AD913" s="123" t="str">
        <f t="shared" si="14"/>
        <v>External Transfer-NBE</v>
      </c>
      <c r="AE913" s="123" t="str">
        <f>VLOOKUP(Table1[[#This Row],[Name of bank]],'اكواد البنوك'!$A$2:$B$34,2,0)</f>
        <v>NBEGEGCXXXX</v>
      </c>
      <c r="AF913" s="21">
        <v>182</v>
      </c>
      <c r="AG913" s="15" t="s">
        <v>167</v>
      </c>
    </row>
    <row r="914" spans="1:33">
      <c r="A914" s="14">
        <v>913</v>
      </c>
      <c r="B914" s="14" t="s">
        <v>8818</v>
      </c>
      <c r="C914" s="14" t="s">
        <v>8615</v>
      </c>
      <c r="D914" s="15" t="s">
        <v>1839</v>
      </c>
      <c r="E914" s="16" t="s">
        <v>8830</v>
      </c>
      <c r="F914" s="32" t="s">
        <v>8831</v>
      </c>
      <c r="G914" s="17" t="s">
        <v>8832</v>
      </c>
      <c r="H914" s="18" t="s">
        <v>8833</v>
      </c>
      <c r="I914" s="16" t="s">
        <v>8834</v>
      </c>
      <c r="J914" s="16" t="s">
        <v>173</v>
      </c>
      <c r="K914" s="16" t="s">
        <v>106</v>
      </c>
      <c r="L914" s="16">
        <v>53903281</v>
      </c>
      <c r="M914" s="16" t="s">
        <v>136</v>
      </c>
      <c r="N914" s="16" t="s">
        <v>8835</v>
      </c>
      <c r="O914" s="16" t="s">
        <v>8836</v>
      </c>
      <c r="P914" s="16" t="s">
        <v>8837</v>
      </c>
      <c r="Q914" s="16" t="s">
        <v>2215</v>
      </c>
      <c r="R914" s="16" t="s">
        <v>7267</v>
      </c>
      <c r="S914" s="19" t="s">
        <v>9943</v>
      </c>
      <c r="T914" s="20" t="s">
        <v>40</v>
      </c>
      <c r="U914" s="16" t="s">
        <v>9892</v>
      </c>
      <c r="V914" s="16" t="s">
        <v>8838</v>
      </c>
      <c r="W914" s="30" t="s">
        <v>8839</v>
      </c>
      <c r="X914" s="18" t="s">
        <v>542</v>
      </c>
      <c r="Y914" s="18" t="s">
        <v>98</v>
      </c>
      <c r="Z914" s="18" t="s">
        <v>2215</v>
      </c>
      <c r="AA914" s="16" t="s">
        <v>7222</v>
      </c>
      <c r="AB914" s="16" t="s">
        <v>7233</v>
      </c>
      <c r="AC914" s="16" t="s">
        <v>7224</v>
      </c>
      <c r="AD914" s="123" t="str">
        <f t="shared" si="14"/>
        <v>External Transfer-NBE</v>
      </c>
      <c r="AE914" s="123" t="str">
        <f>VLOOKUP(Table1[[#This Row],[Name of bank]],'اكواد البنوك'!$A$2:$B$34,2,0)</f>
        <v>NBEGEGCXXXX</v>
      </c>
      <c r="AF914" s="21" t="s">
        <v>3317</v>
      </c>
      <c r="AG914" s="15" t="s">
        <v>167</v>
      </c>
    </row>
    <row r="915" spans="1:33">
      <c r="A915" s="14">
        <v>914</v>
      </c>
      <c r="B915" s="14" t="s">
        <v>8818</v>
      </c>
      <c r="C915" s="14" t="e">
        <v>#N/A</v>
      </c>
      <c r="D915" s="15" t="s">
        <v>1839</v>
      </c>
      <c r="E915" s="16" t="s">
        <v>8840</v>
      </c>
      <c r="F915" s="32" t="s">
        <v>8841</v>
      </c>
      <c r="G915" s="17" t="s">
        <v>8842</v>
      </c>
      <c r="H915" s="18" t="s">
        <v>8843</v>
      </c>
      <c r="I915" s="16" t="s">
        <v>8844</v>
      </c>
      <c r="J915" s="16" t="s">
        <v>173</v>
      </c>
      <c r="K915" s="16" t="s">
        <v>553</v>
      </c>
      <c r="L915" s="16">
        <v>19579151</v>
      </c>
      <c r="M915" s="16" t="s">
        <v>136</v>
      </c>
      <c r="N915" s="16" t="s">
        <v>8845</v>
      </c>
      <c r="O915" s="16" t="s">
        <v>8846</v>
      </c>
      <c r="P915" s="16" t="s">
        <v>8847</v>
      </c>
      <c r="Q915" s="16" t="s">
        <v>2215</v>
      </c>
      <c r="R915" s="16" t="s">
        <v>7267</v>
      </c>
      <c r="S915" s="19" t="s">
        <v>8848</v>
      </c>
      <c r="T915" s="20" t="s">
        <v>176</v>
      </c>
      <c r="U915" s="16" t="s">
        <v>8849</v>
      </c>
      <c r="V915" s="16" t="s">
        <v>8850</v>
      </c>
      <c r="W915" s="30" t="s">
        <v>8851</v>
      </c>
      <c r="X915" s="18" t="s">
        <v>542</v>
      </c>
      <c r="Y915" s="18" t="s">
        <v>98</v>
      </c>
      <c r="Z915" s="18" t="s">
        <v>2215</v>
      </c>
      <c r="AA915" s="16" t="s">
        <v>7222</v>
      </c>
      <c r="AB915" s="16" t="s">
        <v>7233</v>
      </c>
      <c r="AC915" s="16" t="s">
        <v>7224</v>
      </c>
      <c r="AD915" s="123" t="str">
        <f t="shared" si="14"/>
        <v>External Transfer-Other banks</v>
      </c>
      <c r="AE915" s="123" t="str">
        <f>VLOOKUP(Table1[[#This Row],[Name of bank]],'اكواد البنوك'!$A$2:$B$34,2,0)</f>
        <v>BMISEGCXXXX</v>
      </c>
      <c r="AF915" s="21" t="s">
        <v>8191</v>
      </c>
      <c r="AG915" s="15" t="s">
        <v>49</v>
      </c>
    </row>
    <row r="916" spans="1:33">
      <c r="A916" s="14">
        <v>915</v>
      </c>
      <c r="B916" s="14" t="s">
        <v>8852</v>
      </c>
      <c r="C916" s="14" t="s">
        <v>8615</v>
      </c>
      <c r="D916" s="15" t="s">
        <v>1839</v>
      </c>
      <c r="E916" s="16" t="s">
        <v>8853</v>
      </c>
      <c r="F916" s="32" t="s">
        <v>8854</v>
      </c>
      <c r="G916" s="17" t="s">
        <v>8855</v>
      </c>
      <c r="H916" s="18" t="s">
        <v>8856</v>
      </c>
      <c r="I916" s="16" t="s">
        <v>8857</v>
      </c>
      <c r="J916" s="16" t="s">
        <v>2035</v>
      </c>
      <c r="K916" s="16" t="s">
        <v>8858</v>
      </c>
      <c r="L916" s="16">
        <v>50892094</v>
      </c>
      <c r="M916" s="16">
        <v>2117774</v>
      </c>
      <c r="N916" s="16" t="s">
        <v>8859</v>
      </c>
      <c r="O916" s="16" t="s">
        <v>8860</v>
      </c>
      <c r="P916" s="16" t="s">
        <v>8861</v>
      </c>
      <c r="Q916" s="16" t="s">
        <v>2215</v>
      </c>
      <c r="R916" s="16" t="s">
        <v>7267</v>
      </c>
      <c r="S916" s="19" t="s">
        <v>8862</v>
      </c>
      <c r="T916" s="20" t="s">
        <v>176</v>
      </c>
      <c r="U916" s="16" t="s">
        <v>9944</v>
      </c>
      <c r="V916" s="16" t="s">
        <v>8863</v>
      </c>
      <c r="W916" s="113" t="s">
        <v>8864</v>
      </c>
      <c r="X916" s="18" t="s">
        <v>542</v>
      </c>
      <c r="Y916" s="18" t="s">
        <v>98</v>
      </c>
      <c r="Z916" s="18" t="s">
        <v>2215</v>
      </c>
      <c r="AA916" s="16" t="s">
        <v>7222</v>
      </c>
      <c r="AB916" s="16" t="s">
        <v>7233</v>
      </c>
      <c r="AC916" s="16" t="s">
        <v>7224</v>
      </c>
      <c r="AD916" s="123" t="str">
        <f t="shared" si="14"/>
        <v>External Transfer-Other banks</v>
      </c>
      <c r="AE916" s="123" t="str">
        <f>VLOOKUP(Table1[[#This Row],[Name of bank]],'اكواد البنوك'!$A$2:$B$34,2,0)</f>
        <v>BMISEGCXXXX</v>
      </c>
      <c r="AF916" s="114" t="s">
        <v>8817</v>
      </c>
      <c r="AG916" s="15" t="s">
        <v>167</v>
      </c>
    </row>
    <row r="917" spans="1:33">
      <c r="A917" s="14">
        <v>916</v>
      </c>
      <c r="B917" s="14" t="s">
        <v>8852</v>
      </c>
      <c r="C917" s="14" t="e">
        <v>#N/A</v>
      </c>
      <c r="D917" s="15" t="s">
        <v>1839</v>
      </c>
      <c r="E917" s="16" t="s">
        <v>8865</v>
      </c>
      <c r="F917" s="32" t="s">
        <v>10200</v>
      </c>
      <c r="G917" s="17" t="s">
        <v>8866</v>
      </c>
      <c r="H917" s="18" t="s">
        <v>8867</v>
      </c>
      <c r="I917" s="16" t="s">
        <v>8868</v>
      </c>
      <c r="J917" s="16" t="s">
        <v>86</v>
      </c>
      <c r="K917" s="16" t="s">
        <v>160</v>
      </c>
      <c r="L917" s="16">
        <v>7280680</v>
      </c>
      <c r="M917" s="16">
        <v>69478904</v>
      </c>
      <c r="N917" s="16" t="s">
        <v>8869</v>
      </c>
      <c r="O917" s="16" t="s">
        <v>8870</v>
      </c>
      <c r="P917" s="16" t="s">
        <v>8871</v>
      </c>
      <c r="Q917" s="16" t="s">
        <v>2215</v>
      </c>
      <c r="R917" s="16" t="s">
        <v>7267</v>
      </c>
      <c r="S917" s="19" t="s">
        <v>8872</v>
      </c>
      <c r="T917" s="20" t="s">
        <v>40</v>
      </c>
      <c r="U917" s="16" t="s">
        <v>8873</v>
      </c>
      <c r="V917" s="16" t="s">
        <v>8874</v>
      </c>
      <c r="W917" s="30" t="s">
        <v>8875</v>
      </c>
      <c r="X917" s="18" t="s">
        <v>542</v>
      </c>
      <c r="Y917" s="18" t="s">
        <v>98</v>
      </c>
      <c r="Z917" s="18" t="s">
        <v>2215</v>
      </c>
      <c r="AA917" s="16" t="s">
        <v>7222</v>
      </c>
      <c r="AB917" s="16" t="s">
        <v>7233</v>
      </c>
      <c r="AC917" s="16" t="s">
        <v>7224</v>
      </c>
      <c r="AD917" s="123" t="str">
        <f t="shared" si="14"/>
        <v>External Transfer-NBE</v>
      </c>
      <c r="AE917" s="123" t="str">
        <f>VLOOKUP(Table1[[#This Row],[Name of bank]],'اكواد البنوك'!$A$2:$B$34,2,0)</f>
        <v>NBEGEGCXXXX</v>
      </c>
      <c r="AF917" s="21" t="s">
        <v>8876</v>
      </c>
      <c r="AG917" s="15" t="s">
        <v>49</v>
      </c>
    </row>
    <row r="918" spans="1:33">
      <c r="A918" s="14">
        <v>917</v>
      </c>
      <c r="B918" s="14" t="s">
        <v>8877</v>
      </c>
      <c r="C918" s="14" t="e">
        <v>#N/A</v>
      </c>
      <c r="D918" s="15" t="s">
        <v>1839</v>
      </c>
      <c r="E918" s="16" t="s">
        <v>8878</v>
      </c>
      <c r="F918" s="32" t="s">
        <v>8879</v>
      </c>
      <c r="G918" s="17" t="s">
        <v>8880</v>
      </c>
      <c r="H918" s="18" t="s">
        <v>8881</v>
      </c>
      <c r="I918" s="16" t="s">
        <v>8882</v>
      </c>
      <c r="J918" s="16" t="s">
        <v>86</v>
      </c>
      <c r="K918" s="16" t="s">
        <v>8883</v>
      </c>
      <c r="L918" s="16" t="s">
        <v>2545</v>
      </c>
      <c r="M918" s="16" t="s">
        <v>2545</v>
      </c>
      <c r="N918" s="16" t="s">
        <v>8884</v>
      </c>
      <c r="O918" s="16" t="s">
        <v>8885</v>
      </c>
      <c r="P918" s="16" t="s">
        <v>8886</v>
      </c>
      <c r="Q918" s="16" t="s">
        <v>2215</v>
      </c>
      <c r="R918" s="16" t="s">
        <v>7267</v>
      </c>
      <c r="S918" s="19" t="s">
        <v>8887</v>
      </c>
      <c r="T918" s="20" t="s">
        <v>307</v>
      </c>
      <c r="U918" s="16" t="s">
        <v>9945</v>
      </c>
      <c r="V918" s="16" t="s">
        <v>8888</v>
      </c>
      <c r="W918" s="30" t="s">
        <v>8889</v>
      </c>
      <c r="X918" s="18" t="s">
        <v>542</v>
      </c>
      <c r="Y918" s="18" t="s">
        <v>98</v>
      </c>
      <c r="Z918" s="18" t="s">
        <v>2215</v>
      </c>
      <c r="AA918" s="16" t="s">
        <v>7222</v>
      </c>
      <c r="AB918" s="16" t="s">
        <v>7233</v>
      </c>
      <c r="AC918" s="16" t="s">
        <v>7224</v>
      </c>
      <c r="AD918" s="123" t="str">
        <f t="shared" si="14"/>
        <v>External Transfer-Other banks</v>
      </c>
      <c r="AE918" s="123" t="str">
        <f>VLOOKUP(Table1[[#This Row],[Name of bank]],'اكواد البنوك'!$A$2:$B$34,2,0)</f>
        <v>CIBEEGCXXXX</v>
      </c>
      <c r="AF918" s="21">
        <v>60</v>
      </c>
      <c r="AG918" s="15" t="s">
        <v>167</v>
      </c>
    </row>
    <row r="919" spans="1:33">
      <c r="A919" s="14">
        <v>918</v>
      </c>
      <c r="B919" s="14" t="s">
        <v>8877</v>
      </c>
      <c r="C919" s="14" t="e">
        <v>#N/A</v>
      </c>
      <c r="D919" s="15" t="s">
        <v>1839</v>
      </c>
      <c r="E919" s="16" t="s">
        <v>8890</v>
      </c>
      <c r="F919" s="32" t="s">
        <v>10163</v>
      </c>
      <c r="G919" s="17" t="s">
        <v>8891</v>
      </c>
      <c r="H919" s="18" t="s">
        <v>8892</v>
      </c>
      <c r="I919" s="16" t="s">
        <v>8462</v>
      </c>
      <c r="J919" s="16" t="s">
        <v>173</v>
      </c>
      <c r="K919" s="16" t="s">
        <v>269</v>
      </c>
      <c r="L919" s="16">
        <v>76162376</v>
      </c>
      <c r="M919" s="16" t="s">
        <v>234</v>
      </c>
      <c r="N919" s="16" t="s">
        <v>8893</v>
      </c>
      <c r="O919" s="16" t="s">
        <v>8894</v>
      </c>
      <c r="P919" s="16" t="s">
        <v>8895</v>
      </c>
      <c r="Q919" s="16" t="s">
        <v>2215</v>
      </c>
      <c r="R919" s="16" t="s">
        <v>7267</v>
      </c>
      <c r="S919" s="19" t="s">
        <v>8896</v>
      </c>
      <c r="T919" s="20" t="s">
        <v>40</v>
      </c>
      <c r="U919" s="16" t="s">
        <v>8897</v>
      </c>
      <c r="V919" s="16" t="s">
        <v>8898</v>
      </c>
      <c r="W919" s="30" t="s">
        <v>8899</v>
      </c>
      <c r="X919" s="18" t="s">
        <v>542</v>
      </c>
      <c r="Y919" s="18" t="s">
        <v>98</v>
      </c>
      <c r="Z919" s="18" t="s">
        <v>2215</v>
      </c>
      <c r="AA919" s="16" t="s">
        <v>7222</v>
      </c>
      <c r="AB919" s="16" t="s">
        <v>7233</v>
      </c>
      <c r="AC919" s="16" t="s">
        <v>7224</v>
      </c>
      <c r="AD919" s="123" t="str">
        <f t="shared" si="14"/>
        <v>External Transfer-NBE</v>
      </c>
      <c r="AE919" s="123" t="str">
        <f>VLOOKUP(Table1[[#This Row],[Name of bank]],'اكواد البنوك'!$A$2:$B$34,2,0)</f>
        <v>NBEGEGCXXXX</v>
      </c>
      <c r="AF919" s="21" t="s">
        <v>8900</v>
      </c>
      <c r="AG919" s="15" t="s">
        <v>49</v>
      </c>
    </row>
    <row r="920" spans="1:33">
      <c r="A920" s="14">
        <v>919</v>
      </c>
      <c r="B920" s="14" t="s">
        <v>8901</v>
      </c>
      <c r="C920" s="14" t="e">
        <v>#N/A</v>
      </c>
      <c r="D920" s="15" t="s">
        <v>1839</v>
      </c>
      <c r="E920" s="16" t="s">
        <v>8902</v>
      </c>
      <c r="F920" s="32" t="s">
        <v>8903</v>
      </c>
      <c r="G920" s="17" t="s">
        <v>8904</v>
      </c>
      <c r="H920" s="18" t="s">
        <v>8905</v>
      </c>
      <c r="I920" s="16" t="s">
        <v>8906</v>
      </c>
      <c r="J920" s="16" t="s">
        <v>173</v>
      </c>
      <c r="K920" s="16" t="s">
        <v>384</v>
      </c>
      <c r="L920" s="16">
        <v>71635670</v>
      </c>
      <c r="M920" s="16">
        <v>266853943</v>
      </c>
      <c r="N920" s="16" t="s">
        <v>8907</v>
      </c>
      <c r="O920" s="16" t="s">
        <v>8908</v>
      </c>
      <c r="P920" s="16" t="s">
        <v>8909</v>
      </c>
      <c r="Q920" s="16" t="s">
        <v>2215</v>
      </c>
      <c r="R920" s="16" t="s">
        <v>7267</v>
      </c>
      <c r="S920" s="19" t="s">
        <v>8910</v>
      </c>
      <c r="T920" s="20" t="s">
        <v>40</v>
      </c>
      <c r="U920" s="16" t="s">
        <v>8911</v>
      </c>
      <c r="V920" s="16" t="s">
        <v>8912</v>
      </c>
      <c r="W920" s="30" t="s">
        <v>8913</v>
      </c>
      <c r="X920" s="18" t="s">
        <v>542</v>
      </c>
      <c r="Y920" s="18" t="s">
        <v>98</v>
      </c>
      <c r="Z920" s="18" t="s">
        <v>2215</v>
      </c>
      <c r="AA920" s="16" t="s">
        <v>7222</v>
      </c>
      <c r="AB920" s="16" t="s">
        <v>7233</v>
      </c>
      <c r="AC920" s="16" t="s">
        <v>7224</v>
      </c>
      <c r="AD920" s="123" t="str">
        <f t="shared" si="14"/>
        <v>External Transfer-NBE</v>
      </c>
      <c r="AE920" s="123" t="str">
        <f>VLOOKUP(Table1[[#This Row],[Name of bank]],'اكواد البنوك'!$A$2:$B$34,2,0)</f>
        <v>NBEGEGCXXXX</v>
      </c>
      <c r="AF920" s="21">
        <v>183</v>
      </c>
      <c r="AG920" s="15" t="s">
        <v>167</v>
      </c>
    </row>
    <row r="921" spans="1:33">
      <c r="A921" s="14">
        <v>920</v>
      </c>
      <c r="B921" s="14" t="s">
        <v>8914</v>
      </c>
      <c r="C921" s="14" t="e">
        <v>#N/A</v>
      </c>
      <c r="D921" s="15" t="s">
        <v>1839</v>
      </c>
      <c r="E921" s="16" t="s">
        <v>8915</v>
      </c>
      <c r="F921" s="32" t="s">
        <v>10107</v>
      </c>
      <c r="G921" s="17" t="s">
        <v>8917</v>
      </c>
      <c r="H921" s="18" t="s">
        <v>8918</v>
      </c>
      <c r="I921" s="16" t="s">
        <v>8919</v>
      </c>
      <c r="J921" s="16" t="s">
        <v>2035</v>
      </c>
      <c r="K921" s="16" t="s">
        <v>8920</v>
      </c>
      <c r="L921" s="16">
        <v>53488502</v>
      </c>
      <c r="M921" s="16" t="s">
        <v>427</v>
      </c>
      <c r="N921" s="16" t="s">
        <v>8921</v>
      </c>
      <c r="O921" s="16" t="s">
        <v>8922</v>
      </c>
      <c r="P921" s="16" t="s">
        <v>8923</v>
      </c>
      <c r="Q921" s="16" t="s">
        <v>2215</v>
      </c>
      <c r="R921" s="16" t="s">
        <v>7267</v>
      </c>
      <c r="S921" s="19" t="s">
        <v>8916</v>
      </c>
      <c r="T921" s="20" t="s">
        <v>40</v>
      </c>
      <c r="U921" s="16" t="s">
        <v>8924</v>
      </c>
      <c r="V921" s="16" t="s">
        <v>8925</v>
      </c>
      <c r="W921" s="30" t="s">
        <v>8926</v>
      </c>
      <c r="X921" s="18" t="s">
        <v>542</v>
      </c>
      <c r="Y921" s="18" t="s">
        <v>98</v>
      </c>
      <c r="Z921" s="18" t="s">
        <v>2215</v>
      </c>
      <c r="AA921" s="16" t="s">
        <v>7222</v>
      </c>
      <c r="AB921" s="16" t="s">
        <v>7233</v>
      </c>
      <c r="AC921" s="16" t="s">
        <v>7224</v>
      </c>
      <c r="AD921" s="123" t="str">
        <f t="shared" si="14"/>
        <v>External Transfer-NBE</v>
      </c>
      <c r="AE921" s="123" t="str">
        <f>VLOOKUP(Table1[[#This Row],[Name of bank]],'اكواد البنوك'!$A$2:$B$34,2,0)</f>
        <v>NBEGEGCXXXX</v>
      </c>
      <c r="AF921" s="21">
        <v>184</v>
      </c>
      <c r="AG921" s="15" t="s">
        <v>167</v>
      </c>
    </row>
    <row r="922" spans="1:33">
      <c r="A922" s="14">
        <v>921</v>
      </c>
      <c r="B922" s="14" t="s">
        <v>8927</v>
      </c>
      <c r="C922" s="14" t="s">
        <v>7918</v>
      </c>
      <c r="D922" s="15" t="s">
        <v>1839</v>
      </c>
      <c r="E922" s="16" t="s">
        <v>8928</v>
      </c>
      <c r="F922" s="32" t="s">
        <v>8929</v>
      </c>
      <c r="G922" s="17" t="s">
        <v>8930</v>
      </c>
      <c r="H922" s="18" t="s">
        <v>8931</v>
      </c>
      <c r="I922" s="16" t="s">
        <v>8932</v>
      </c>
      <c r="J922" s="16" t="s">
        <v>173</v>
      </c>
      <c r="K922" s="16" t="s">
        <v>257</v>
      </c>
      <c r="L922" s="16">
        <v>77615137</v>
      </c>
      <c r="M922" s="16" t="s">
        <v>8933</v>
      </c>
      <c r="N922" s="16" t="s">
        <v>8934</v>
      </c>
      <c r="O922" s="16" t="s">
        <v>8935</v>
      </c>
      <c r="P922" s="16" t="s">
        <v>8936</v>
      </c>
      <c r="Q922" s="16" t="s">
        <v>2215</v>
      </c>
      <c r="R922" s="16" t="s">
        <v>7267</v>
      </c>
      <c r="S922" s="19" t="s">
        <v>8937</v>
      </c>
      <c r="T922" s="20" t="s">
        <v>93</v>
      </c>
      <c r="U922" s="16" t="s">
        <v>7314</v>
      </c>
      <c r="V922" s="16" t="s">
        <v>8938</v>
      </c>
      <c r="W922" s="30" t="s">
        <v>8939</v>
      </c>
      <c r="X922" s="18" t="s">
        <v>542</v>
      </c>
      <c r="Y922" s="18" t="s">
        <v>98</v>
      </c>
      <c r="Z922" s="18" t="s">
        <v>2215</v>
      </c>
      <c r="AA922" s="16" t="s">
        <v>7222</v>
      </c>
      <c r="AB922" s="16" t="s">
        <v>7233</v>
      </c>
      <c r="AC922" s="16" t="s">
        <v>7224</v>
      </c>
      <c r="AD922" s="123" t="str">
        <f t="shared" si="14"/>
        <v>External Transfer-Other banks</v>
      </c>
      <c r="AE922" s="123" t="str">
        <f>VLOOKUP(Table1[[#This Row],[Name of bank]],'اكواد البنوك'!$A$2:$B$34,2,0)</f>
        <v>QNBAEGCXXXX</v>
      </c>
      <c r="AF922" s="21">
        <v>193</v>
      </c>
      <c r="AG922" s="15" t="s">
        <v>167</v>
      </c>
    </row>
    <row r="923" spans="1:33">
      <c r="A923" s="14">
        <v>922</v>
      </c>
      <c r="B923" s="14" t="s">
        <v>8927</v>
      </c>
      <c r="C923" s="14" t="e">
        <v>#N/A</v>
      </c>
      <c r="D923" s="15" t="s">
        <v>1839</v>
      </c>
      <c r="E923" s="16" t="s">
        <v>8940</v>
      </c>
      <c r="F923" s="32" t="s">
        <v>8941</v>
      </c>
      <c r="G923" s="17" t="s">
        <v>8942</v>
      </c>
      <c r="H923" s="18" t="s">
        <v>8943</v>
      </c>
      <c r="I923" s="16" t="s">
        <v>8263</v>
      </c>
      <c r="J923" s="16" t="s">
        <v>86</v>
      </c>
      <c r="K923" s="16" t="s">
        <v>1910</v>
      </c>
      <c r="L923" s="16">
        <v>28994202</v>
      </c>
      <c r="M923" s="16" t="s">
        <v>136</v>
      </c>
      <c r="N923" s="16" t="s">
        <v>8944</v>
      </c>
      <c r="O923" s="16" t="s">
        <v>8945</v>
      </c>
      <c r="P923" s="16" t="s">
        <v>8946</v>
      </c>
      <c r="Q923" s="16" t="s">
        <v>2215</v>
      </c>
      <c r="R923" s="16" t="s">
        <v>7267</v>
      </c>
      <c r="S923" s="19" t="s">
        <v>8947</v>
      </c>
      <c r="T923" s="20" t="s">
        <v>176</v>
      </c>
      <c r="U923" s="16" t="s">
        <v>8948</v>
      </c>
      <c r="V923" s="16" t="s">
        <v>8949</v>
      </c>
      <c r="W923" s="30" t="s">
        <v>8950</v>
      </c>
      <c r="X923" s="18" t="s">
        <v>542</v>
      </c>
      <c r="Y923" s="18" t="s">
        <v>98</v>
      </c>
      <c r="Z923" s="18" t="s">
        <v>2215</v>
      </c>
      <c r="AA923" s="16" t="s">
        <v>7222</v>
      </c>
      <c r="AB923" s="16" t="s">
        <v>7233</v>
      </c>
      <c r="AC923" s="16" t="s">
        <v>7224</v>
      </c>
      <c r="AD923" s="123" t="str">
        <f t="shared" si="14"/>
        <v>External Transfer-Other banks</v>
      </c>
      <c r="AE923" s="123" t="str">
        <f>VLOOKUP(Table1[[#This Row],[Name of bank]],'اكواد البنوك'!$A$2:$B$34,2,0)</f>
        <v>BMISEGCXXXX</v>
      </c>
      <c r="AF923" s="21" t="s">
        <v>8682</v>
      </c>
      <c r="AG923" s="15" t="s">
        <v>49</v>
      </c>
    </row>
    <row r="924" spans="1:33">
      <c r="A924" s="14">
        <v>923</v>
      </c>
      <c r="B924" s="14" t="s">
        <v>8951</v>
      </c>
      <c r="C924" s="14" t="e">
        <v>#N/A</v>
      </c>
      <c r="D924" s="15" t="s">
        <v>1839</v>
      </c>
      <c r="E924" s="16" t="s">
        <v>8952</v>
      </c>
      <c r="F924" s="32" t="s">
        <v>10132</v>
      </c>
      <c r="G924" s="17" t="s">
        <v>8953</v>
      </c>
      <c r="H924" s="18" t="s">
        <v>8954</v>
      </c>
      <c r="I924" s="16" t="s">
        <v>8955</v>
      </c>
      <c r="J924" s="16" t="s">
        <v>86</v>
      </c>
      <c r="K924" s="16" t="s">
        <v>8956</v>
      </c>
      <c r="L924" s="16" t="s">
        <v>4251</v>
      </c>
      <c r="M924" s="16" t="s">
        <v>4251</v>
      </c>
      <c r="N924" s="16" t="s">
        <v>8957</v>
      </c>
      <c r="O924" s="16" t="s">
        <v>8958</v>
      </c>
      <c r="P924" s="16" t="s">
        <v>8959</v>
      </c>
      <c r="Q924" s="16" t="s">
        <v>2215</v>
      </c>
      <c r="R924" s="16" t="s">
        <v>7267</v>
      </c>
      <c r="S924" s="19" t="s">
        <v>9946</v>
      </c>
      <c r="T924" s="20" t="s">
        <v>176</v>
      </c>
      <c r="U924" s="16" t="s">
        <v>9947</v>
      </c>
      <c r="V924" s="16" t="s">
        <v>8960</v>
      </c>
      <c r="W924" s="30" t="s">
        <v>8961</v>
      </c>
      <c r="X924" s="18" t="s">
        <v>542</v>
      </c>
      <c r="Y924" s="18" t="s">
        <v>98</v>
      </c>
      <c r="Z924" s="18" t="s">
        <v>2215</v>
      </c>
      <c r="AA924" s="16" t="s">
        <v>7222</v>
      </c>
      <c r="AB924" s="16" t="s">
        <v>7233</v>
      </c>
      <c r="AC924" s="16" t="s">
        <v>7224</v>
      </c>
      <c r="AD924" s="123" t="str">
        <f t="shared" si="14"/>
        <v>External Transfer-Other banks</v>
      </c>
      <c r="AE924" s="123" t="str">
        <f>VLOOKUP(Table1[[#This Row],[Name of bank]],'اكواد البنوك'!$A$2:$B$34,2,0)</f>
        <v>BMISEGCXXXX</v>
      </c>
      <c r="AF924" s="21">
        <v>870</v>
      </c>
      <c r="AG924" s="15" t="s">
        <v>167</v>
      </c>
    </row>
    <row r="925" spans="1:33">
      <c r="A925" s="14">
        <v>924</v>
      </c>
      <c r="B925" s="14" t="s">
        <v>8951</v>
      </c>
      <c r="C925" s="14" t="e">
        <v>#N/A</v>
      </c>
      <c r="D925" s="15" t="s">
        <v>1839</v>
      </c>
      <c r="E925" s="16" t="s">
        <v>8962</v>
      </c>
      <c r="F925" s="32" t="s">
        <v>8963</v>
      </c>
      <c r="G925" s="17" t="s">
        <v>8964</v>
      </c>
      <c r="H925" s="18" t="s">
        <v>8965</v>
      </c>
      <c r="I925" s="16" t="s">
        <v>8966</v>
      </c>
      <c r="J925" s="16" t="s">
        <v>173</v>
      </c>
      <c r="K925" s="16" t="s">
        <v>8967</v>
      </c>
      <c r="L925" s="16" t="s">
        <v>427</v>
      </c>
      <c r="M925" s="16" t="s">
        <v>427</v>
      </c>
      <c r="N925" s="16" t="s">
        <v>8968</v>
      </c>
      <c r="O925" s="16" t="s">
        <v>8969</v>
      </c>
      <c r="P925" s="16" t="s">
        <v>8970</v>
      </c>
      <c r="Q925" s="16" t="s">
        <v>2215</v>
      </c>
      <c r="R925" s="16" t="s">
        <v>7267</v>
      </c>
      <c r="S925" s="19" t="s">
        <v>8963</v>
      </c>
      <c r="T925" s="20" t="s">
        <v>40</v>
      </c>
      <c r="U925" s="16" t="s">
        <v>7632</v>
      </c>
      <c r="V925" s="16" t="s">
        <v>8971</v>
      </c>
      <c r="W925" s="30" t="s">
        <v>8972</v>
      </c>
      <c r="X925" s="18" t="s">
        <v>542</v>
      </c>
      <c r="Y925" s="18" t="s">
        <v>98</v>
      </c>
      <c r="Z925" s="18" t="s">
        <v>2215</v>
      </c>
      <c r="AA925" s="16" t="s">
        <v>7222</v>
      </c>
      <c r="AB925" s="16" t="s">
        <v>7233</v>
      </c>
      <c r="AC925" s="16" t="s">
        <v>7224</v>
      </c>
      <c r="AD925" s="123" t="str">
        <f t="shared" si="14"/>
        <v>External Transfer-NBE</v>
      </c>
      <c r="AE925" s="123" t="str">
        <f>VLOOKUP(Table1[[#This Row],[Name of bank]],'اكواد البنوك'!$A$2:$B$34,2,0)</f>
        <v>NBEGEGCXXXX</v>
      </c>
      <c r="AF925" s="21" t="s">
        <v>8973</v>
      </c>
      <c r="AG925" s="15" t="s">
        <v>49</v>
      </c>
    </row>
    <row r="926" spans="1:33">
      <c r="A926" s="14">
        <v>925</v>
      </c>
      <c r="B926" s="14" t="s">
        <v>8974</v>
      </c>
      <c r="C926" s="14" t="s">
        <v>7645</v>
      </c>
      <c r="D926" s="15" t="s">
        <v>1839</v>
      </c>
      <c r="E926" s="16" t="s">
        <v>8975</v>
      </c>
      <c r="F926" s="32" t="s">
        <v>10078</v>
      </c>
      <c r="G926" s="17" t="s">
        <v>8976</v>
      </c>
      <c r="H926" s="18" t="s">
        <v>8977</v>
      </c>
      <c r="I926" s="16" t="s">
        <v>5337</v>
      </c>
      <c r="J926" s="16" t="s">
        <v>173</v>
      </c>
      <c r="K926" s="16" t="s">
        <v>160</v>
      </c>
      <c r="L926" s="16" t="s">
        <v>136</v>
      </c>
      <c r="M926" s="16" t="s">
        <v>136</v>
      </c>
      <c r="N926" s="16" t="s">
        <v>8978</v>
      </c>
      <c r="O926" s="16" t="s">
        <v>8979</v>
      </c>
      <c r="P926" s="16" t="s">
        <v>8980</v>
      </c>
      <c r="Q926" s="16" t="s">
        <v>2215</v>
      </c>
      <c r="R926" s="16" t="s">
        <v>7267</v>
      </c>
      <c r="S926" s="19" t="s">
        <v>8981</v>
      </c>
      <c r="T926" s="20" t="s">
        <v>93</v>
      </c>
      <c r="U926" s="16" t="s">
        <v>8982</v>
      </c>
      <c r="V926" s="16" t="s">
        <v>8983</v>
      </c>
      <c r="W926" s="30" t="s">
        <v>8984</v>
      </c>
      <c r="X926" s="18" t="s">
        <v>542</v>
      </c>
      <c r="Y926" s="18" t="s">
        <v>98</v>
      </c>
      <c r="Z926" s="18" t="s">
        <v>2215</v>
      </c>
      <c r="AA926" s="16" t="s">
        <v>7222</v>
      </c>
      <c r="AB926" s="16" t="s">
        <v>7233</v>
      </c>
      <c r="AC926" s="16" t="s">
        <v>7224</v>
      </c>
      <c r="AD926" s="123" t="str">
        <f t="shared" si="14"/>
        <v>External Transfer-Other banks</v>
      </c>
      <c r="AE926" s="123" t="str">
        <f>VLOOKUP(Table1[[#This Row],[Name of bank]],'اكواد البنوك'!$A$2:$B$34,2,0)</f>
        <v>QNBAEGCXXXX</v>
      </c>
      <c r="AF926" s="21" t="s">
        <v>8985</v>
      </c>
      <c r="AG926" s="15" t="s">
        <v>49</v>
      </c>
    </row>
    <row r="927" spans="1:33">
      <c r="A927" s="14">
        <v>926</v>
      </c>
      <c r="B927" s="14" t="s">
        <v>8986</v>
      </c>
      <c r="C927" s="14" t="s">
        <v>7527</v>
      </c>
      <c r="D927" s="15" t="s">
        <v>1839</v>
      </c>
      <c r="E927" s="16" t="s">
        <v>8987</v>
      </c>
      <c r="F927" s="32" t="s">
        <v>8988</v>
      </c>
      <c r="G927" s="17" t="s">
        <v>8989</v>
      </c>
      <c r="H927" s="18" t="s">
        <v>8990</v>
      </c>
      <c r="I927" s="16" t="s">
        <v>8991</v>
      </c>
      <c r="J927" s="16" t="s">
        <v>173</v>
      </c>
      <c r="K927" s="16" t="s">
        <v>8992</v>
      </c>
      <c r="L927" s="16">
        <v>76209971</v>
      </c>
      <c r="M927" s="16" t="s">
        <v>234</v>
      </c>
      <c r="N927" s="16" t="s">
        <v>8993</v>
      </c>
      <c r="O927" s="16" t="s">
        <v>8994</v>
      </c>
      <c r="P927" s="16" t="s">
        <v>8995</v>
      </c>
      <c r="Q927" s="16" t="s">
        <v>2215</v>
      </c>
      <c r="R927" s="16" t="s">
        <v>7267</v>
      </c>
      <c r="S927" s="19" t="s">
        <v>9948</v>
      </c>
      <c r="T927" s="20" t="s">
        <v>176</v>
      </c>
      <c r="U927" s="16" t="s">
        <v>7765</v>
      </c>
      <c r="V927" s="16" t="s">
        <v>8996</v>
      </c>
      <c r="W927" s="30" t="s">
        <v>8997</v>
      </c>
      <c r="X927" s="18" t="s">
        <v>542</v>
      </c>
      <c r="Y927" s="18" t="s">
        <v>98</v>
      </c>
      <c r="Z927" s="18" t="s">
        <v>2215</v>
      </c>
      <c r="AA927" s="16" t="s">
        <v>7222</v>
      </c>
      <c r="AB927" s="16" t="s">
        <v>7233</v>
      </c>
      <c r="AC927" s="16" t="s">
        <v>7224</v>
      </c>
      <c r="AD927" s="123" t="str">
        <f t="shared" si="14"/>
        <v>External Transfer-Other banks</v>
      </c>
      <c r="AE927" s="123" t="str">
        <f>VLOOKUP(Table1[[#This Row],[Name of bank]],'اكواد البنوك'!$A$2:$B$34,2,0)</f>
        <v>BMISEGCXXXX</v>
      </c>
      <c r="AF927" s="21">
        <v>513</v>
      </c>
      <c r="AG927" s="15" t="s">
        <v>167</v>
      </c>
    </row>
    <row r="928" spans="1:33">
      <c r="A928" s="14">
        <v>927</v>
      </c>
      <c r="B928" s="14" t="s">
        <v>8986</v>
      </c>
      <c r="C928" s="14" t="e">
        <v>#N/A</v>
      </c>
      <c r="D928" s="15" t="s">
        <v>1839</v>
      </c>
      <c r="E928" s="16" t="s">
        <v>8998</v>
      </c>
      <c r="F928" s="32" t="s">
        <v>8999</v>
      </c>
      <c r="G928" s="17" t="s">
        <v>9000</v>
      </c>
      <c r="H928" s="18" t="s">
        <v>9001</v>
      </c>
      <c r="I928" s="16" t="s">
        <v>7827</v>
      </c>
      <c r="J928" s="16" t="s">
        <v>173</v>
      </c>
      <c r="K928" s="16" t="s">
        <v>9002</v>
      </c>
      <c r="L928" s="16">
        <v>45083884</v>
      </c>
      <c r="M928" s="16">
        <v>2126986</v>
      </c>
      <c r="N928" s="16" t="s">
        <v>9003</v>
      </c>
      <c r="O928" s="16" t="s">
        <v>9004</v>
      </c>
      <c r="P928" s="16" t="s">
        <v>9005</v>
      </c>
      <c r="Q928" s="16" t="s">
        <v>2215</v>
      </c>
      <c r="R928" s="16" t="s">
        <v>7267</v>
      </c>
      <c r="S928" s="19" t="s">
        <v>9006</v>
      </c>
      <c r="T928" s="20" t="s">
        <v>93</v>
      </c>
      <c r="U928" s="16" t="s">
        <v>9007</v>
      </c>
      <c r="V928" s="16" t="s">
        <v>9008</v>
      </c>
      <c r="W928" s="30" t="s">
        <v>9009</v>
      </c>
      <c r="X928" s="18" t="s">
        <v>542</v>
      </c>
      <c r="Y928" s="18" t="s">
        <v>98</v>
      </c>
      <c r="Z928" s="18" t="s">
        <v>2215</v>
      </c>
      <c r="AA928" s="16" t="s">
        <v>7222</v>
      </c>
      <c r="AB928" s="16" t="s">
        <v>7233</v>
      </c>
      <c r="AC928" s="16" t="s">
        <v>7224</v>
      </c>
      <c r="AD928" s="123" t="str">
        <f t="shared" si="14"/>
        <v>External Transfer-Other banks</v>
      </c>
      <c r="AE928" s="123" t="str">
        <f>VLOOKUP(Table1[[#This Row],[Name of bank]],'اكواد البنوك'!$A$2:$B$34,2,0)</f>
        <v>QNBAEGCXXXX</v>
      </c>
      <c r="AF928" s="21" t="s">
        <v>4336</v>
      </c>
      <c r="AG928" s="15" t="s">
        <v>49</v>
      </c>
    </row>
    <row r="929" spans="1:33">
      <c r="A929" s="14">
        <v>928</v>
      </c>
      <c r="B929" s="14" t="s">
        <v>73</v>
      </c>
      <c r="C929" s="14" t="s">
        <v>639</v>
      </c>
      <c r="D929" s="15" t="s">
        <v>1703</v>
      </c>
      <c r="E929" s="16" t="s">
        <v>9010</v>
      </c>
      <c r="F929" s="32" t="s">
        <v>9011</v>
      </c>
      <c r="G929" s="17" t="s">
        <v>9012</v>
      </c>
      <c r="H929" s="18" t="s">
        <v>9013</v>
      </c>
      <c r="I929" s="16" t="s">
        <v>1718</v>
      </c>
      <c r="J929" s="16" t="s">
        <v>2215</v>
      </c>
      <c r="K929" s="16" t="s">
        <v>7223</v>
      </c>
      <c r="L929" s="16"/>
      <c r="M929" s="16"/>
      <c r="N929" s="16"/>
      <c r="O929" s="16"/>
      <c r="P929" s="16"/>
      <c r="Q929" s="16" t="s">
        <v>2215</v>
      </c>
      <c r="R929" s="16" t="s">
        <v>7267</v>
      </c>
      <c r="S929" s="19"/>
      <c r="T929" s="20" t="s">
        <v>40</v>
      </c>
      <c r="U929" s="16"/>
      <c r="V929" s="16"/>
      <c r="W929" s="30" t="s">
        <v>9014</v>
      </c>
      <c r="X929" s="18" t="s">
        <v>78</v>
      </c>
      <c r="Y929" s="18" t="s">
        <v>43</v>
      </c>
      <c r="Z929" s="18" t="s">
        <v>2215</v>
      </c>
      <c r="AA929" s="16" t="s">
        <v>7222</v>
      </c>
      <c r="AB929" s="16" t="s">
        <v>7233</v>
      </c>
      <c r="AC929" s="16" t="s">
        <v>7224</v>
      </c>
      <c r="AD929" s="123" t="str">
        <f t="shared" si="14"/>
        <v>Internal Transfer</v>
      </c>
      <c r="AE929" s="123" t="str">
        <f>VLOOKUP(Table1[[#This Row],[Name of bank]],'اكواد البنوك'!$A$2:$B$34,2,0)</f>
        <v>NBEGEGCXXXX</v>
      </c>
      <c r="AF929" s="21" t="s">
        <v>9014</v>
      </c>
      <c r="AG929" s="15" t="s">
        <v>49</v>
      </c>
    </row>
    <row r="930" spans="1:33">
      <c r="A930" s="14">
        <v>929</v>
      </c>
      <c r="B930" s="14" t="s">
        <v>73</v>
      </c>
      <c r="C930" s="14" t="e">
        <v>#N/A</v>
      </c>
      <c r="D930" s="15" t="s">
        <v>1855</v>
      </c>
      <c r="E930" s="16" t="s">
        <v>9015</v>
      </c>
      <c r="F930" s="32" t="s">
        <v>9016</v>
      </c>
      <c r="G930" s="17" t="s">
        <v>9017</v>
      </c>
      <c r="H930" s="18" t="s">
        <v>9018</v>
      </c>
      <c r="I930" s="16" t="s">
        <v>4032</v>
      </c>
      <c r="J930" s="16" t="s">
        <v>1845</v>
      </c>
      <c r="K930" s="16" t="s">
        <v>9019</v>
      </c>
      <c r="L930" s="16" t="s">
        <v>136</v>
      </c>
      <c r="M930" s="16" t="s">
        <v>136</v>
      </c>
      <c r="N930" s="16" t="s">
        <v>9020</v>
      </c>
      <c r="O930" s="16" t="s">
        <v>9021</v>
      </c>
      <c r="P930" s="16" t="s">
        <v>9022</v>
      </c>
      <c r="Q930" s="16" t="s">
        <v>2215</v>
      </c>
      <c r="R930" s="16" t="s">
        <v>7267</v>
      </c>
      <c r="S930" s="19" t="s">
        <v>136</v>
      </c>
      <c r="T930" s="20" t="s">
        <v>93</v>
      </c>
      <c r="U930" s="16" t="s">
        <v>10209</v>
      </c>
      <c r="V930" s="107" t="s">
        <v>10358</v>
      </c>
      <c r="W930" t="s">
        <v>10360</v>
      </c>
      <c r="X930" s="18" t="s">
        <v>97</v>
      </c>
      <c r="Y930" s="18" t="s">
        <v>98</v>
      </c>
      <c r="Z930" s="18" t="s">
        <v>2215</v>
      </c>
      <c r="AA930" s="16" t="s">
        <v>7222</v>
      </c>
      <c r="AB930" s="16" t="s">
        <v>7233</v>
      </c>
      <c r="AC930" s="16" t="s">
        <v>7224</v>
      </c>
      <c r="AD930" s="123" t="str">
        <f t="shared" si="14"/>
        <v>External Transfer-Other banks</v>
      </c>
      <c r="AE930" s="123" t="str">
        <f>VLOOKUP(Table1[[#This Row],[Name of bank]],'اكواد البنوك'!$A$2:$B$34,2,0)</f>
        <v>QNBAEGCXXXX</v>
      </c>
      <c r="AF930" s="21" t="s">
        <v>10210</v>
      </c>
      <c r="AG930" s="15" t="s">
        <v>167</v>
      </c>
    </row>
    <row r="931" spans="1:33">
      <c r="A931" s="14">
        <v>930</v>
      </c>
      <c r="B931" s="14" t="s">
        <v>73</v>
      </c>
      <c r="C931" s="14" t="s">
        <v>312</v>
      </c>
      <c r="D931" s="15" t="s">
        <v>1839</v>
      </c>
      <c r="E931" s="16" t="s">
        <v>9023</v>
      </c>
      <c r="F931" s="32" t="s">
        <v>10115</v>
      </c>
      <c r="G931" s="17" t="s">
        <v>9024</v>
      </c>
      <c r="H931" s="18" t="s">
        <v>9025</v>
      </c>
      <c r="I931" s="16" t="s">
        <v>9026</v>
      </c>
      <c r="J931" s="16" t="s">
        <v>173</v>
      </c>
      <c r="K931" s="16" t="s">
        <v>9027</v>
      </c>
      <c r="L931" s="16">
        <v>17652674</v>
      </c>
      <c r="M931" s="16" t="s">
        <v>136</v>
      </c>
      <c r="N931" s="16" t="s">
        <v>9028</v>
      </c>
      <c r="O931" s="16" t="s">
        <v>9029</v>
      </c>
      <c r="P931" s="16" t="s">
        <v>9030</v>
      </c>
      <c r="Q931" s="16" t="s">
        <v>2215</v>
      </c>
      <c r="R931" s="16" t="s">
        <v>7267</v>
      </c>
      <c r="S931" s="19" t="s">
        <v>9031</v>
      </c>
      <c r="T931" s="20" t="s">
        <v>307</v>
      </c>
      <c r="U931" s="16" t="s">
        <v>7398</v>
      </c>
      <c r="V931" s="16" t="s">
        <v>9032</v>
      </c>
      <c r="W931" s="30" t="s">
        <v>9033</v>
      </c>
      <c r="X931" s="18" t="s">
        <v>97</v>
      </c>
      <c r="Y931" s="18" t="s">
        <v>98</v>
      </c>
      <c r="Z931" s="18" t="s">
        <v>2215</v>
      </c>
      <c r="AA931" s="16" t="s">
        <v>7222</v>
      </c>
      <c r="AB931" s="16" t="s">
        <v>7233</v>
      </c>
      <c r="AC931" s="16" t="s">
        <v>7224</v>
      </c>
      <c r="AD931" s="123" t="str">
        <f t="shared" si="14"/>
        <v>External Transfer-Other banks</v>
      </c>
      <c r="AE931" s="123" t="str">
        <f>VLOOKUP(Table1[[#This Row],[Name of bank]],'اكواد البنوك'!$A$2:$B$34,2,0)</f>
        <v>CIBEEGCXXXX</v>
      </c>
      <c r="AF931" s="21" t="s">
        <v>7414</v>
      </c>
      <c r="AG931" s="15" t="s">
        <v>49</v>
      </c>
    </row>
    <row r="932" spans="1:33">
      <c r="A932" s="14">
        <v>931</v>
      </c>
      <c r="B932" s="14" t="s">
        <v>73</v>
      </c>
      <c r="C932" s="14" t="s">
        <v>639</v>
      </c>
      <c r="D932" s="15" t="s">
        <v>1718</v>
      </c>
      <c r="E932" s="16" t="s">
        <v>9034</v>
      </c>
      <c r="F932" s="32" t="s">
        <v>9035</v>
      </c>
      <c r="G932" s="17" t="s">
        <v>9036</v>
      </c>
      <c r="H932" s="18" t="s">
        <v>9037</v>
      </c>
      <c r="I932" s="16" t="s">
        <v>1718</v>
      </c>
      <c r="J932" s="16"/>
      <c r="K932" s="16"/>
      <c r="L932" s="16"/>
      <c r="M932" s="16"/>
      <c r="N932" s="16"/>
      <c r="O932" s="16"/>
      <c r="P932" s="16"/>
      <c r="Q932" s="16" t="s">
        <v>2215</v>
      </c>
      <c r="R932" s="16" t="s">
        <v>7267</v>
      </c>
      <c r="S932" s="19"/>
      <c r="T932" s="20" t="s">
        <v>40</v>
      </c>
      <c r="U932" s="16"/>
      <c r="V932" s="16"/>
      <c r="W932" s="30" t="s">
        <v>1718</v>
      </c>
      <c r="X932" s="18" t="s">
        <v>78</v>
      </c>
      <c r="Y932" s="18" t="s">
        <v>43</v>
      </c>
      <c r="Z932" s="18" t="s">
        <v>2215</v>
      </c>
      <c r="AA932" s="16" t="s">
        <v>7222</v>
      </c>
      <c r="AB932" s="16" t="s">
        <v>7233</v>
      </c>
      <c r="AC932" s="16" t="s">
        <v>7224</v>
      </c>
      <c r="AD932" s="123" t="str">
        <f t="shared" si="14"/>
        <v>Internal Transfer</v>
      </c>
      <c r="AE932" s="123" t="str">
        <f>VLOOKUP(Table1[[#This Row],[Name of bank]],'اكواد البنوك'!$A$2:$B$34,2,0)</f>
        <v>NBEGEGCXXXX</v>
      </c>
      <c r="AF932" s="30" t="s">
        <v>1718</v>
      </c>
      <c r="AG932" s="15" t="s">
        <v>49</v>
      </c>
    </row>
    <row r="933" spans="1:33">
      <c r="A933" s="14">
        <v>932</v>
      </c>
      <c r="B933" s="14" t="s">
        <v>73</v>
      </c>
      <c r="C933" s="14" t="s">
        <v>8178</v>
      </c>
      <c r="D933" s="15" t="s">
        <v>1839</v>
      </c>
      <c r="E933" s="16" t="s">
        <v>9038</v>
      </c>
      <c r="F933" s="32" t="s">
        <v>9039</v>
      </c>
      <c r="G933" s="17" t="s">
        <v>9040</v>
      </c>
      <c r="H933" s="18" t="s">
        <v>9041</v>
      </c>
      <c r="I933" s="16" t="s">
        <v>9042</v>
      </c>
      <c r="J933" s="16" t="s">
        <v>86</v>
      </c>
      <c r="K933" s="16" t="s">
        <v>5196</v>
      </c>
      <c r="L933" s="16" t="s">
        <v>136</v>
      </c>
      <c r="M933" s="16">
        <v>51266961</v>
      </c>
      <c r="N933" s="16" t="s">
        <v>9043</v>
      </c>
      <c r="O933" s="16" t="s">
        <v>9044</v>
      </c>
      <c r="P933" s="16" t="s">
        <v>9045</v>
      </c>
      <c r="Q933" s="16" t="s">
        <v>2215</v>
      </c>
      <c r="R933" s="16" t="s">
        <v>7267</v>
      </c>
      <c r="S933" s="19" t="s">
        <v>9038</v>
      </c>
      <c r="T933" s="20" t="s">
        <v>40</v>
      </c>
      <c r="U933" s="16" t="s">
        <v>9046</v>
      </c>
      <c r="V933" s="16" t="s">
        <v>9047</v>
      </c>
      <c r="W933" s="30" t="s">
        <v>9048</v>
      </c>
      <c r="X933" s="18" t="s">
        <v>97</v>
      </c>
      <c r="Y933" s="18" t="s">
        <v>98</v>
      </c>
      <c r="Z933" s="18" t="s">
        <v>2215</v>
      </c>
      <c r="AA933" s="16" t="s">
        <v>7222</v>
      </c>
      <c r="AB933" s="16" t="s">
        <v>7233</v>
      </c>
      <c r="AC933" s="16" t="s">
        <v>7224</v>
      </c>
      <c r="AD933" s="123" t="str">
        <f t="shared" si="14"/>
        <v>External Transfer-NBE</v>
      </c>
      <c r="AE933" s="123" t="str">
        <f>VLOOKUP(Table1[[#This Row],[Name of bank]],'اكواد البنوك'!$A$2:$B$34,2,0)</f>
        <v>NBEGEGCXXXX</v>
      </c>
      <c r="AF933" s="21" t="s">
        <v>9049</v>
      </c>
      <c r="AG933" s="15" t="s">
        <v>49</v>
      </c>
    </row>
    <row r="934" spans="1:33">
      <c r="A934" s="14">
        <v>933</v>
      </c>
      <c r="B934" s="14" t="s">
        <v>2721</v>
      </c>
      <c r="C934" s="14" t="e">
        <v>#N/A</v>
      </c>
      <c r="D934" s="15" t="s">
        <v>1839</v>
      </c>
      <c r="E934" s="16" t="s">
        <v>9050</v>
      </c>
      <c r="F934" s="32" t="s">
        <v>9051</v>
      </c>
      <c r="G934" s="17" t="s">
        <v>9052</v>
      </c>
      <c r="H934" s="18" t="s">
        <v>9053</v>
      </c>
      <c r="I934" s="16" t="s">
        <v>9054</v>
      </c>
      <c r="J934" s="16" t="s">
        <v>86</v>
      </c>
      <c r="K934" s="16" t="s">
        <v>2871</v>
      </c>
      <c r="L934" s="16">
        <v>61155276</v>
      </c>
      <c r="M934" s="16" t="s">
        <v>136</v>
      </c>
      <c r="N934" s="16" t="s">
        <v>9055</v>
      </c>
      <c r="O934" s="16" t="s">
        <v>9056</v>
      </c>
      <c r="P934" s="16" t="s">
        <v>9057</v>
      </c>
      <c r="Q934" s="16" t="s">
        <v>2215</v>
      </c>
      <c r="R934" s="16" t="s">
        <v>7267</v>
      </c>
      <c r="S934" s="19" t="s">
        <v>9058</v>
      </c>
      <c r="T934" s="20" t="s">
        <v>40</v>
      </c>
      <c r="U934" s="16" t="s">
        <v>9059</v>
      </c>
      <c r="V934" s="16" t="s">
        <v>9060</v>
      </c>
      <c r="W934" s="113" t="s">
        <v>9061</v>
      </c>
      <c r="X934" s="18" t="s">
        <v>542</v>
      </c>
      <c r="Y934" s="18" t="s">
        <v>98</v>
      </c>
      <c r="Z934" s="18" t="s">
        <v>2215</v>
      </c>
      <c r="AA934" s="16" t="s">
        <v>7222</v>
      </c>
      <c r="AB934" s="16" t="s">
        <v>7233</v>
      </c>
      <c r="AC934" s="16" t="s">
        <v>7224</v>
      </c>
      <c r="AD934" s="123" t="str">
        <f t="shared" si="14"/>
        <v>External Transfer-NBE</v>
      </c>
      <c r="AE934" s="123" t="str">
        <f>VLOOKUP(Table1[[#This Row],[Name of bank]],'اكواد البنوك'!$A$2:$B$34,2,0)</f>
        <v>NBEGEGCXXXX</v>
      </c>
      <c r="AF934" s="114">
        <v>182</v>
      </c>
      <c r="AG934" s="15" t="s">
        <v>167</v>
      </c>
    </row>
    <row r="935" spans="1:33">
      <c r="A935" s="14">
        <v>934</v>
      </c>
      <c r="B935" s="14" t="s">
        <v>2721</v>
      </c>
      <c r="C935" s="14" t="e">
        <v>#N/A</v>
      </c>
      <c r="D935" s="15" t="s">
        <v>1839</v>
      </c>
      <c r="E935" s="16" t="s">
        <v>9062</v>
      </c>
      <c r="F935" s="32" t="s">
        <v>9063</v>
      </c>
      <c r="G935" s="17" t="s">
        <v>9064</v>
      </c>
      <c r="H935" s="18" t="s">
        <v>9065</v>
      </c>
      <c r="I935" s="16" t="s">
        <v>9066</v>
      </c>
      <c r="J935" s="16" t="s">
        <v>86</v>
      </c>
      <c r="K935" s="16" t="s">
        <v>9067</v>
      </c>
      <c r="L935" s="16">
        <v>29028813</v>
      </c>
      <c r="M935" s="16" t="s">
        <v>1224</v>
      </c>
      <c r="N935" s="16" t="s">
        <v>9068</v>
      </c>
      <c r="O935" s="16" t="s">
        <v>9069</v>
      </c>
      <c r="P935" s="16" t="s">
        <v>9070</v>
      </c>
      <c r="Q935" s="16" t="s">
        <v>2215</v>
      </c>
      <c r="R935" s="16" t="s">
        <v>7267</v>
      </c>
      <c r="S935" s="19" t="s">
        <v>9071</v>
      </c>
      <c r="T935" s="20" t="s">
        <v>40</v>
      </c>
      <c r="U935" s="16" t="s">
        <v>9072</v>
      </c>
      <c r="V935" s="16" t="s">
        <v>9073</v>
      </c>
      <c r="W935" s="30" t="s">
        <v>9074</v>
      </c>
      <c r="X935" s="18" t="s">
        <v>542</v>
      </c>
      <c r="Y935" s="18" t="s">
        <v>98</v>
      </c>
      <c r="Z935" s="18" t="s">
        <v>2215</v>
      </c>
      <c r="AA935" s="16" t="s">
        <v>7222</v>
      </c>
      <c r="AB935" s="16" t="s">
        <v>7233</v>
      </c>
      <c r="AC935" s="16" t="s">
        <v>7224</v>
      </c>
      <c r="AD935" s="123" t="str">
        <f t="shared" si="14"/>
        <v>External Transfer-NBE</v>
      </c>
      <c r="AE935" s="123" t="str">
        <f>VLOOKUP(Table1[[#This Row],[Name of bank]],'اكواد البنوك'!$A$2:$B$34,2,0)</f>
        <v>NBEGEGCXXXX</v>
      </c>
      <c r="AF935" s="21" t="s">
        <v>311</v>
      </c>
      <c r="AG935" s="15" t="s">
        <v>49</v>
      </c>
    </row>
    <row r="936" spans="1:33">
      <c r="A936" s="14">
        <v>935</v>
      </c>
      <c r="B936" s="14" t="s">
        <v>2721</v>
      </c>
      <c r="C936" s="14" t="e">
        <v>#N/A</v>
      </c>
      <c r="D936" s="15" t="s">
        <v>1839</v>
      </c>
      <c r="E936" s="16" t="s">
        <v>9075</v>
      </c>
      <c r="F936" s="32" t="s">
        <v>10039</v>
      </c>
      <c r="G936" s="17" t="s">
        <v>9076</v>
      </c>
      <c r="H936" s="18" t="s">
        <v>9077</v>
      </c>
      <c r="I936" s="16" t="s">
        <v>9078</v>
      </c>
      <c r="J936" s="16" t="s">
        <v>2035</v>
      </c>
      <c r="K936" s="16" t="s">
        <v>9079</v>
      </c>
      <c r="L936" s="16">
        <v>72172648</v>
      </c>
      <c r="M936" s="16" t="s">
        <v>234</v>
      </c>
      <c r="N936" s="16" t="s">
        <v>9080</v>
      </c>
      <c r="O936" s="16" t="s">
        <v>9081</v>
      </c>
      <c r="P936" s="16" t="s">
        <v>9082</v>
      </c>
      <c r="Q936" s="16" t="s">
        <v>2215</v>
      </c>
      <c r="R936" s="16" t="s">
        <v>7267</v>
      </c>
      <c r="S936" s="19" t="s">
        <v>9083</v>
      </c>
      <c r="T936" s="20" t="s">
        <v>40</v>
      </c>
      <c r="U936" s="16" t="s">
        <v>9084</v>
      </c>
      <c r="V936" s="16" t="s">
        <v>9085</v>
      </c>
      <c r="W936" s="30" t="s">
        <v>9086</v>
      </c>
      <c r="X936" s="18" t="s">
        <v>542</v>
      </c>
      <c r="Y936" s="18" t="s">
        <v>98</v>
      </c>
      <c r="Z936" s="18" t="s">
        <v>2215</v>
      </c>
      <c r="AA936" s="16" t="s">
        <v>7222</v>
      </c>
      <c r="AB936" s="16" t="s">
        <v>7233</v>
      </c>
      <c r="AC936" s="16" t="s">
        <v>7224</v>
      </c>
      <c r="AD936" s="123" t="str">
        <f t="shared" si="14"/>
        <v>External Transfer-NBE</v>
      </c>
      <c r="AE936" s="123" t="str">
        <f>VLOOKUP(Table1[[#This Row],[Name of bank]],'اكواد البنوك'!$A$2:$B$34,2,0)</f>
        <v>NBEGEGCXXXX</v>
      </c>
      <c r="AF936" s="21" t="s">
        <v>8985</v>
      </c>
      <c r="AG936" s="15" t="s">
        <v>167</v>
      </c>
    </row>
    <row r="937" spans="1:33">
      <c r="A937" s="14">
        <v>936</v>
      </c>
      <c r="B937" s="14" t="s">
        <v>9087</v>
      </c>
      <c r="C937" s="14" t="e">
        <v>#N/A</v>
      </c>
      <c r="D937" s="15" t="s">
        <v>1839</v>
      </c>
      <c r="E937" s="16" t="s">
        <v>9088</v>
      </c>
      <c r="F937" s="32" t="s">
        <v>10053</v>
      </c>
      <c r="G937" s="17" t="s">
        <v>9089</v>
      </c>
      <c r="H937" s="18" t="s">
        <v>9090</v>
      </c>
      <c r="I937" s="16" t="s">
        <v>9091</v>
      </c>
      <c r="J937" s="16" t="s">
        <v>86</v>
      </c>
      <c r="K937" s="16" t="s">
        <v>1922</v>
      </c>
      <c r="L937" s="16">
        <v>3143109</v>
      </c>
      <c r="M937" s="16" t="s">
        <v>136</v>
      </c>
      <c r="N937" s="16" t="s">
        <v>9092</v>
      </c>
      <c r="O937" s="16" t="s">
        <v>9093</v>
      </c>
      <c r="P937" s="16" t="s">
        <v>9094</v>
      </c>
      <c r="Q937" s="16" t="s">
        <v>2215</v>
      </c>
      <c r="R937" s="16" t="s">
        <v>7267</v>
      </c>
      <c r="S937" s="19" t="s">
        <v>9095</v>
      </c>
      <c r="T937" s="20" t="s">
        <v>40</v>
      </c>
      <c r="U937" s="16" t="s">
        <v>9096</v>
      </c>
      <c r="V937" s="16" t="s">
        <v>9097</v>
      </c>
      <c r="W937" s="30" t="s">
        <v>9098</v>
      </c>
      <c r="X937" s="18" t="s">
        <v>542</v>
      </c>
      <c r="Y937" s="18" t="s">
        <v>98</v>
      </c>
      <c r="Z937" s="18" t="s">
        <v>2215</v>
      </c>
      <c r="AA937" s="16" t="s">
        <v>7222</v>
      </c>
      <c r="AB937" s="16" t="s">
        <v>7233</v>
      </c>
      <c r="AC937" s="16" t="s">
        <v>7224</v>
      </c>
      <c r="AD937" s="123" t="str">
        <f t="shared" si="14"/>
        <v>External Transfer-NBE</v>
      </c>
      <c r="AE937" s="123" t="str">
        <f>VLOOKUP(Table1[[#This Row],[Name of bank]],'اكواد البنوك'!$A$2:$B$34,2,0)</f>
        <v>NBEGEGCXXXX</v>
      </c>
      <c r="AF937" s="21">
        <v>173</v>
      </c>
      <c r="AG937" s="15" t="s">
        <v>167</v>
      </c>
    </row>
    <row r="938" spans="1:33">
      <c r="A938" s="14">
        <v>937</v>
      </c>
      <c r="B938" s="14" t="s">
        <v>9087</v>
      </c>
      <c r="C938" s="14" t="e">
        <v>#N/A</v>
      </c>
      <c r="D938" s="15" t="s">
        <v>1839</v>
      </c>
      <c r="E938" s="16" t="s">
        <v>9099</v>
      </c>
      <c r="F938" s="32" t="s">
        <v>9100</v>
      </c>
      <c r="G938" s="17" t="s">
        <v>9101</v>
      </c>
      <c r="H938" s="18" t="s">
        <v>9102</v>
      </c>
      <c r="I938" s="16" t="s">
        <v>7532</v>
      </c>
      <c r="J938" s="16" t="s">
        <v>173</v>
      </c>
      <c r="K938" s="16" t="s">
        <v>438</v>
      </c>
      <c r="L938" s="16">
        <v>38195302</v>
      </c>
      <c r="M938" s="16" t="s">
        <v>136</v>
      </c>
      <c r="N938" s="16" t="s">
        <v>9103</v>
      </c>
      <c r="O938" s="16" t="s">
        <v>9104</v>
      </c>
      <c r="P938" s="16" t="s">
        <v>9105</v>
      </c>
      <c r="Q938" s="16" t="s">
        <v>2215</v>
      </c>
      <c r="R938" s="16" t="s">
        <v>7267</v>
      </c>
      <c r="S938" s="19" t="s">
        <v>9106</v>
      </c>
      <c r="T938" s="20" t="s">
        <v>93</v>
      </c>
      <c r="U938" s="16" t="s">
        <v>8143</v>
      </c>
      <c r="V938" s="16" t="s">
        <v>9107</v>
      </c>
      <c r="W938" s="30" t="s">
        <v>9108</v>
      </c>
      <c r="X938" s="18" t="s">
        <v>542</v>
      </c>
      <c r="Y938" s="18" t="s">
        <v>98</v>
      </c>
      <c r="Z938" s="18" t="s">
        <v>2215</v>
      </c>
      <c r="AA938" s="16" t="s">
        <v>7222</v>
      </c>
      <c r="AB938" s="16" t="s">
        <v>7233</v>
      </c>
      <c r="AC938" s="16" t="s">
        <v>7224</v>
      </c>
      <c r="AD938" s="123" t="str">
        <f t="shared" si="14"/>
        <v>External Transfer-Other banks</v>
      </c>
      <c r="AE938" s="123" t="str">
        <f>VLOOKUP(Table1[[#This Row],[Name of bank]],'اكواد البنوك'!$A$2:$B$34,2,0)</f>
        <v>QNBAEGCXXXX</v>
      </c>
      <c r="AF938" s="21" t="s">
        <v>4336</v>
      </c>
      <c r="AG938" s="15" t="s">
        <v>49</v>
      </c>
    </row>
    <row r="939" spans="1:33">
      <c r="A939" s="14">
        <v>938</v>
      </c>
      <c r="B939" s="14" t="s">
        <v>2733</v>
      </c>
      <c r="C939" s="14" t="e">
        <v>#N/A</v>
      </c>
      <c r="D939" s="15" t="s">
        <v>1839</v>
      </c>
      <c r="E939" s="16" t="s">
        <v>9109</v>
      </c>
      <c r="F939" s="32" t="s">
        <v>9110</v>
      </c>
      <c r="G939" s="17" t="s">
        <v>9111</v>
      </c>
      <c r="H939" s="18" t="s">
        <v>9112</v>
      </c>
      <c r="I939" s="16" t="s">
        <v>9113</v>
      </c>
      <c r="J939" s="16" t="s">
        <v>173</v>
      </c>
      <c r="K939" s="16" t="s">
        <v>9114</v>
      </c>
      <c r="L939" s="16">
        <v>57282822</v>
      </c>
      <c r="M939" s="16" t="s">
        <v>234</v>
      </c>
      <c r="N939" s="16" t="s">
        <v>9115</v>
      </c>
      <c r="O939" s="16" t="s">
        <v>9116</v>
      </c>
      <c r="P939" s="16" t="s">
        <v>9117</v>
      </c>
      <c r="Q939" s="16" t="s">
        <v>2215</v>
      </c>
      <c r="R939" s="16" t="s">
        <v>7267</v>
      </c>
      <c r="S939" s="19" t="s">
        <v>9949</v>
      </c>
      <c r="T939" s="20" t="s">
        <v>176</v>
      </c>
      <c r="U939" s="116" t="s">
        <v>10407</v>
      </c>
      <c r="V939" s="16" t="s">
        <v>9118</v>
      </c>
      <c r="W939" s="30" t="s">
        <v>9119</v>
      </c>
      <c r="X939" s="18" t="s">
        <v>542</v>
      </c>
      <c r="Y939" s="18" t="s">
        <v>98</v>
      </c>
      <c r="Z939" s="18" t="s">
        <v>2215</v>
      </c>
      <c r="AA939" s="16" t="s">
        <v>7222</v>
      </c>
      <c r="AB939" s="16" t="s">
        <v>7233</v>
      </c>
      <c r="AC939" s="16" t="s">
        <v>7224</v>
      </c>
      <c r="AD939" s="123" t="str">
        <f t="shared" si="14"/>
        <v>External Transfer-Other banks</v>
      </c>
      <c r="AE939" s="123" t="str">
        <f>VLOOKUP(Table1[[#This Row],[Name of bank]],'اكواد البنوك'!$A$2:$B$34,2,0)</f>
        <v>BMISEGCXXXX</v>
      </c>
      <c r="AF939" s="21">
        <v>376</v>
      </c>
      <c r="AG939" s="15" t="s">
        <v>167</v>
      </c>
    </row>
    <row r="940" spans="1:33">
      <c r="A940" s="14">
        <v>939</v>
      </c>
      <c r="B940" s="14" t="s">
        <v>2733</v>
      </c>
      <c r="C940" s="14" t="s">
        <v>2029</v>
      </c>
      <c r="D940" s="15" t="s">
        <v>1839</v>
      </c>
      <c r="E940" s="16" t="s">
        <v>9120</v>
      </c>
      <c r="F940" s="32" t="s">
        <v>10130</v>
      </c>
      <c r="G940" s="17" t="s">
        <v>9121</v>
      </c>
      <c r="H940" s="18" t="s">
        <v>9122</v>
      </c>
      <c r="I940" s="16" t="s">
        <v>9123</v>
      </c>
      <c r="J940" s="16" t="s">
        <v>2035</v>
      </c>
      <c r="K940" s="16" t="s">
        <v>9124</v>
      </c>
      <c r="L940" s="16">
        <v>6775808</v>
      </c>
      <c r="M940" s="16">
        <v>20201211</v>
      </c>
      <c r="N940" s="16" t="s">
        <v>9125</v>
      </c>
      <c r="O940" s="16" t="s">
        <v>9126</v>
      </c>
      <c r="P940" s="16" t="s">
        <v>9127</v>
      </c>
      <c r="Q940" s="16" t="s">
        <v>2215</v>
      </c>
      <c r="R940" s="16" t="s">
        <v>7267</v>
      </c>
      <c r="S940" s="19" t="s">
        <v>9128</v>
      </c>
      <c r="T940" s="20" t="s">
        <v>40</v>
      </c>
      <c r="U940" s="16" t="s">
        <v>9129</v>
      </c>
      <c r="V940" s="16" t="s">
        <v>9130</v>
      </c>
      <c r="W940" s="30" t="s">
        <v>9131</v>
      </c>
      <c r="X940" s="18" t="s">
        <v>542</v>
      </c>
      <c r="Y940" s="18" t="s">
        <v>98</v>
      </c>
      <c r="Z940" s="18" t="s">
        <v>2215</v>
      </c>
      <c r="AA940" s="16" t="s">
        <v>7222</v>
      </c>
      <c r="AB940" s="16" t="s">
        <v>7233</v>
      </c>
      <c r="AC940" s="16" t="s">
        <v>7224</v>
      </c>
      <c r="AD940" s="123" t="str">
        <f t="shared" si="14"/>
        <v>External Transfer-NBE</v>
      </c>
      <c r="AE940" s="123" t="str">
        <f>VLOOKUP(Table1[[#This Row],[Name of bank]],'اكواد البنوك'!$A$2:$B$34,2,0)</f>
        <v>NBEGEGCXXXX</v>
      </c>
      <c r="AF940" s="21" t="s">
        <v>9132</v>
      </c>
      <c r="AG940" s="15" t="s">
        <v>49</v>
      </c>
    </row>
    <row r="941" spans="1:33">
      <c r="A941" s="14">
        <v>940</v>
      </c>
      <c r="B941" s="14" t="s">
        <v>2752</v>
      </c>
      <c r="C941" s="14" t="s">
        <v>7808</v>
      </c>
      <c r="D941" s="15" t="s">
        <v>1839</v>
      </c>
      <c r="E941" s="16" t="s">
        <v>9133</v>
      </c>
      <c r="F941" s="32" t="s">
        <v>9134</v>
      </c>
      <c r="G941" s="17" t="s">
        <v>9135</v>
      </c>
      <c r="H941" s="18" t="s">
        <v>9136</v>
      </c>
      <c r="I941" s="16" t="s">
        <v>9137</v>
      </c>
      <c r="J941" s="16" t="s">
        <v>86</v>
      </c>
      <c r="K941" s="16" t="s">
        <v>904</v>
      </c>
      <c r="L941" s="16">
        <v>58188360</v>
      </c>
      <c r="M941" s="16" t="s">
        <v>4273</v>
      </c>
      <c r="N941" s="16" t="s">
        <v>9138</v>
      </c>
      <c r="O941" s="16" t="s">
        <v>9139</v>
      </c>
      <c r="P941" s="16" t="s">
        <v>9140</v>
      </c>
      <c r="Q941" s="16" t="s">
        <v>2215</v>
      </c>
      <c r="R941" s="16" t="s">
        <v>7267</v>
      </c>
      <c r="S941" s="19" t="s">
        <v>9141</v>
      </c>
      <c r="T941" s="20" t="s">
        <v>1894</v>
      </c>
      <c r="U941" s="16" t="s">
        <v>9142</v>
      </c>
      <c r="V941" s="16" t="s">
        <v>9143</v>
      </c>
      <c r="W941" s="30" t="s">
        <v>9144</v>
      </c>
      <c r="X941" s="18" t="s">
        <v>542</v>
      </c>
      <c r="Y941" s="18" t="s">
        <v>98</v>
      </c>
      <c r="Z941" s="18" t="s">
        <v>2215</v>
      </c>
      <c r="AA941" s="16" t="s">
        <v>7222</v>
      </c>
      <c r="AB941" s="16" t="s">
        <v>7233</v>
      </c>
      <c r="AC941" s="16" t="s">
        <v>7224</v>
      </c>
      <c r="AD941" s="123" t="str">
        <f t="shared" si="14"/>
        <v>External Transfer-Other banks</v>
      </c>
      <c r="AE941" s="123" t="str">
        <f>VLOOKUP(Table1[[#This Row],[Name of bank]],'اكواد البنوك'!$A$2:$B$34,2,0)</f>
        <v>ARABEGCXXXX</v>
      </c>
      <c r="AF941" s="21">
        <v>5009</v>
      </c>
      <c r="AG941" s="15" t="s">
        <v>167</v>
      </c>
    </row>
    <row r="942" spans="1:33">
      <c r="A942" s="14">
        <v>941</v>
      </c>
      <c r="B942" s="14" t="s">
        <v>2752</v>
      </c>
      <c r="C942" s="14" t="s">
        <v>8112</v>
      </c>
      <c r="D942" s="15" t="s">
        <v>1839</v>
      </c>
      <c r="E942" s="16" t="s">
        <v>9145</v>
      </c>
      <c r="F942" s="32" t="s">
        <v>9146</v>
      </c>
      <c r="G942" s="17" t="s">
        <v>9147</v>
      </c>
      <c r="H942" s="18" t="s">
        <v>9148</v>
      </c>
      <c r="I942" s="16" t="s">
        <v>9149</v>
      </c>
      <c r="J942" s="16" t="s">
        <v>86</v>
      </c>
      <c r="K942" s="16" t="s">
        <v>9150</v>
      </c>
      <c r="L942" s="16">
        <v>11293020</v>
      </c>
      <c r="M942" s="16" t="s">
        <v>427</v>
      </c>
      <c r="N942" s="16" t="s">
        <v>9151</v>
      </c>
      <c r="O942" s="16" t="s">
        <v>9152</v>
      </c>
      <c r="P942" s="16" t="s">
        <v>9153</v>
      </c>
      <c r="Q942" s="16" t="s">
        <v>2215</v>
      </c>
      <c r="R942" s="16" t="s">
        <v>7267</v>
      </c>
      <c r="S942" s="19" t="s">
        <v>9154</v>
      </c>
      <c r="T942" s="20" t="s">
        <v>40</v>
      </c>
      <c r="U942" s="16" t="s">
        <v>6967</v>
      </c>
      <c r="V942" s="16" t="s">
        <v>9155</v>
      </c>
      <c r="W942" s="30" t="s">
        <v>9156</v>
      </c>
      <c r="X942" s="18" t="s">
        <v>542</v>
      </c>
      <c r="Y942" s="18" t="s">
        <v>98</v>
      </c>
      <c r="Z942" s="18" t="s">
        <v>2215</v>
      </c>
      <c r="AA942" s="16" t="s">
        <v>7222</v>
      </c>
      <c r="AB942" s="16" t="s">
        <v>7233</v>
      </c>
      <c r="AC942" s="16" t="s">
        <v>7224</v>
      </c>
      <c r="AD942" s="123" t="str">
        <f t="shared" si="14"/>
        <v>External Transfer-NBE</v>
      </c>
      <c r="AE942" s="123" t="str">
        <f>VLOOKUP(Table1[[#This Row],[Name of bank]],'اكواد البنوك'!$A$2:$B$34,2,0)</f>
        <v>NBEGEGCXXXX</v>
      </c>
      <c r="AF942" s="21" t="s">
        <v>3016</v>
      </c>
      <c r="AG942" s="15" t="s">
        <v>49</v>
      </c>
    </row>
    <row r="943" spans="1:33">
      <c r="A943" s="14">
        <v>942</v>
      </c>
      <c r="B943" s="14" t="s">
        <v>2782</v>
      </c>
      <c r="C943" s="14" t="e">
        <v>#N/A</v>
      </c>
      <c r="D943" s="15" t="s">
        <v>1839</v>
      </c>
      <c r="E943" s="16" t="s">
        <v>9157</v>
      </c>
      <c r="F943" s="32" t="s">
        <v>9158</v>
      </c>
      <c r="G943" s="17" t="s">
        <v>9159</v>
      </c>
      <c r="H943" s="18" t="s">
        <v>9160</v>
      </c>
      <c r="I943" s="16" t="s">
        <v>9161</v>
      </c>
      <c r="J943" s="16" t="s">
        <v>173</v>
      </c>
      <c r="K943" s="16" t="s">
        <v>5050</v>
      </c>
      <c r="L943" s="16">
        <v>49161751</v>
      </c>
      <c r="M943" s="16" t="s">
        <v>234</v>
      </c>
      <c r="N943" s="16" t="s">
        <v>9162</v>
      </c>
      <c r="O943" s="16" t="s">
        <v>9163</v>
      </c>
      <c r="P943" s="16" t="s">
        <v>9164</v>
      </c>
      <c r="Q943" s="16" t="s">
        <v>2215</v>
      </c>
      <c r="R943" s="16" t="s">
        <v>7267</v>
      </c>
      <c r="S943" s="19" t="s">
        <v>9158</v>
      </c>
      <c r="T943" s="20" t="s">
        <v>176</v>
      </c>
      <c r="U943" s="16" t="s">
        <v>7765</v>
      </c>
      <c r="V943" s="16" t="s">
        <v>9165</v>
      </c>
      <c r="W943" s="30" t="s">
        <v>9166</v>
      </c>
      <c r="X943" s="18" t="s">
        <v>542</v>
      </c>
      <c r="Y943" s="18" t="s">
        <v>98</v>
      </c>
      <c r="Z943" s="18" t="s">
        <v>2215</v>
      </c>
      <c r="AA943" s="16" t="s">
        <v>7222</v>
      </c>
      <c r="AB943" s="16" t="s">
        <v>7233</v>
      </c>
      <c r="AC943" s="16" t="s">
        <v>7224</v>
      </c>
      <c r="AD943" s="123" t="str">
        <f t="shared" si="14"/>
        <v>External Transfer-Other banks</v>
      </c>
      <c r="AE943" s="123" t="str">
        <f>VLOOKUP(Table1[[#This Row],[Name of bank]],'اكواد البنوك'!$A$2:$B$34,2,0)</f>
        <v>BMISEGCXXXX</v>
      </c>
      <c r="AF943" s="21">
        <v>513</v>
      </c>
      <c r="AG943" s="15" t="s">
        <v>167</v>
      </c>
    </row>
    <row r="944" spans="1:33">
      <c r="A944" s="14">
        <v>943</v>
      </c>
      <c r="B944" s="14" t="s">
        <v>2782</v>
      </c>
      <c r="C944" s="14" t="e">
        <v>#N/A</v>
      </c>
      <c r="D944" s="15" t="s">
        <v>1839</v>
      </c>
      <c r="E944" s="16" t="s">
        <v>9167</v>
      </c>
      <c r="F944" s="32" t="s">
        <v>10196</v>
      </c>
      <c r="G944" s="17" t="s">
        <v>9168</v>
      </c>
      <c r="H944" s="18" t="s">
        <v>9169</v>
      </c>
      <c r="I944" s="16" t="s">
        <v>7734</v>
      </c>
      <c r="J944" s="16" t="s">
        <v>86</v>
      </c>
      <c r="K944" s="16" t="s">
        <v>269</v>
      </c>
      <c r="L944" s="16">
        <v>32121984</v>
      </c>
      <c r="M944" s="16" t="s">
        <v>7735</v>
      </c>
      <c r="N944" s="16" t="s">
        <v>9170</v>
      </c>
      <c r="O944" s="16" t="s">
        <v>9171</v>
      </c>
      <c r="P944" s="16" t="s">
        <v>9172</v>
      </c>
      <c r="Q944" s="16" t="s">
        <v>2215</v>
      </c>
      <c r="R944" s="16" t="s">
        <v>7267</v>
      </c>
      <c r="S944" s="19" t="s">
        <v>9167</v>
      </c>
      <c r="T944" s="20" t="s">
        <v>176</v>
      </c>
      <c r="U944" s="16" t="s">
        <v>9173</v>
      </c>
      <c r="V944" s="16" t="s">
        <v>9174</v>
      </c>
      <c r="W944" s="30" t="s">
        <v>9175</v>
      </c>
      <c r="X944" s="18" t="s">
        <v>542</v>
      </c>
      <c r="Y944" s="18" t="s">
        <v>98</v>
      </c>
      <c r="Z944" s="18" t="s">
        <v>2215</v>
      </c>
      <c r="AA944" s="16" t="s">
        <v>7222</v>
      </c>
      <c r="AB944" s="16" t="s">
        <v>7233</v>
      </c>
      <c r="AC944" s="16" t="s">
        <v>7224</v>
      </c>
      <c r="AD944" s="123" t="str">
        <f t="shared" si="14"/>
        <v>External Transfer-Other banks</v>
      </c>
      <c r="AE944" s="123" t="str">
        <f>VLOOKUP(Table1[[#This Row],[Name of bank]],'اكواد البنوك'!$A$2:$B$34,2,0)</f>
        <v>BMISEGCXXXX</v>
      </c>
      <c r="AF944" s="21" t="s">
        <v>9176</v>
      </c>
      <c r="AG944" s="15" t="s">
        <v>49</v>
      </c>
    </row>
    <row r="945" spans="1:33">
      <c r="A945" s="14">
        <v>944</v>
      </c>
      <c r="B945" s="14" t="s">
        <v>9177</v>
      </c>
      <c r="C945" s="14" t="s">
        <v>7645</v>
      </c>
      <c r="D945" s="15" t="s">
        <v>1839</v>
      </c>
      <c r="E945" s="16" t="s">
        <v>9178</v>
      </c>
      <c r="F945" s="32" t="s">
        <v>9179</v>
      </c>
      <c r="G945" s="17" t="s">
        <v>9180</v>
      </c>
      <c r="H945" s="18" t="s">
        <v>9181</v>
      </c>
      <c r="I945" s="16" t="s">
        <v>9182</v>
      </c>
      <c r="J945" s="16" t="s">
        <v>173</v>
      </c>
      <c r="K945" s="16" t="s">
        <v>106</v>
      </c>
      <c r="L945" s="16">
        <v>54086659</v>
      </c>
      <c r="M945" s="16" t="s">
        <v>136</v>
      </c>
      <c r="N945" s="16" t="s">
        <v>9183</v>
      </c>
      <c r="O945" s="16" t="s">
        <v>9184</v>
      </c>
      <c r="P945" s="16" t="s">
        <v>9185</v>
      </c>
      <c r="Q945" s="16" t="s">
        <v>2215</v>
      </c>
      <c r="R945" s="16" t="s">
        <v>7267</v>
      </c>
      <c r="S945" s="19" t="s">
        <v>9179</v>
      </c>
      <c r="T945" s="20" t="s">
        <v>40</v>
      </c>
      <c r="U945" s="16" t="s">
        <v>9186</v>
      </c>
      <c r="V945" s="16" t="s">
        <v>9187</v>
      </c>
      <c r="W945" s="30" t="s">
        <v>9188</v>
      </c>
      <c r="X945" s="18" t="s">
        <v>542</v>
      </c>
      <c r="Y945" s="18" t="s">
        <v>98</v>
      </c>
      <c r="Z945" s="18" t="s">
        <v>2215</v>
      </c>
      <c r="AA945" s="16" t="s">
        <v>7222</v>
      </c>
      <c r="AB945" s="16" t="s">
        <v>7233</v>
      </c>
      <c r="AC945" s="16" t="s">
        <v>7224</v>
      </c>
      <c r="AD945" s="123" t="str">
        <f t="shared" si="14"/>
        <v>External Transfer-NBE</v>
      </c>
      <c r="AE945" s="123" t="str">
        <f>VLOOKUP(Table1[[#This Row],[Name of bank]],'اكواد البنوك'!$A$2:$B$34,2,0)</f>
        <v>NBEGEGCXXXX</v>
      </c>
      <c r="AF945" s="21" t="s">
        <v>346</v>
      </c>
      <c r="AG945" s="15" t="s">
        <v>49</v>
      </c>
    </row>
    <row r="946" spans="1:33">
      <c r="A946" s="14">
        <v>945</v>
      </c>
      <c r="B946" s="14" t="s">
        <v>9177</v>
      </c>
      <c r="C946" s="14" t="e">
        <v>#N/A</v>
      </c>
      <c r="D946" s="15" t="s">
        <v>1839</v>
      </c>
      <c r="E946" s="16" t="s">
        <v>9189</v>
      </c>
      <c r="F946" s="32" t="s">
        <v>9190</v>
      </c>
      <c r="G946" s="17" t="s">
        <v>9191</v>
      </c>
      <c r="H946" s="18" t="s">
        <v>9192</v>
      </c>
      <c r="I946" s="16" t="s">
        <v>9193</v>
      </c>
      <c r="J946" s="16" t="s">
        <v>86</v>
      </c>
      <c r="K946" s="16" t="s">
        <v>1341</v>
      </c>
      <c r="L946" s="16">
        <v>29169273</v>
      </c>
      <c r="M946" s="16" t="s">
        <v>427</v>
      </c>
      <c r="N946" s="16" t="s">
        <v>9194</v>
      </c>
      <c r="O946" s="16" t="s">
        <v>9195</v>
      </c>
      <c r="P946" s="16" t="s">
        <v>9196</v>
      </c>
      <c r="Q946" s="16" t="s">
        <v>2215</v>
      </c>
      <c r="R946" s="16" t="s">
        <v>7267</v>
      </c>
      <c r="S946" s="19" t="s">
        <v>9197</v>
      </c>
      <c r="T946" s="20" t="s">
        <v>993</v>
      </c>
      <c r="U946" s="16" t="s">
        <v>9950</v>
      </c>
      <c r="V946" s="16" t="s">
        <v>9198</v>
      </c>
      <c r="W946" s="30" t="s">
        <v>9199</v>
      </c>
      <c r="X946" s="18" t="s">
        <v>542</v>
      </c>
      <c r="Y946" s="18" t="s">
        <v>98</v>
      </c>
      <c r="Z946" s="18" t="s">
        <v>2215</v>
      </c>
      <c r="AA946" s="16" t="s">
        <v>7222</v>
      </c>
      <c r="AB946" s="16" t="s">
        <v>7233</v>
      </c>
      <c r="AC946" s="16" t="s">
        <v>7224</v>
      </c>
      <c r="AD946" s="123" t="str">
        <f t="shared" si="14"/>
        <v>External Transfer-Other banks</v>
      </c>
      <c r="AE946" s="123" t="str">
        <f>VLOOKUP(Table1[[#This Row],[Name of bank]],'اكواد البنوك'!$A$2:$B$34,2,0)</f>
        <v>ALEXEGCXXXX</v>
      </c>
      <c r="AF946" s="21">
        <v>1047</v>
      </c>
      <c r="AG946" s="15" t="s">
        <v>167</v>
      </c>
    </row>
    <row r="947" spans="1:33">
      <c r="A947" s="14">
        <v>946</v>
      </c>
      <c r="B947" s="14" t="s">
        <v>9200</v>
      </c>
      <c r="C947" s="14" t="e">
        <v>#N/A</v>
      </c>
      <c r="D947" s="15" t="s">
        <v>1839</v>
      </c>
      <c r="E947" s="16" t="s">
        <v>9201</v>
      </c>
      <c r="F947" s="32" t="s">
        <v>9202</v>
      </c>
      <c r="G947" s="17" t="s">
        <v>9203</v>
      </c>
      <c r="H947" s="18" t="s">
        <v>9204</v>
      </c>
      <c r="I947" s="16" t="s">
        <v>9205</v>
      </c>
      <c r="J947" s="16" t="s">
        <v>173</v>
      </c>
      <c r="K947" s="16" t="s">
        <v>9206</v>
      </c>
      <c r="L947" s="16">
        <v>53903280</v>
      </c>
      <c r="M947" s="16" t="s">
        <v>234</v>
      </c>
      <c r="N947" s="16" t="s">
        <v>9207</v>
      </c>
      <c r="O947" s="16" t="s">
        <v>9208</v>
      </c>
      <c r="P947" s="16" t="s">
        <v>9209</v>
      </c>
      <c r="Q947" s="16" t="s">
        <v>2215</v>
      </c>
      <c r="R947" s="16" t="s">
        <v>7267</v>
      </c>
      <c r="S947" s="19" t="s">
        <v>9201</v>
      </c>
      <c r="T947" s="20" t="s">
        <v>307</v>
      </c>
      <c r="U947" s="16" t="s">
        <v>9913</v>
      </c>
      <c r="V947" s="16" t="s">
        <v>9210</v>
      </c>
      <c r="W947" s="30" t="s">
        <v>9211</v>
      </c>
      <c r="X947" s="18" t="s">
        <v>542</v>
      </c>
      <c r="Y947" s="18" t="s">
        <v>98</v>
      </c>
      <c r="Z947" s="18" t="s">
        <v>2215</v>
      </c>
      <c r="AA947" s="16" t="s">
        <v>7222</v>
      </c>
      <c r="AB947" s="16" t="s">
        <v>7233</v>
      </c>
      <c r="AC947" s="16" t="s">
        <v>7224</v>
      </c>
      <c r="AD947" s="123" t="str">
        <f t="shared" si="14"/>
        <v>External Transfer-Other banks</v>
      </c>
      <c r="AE947" s="123" t="str">
        <f>VLOOKUP(Table1[[#This Row],[Name of bank]],'اكواد البنوك'!$A$2:$B$34,2,0)</f>
        <v>CIBEEGCXXXX</v>
      </c>
      <c r="AF947" s="21">
        <v>7</v>
      </c>
      <c r="AG947" s="15" t="s">
        <v>167</v>
      </c>
    </row>
    <row r="948" spans="1:33">
      <c r="A948" s="14">
        <v>947</v>
      </c>
      <c r="B948" s="14" t="s">
        <v>9200</v>
      </c>
      <c r="C948" s="14" t="s">
        <v>1811</v>
      </c>
      <c r="D948" s="15" t="s">
        <v>1839</v>
      </c>
      <c r="E948" s="16" t="s">
        <v>9212</v>
      </c>
      <c r="F948" s="32" t="s">
        <v>9213</v>
      </c>
      <c r="G948" s="17" t="s">
        <v>9214</v>
      </c>
      <c r="H948" s="18" t="s">
        <v>9215</v>
      </c>
      <c r="I948" s="16" t="s">
        <v>7699</v>
      </c>
      <c r="J948" s="16" t="s">
        <v>173</v>
      </c>
      <c r="K948" s="16" t="s">
        <v>1952</v>
      </c>
      <c r="L948" s="16">
        <v>5460</v>
      </c>
      <c r="M948" s="16">
        <v>2126986</v>
      </c>
      <c r="N948" s="16" t="s">
        <v>9216</v>
      </c>
      <c r="O948" s="16" t="s">
        <v>9217</v>
      </c>
      <c r="P948" s="16" t="s">
        <v>9218</v>
      </c>
      <c r="Q948" s="16" t="s">
        <v>2215</v>
      </c>
      <c r="R948" s="16" t="s">
        <v>7267</v>
      </c>
      <c r="S948" s="19" t="s">
        <v>9219</v>
      </c>
      <c r="T948" s="20" t="s">
        <v>93</v>
      </c>
      <c r="U948" s="16" t="s">
        <v>9220</v>
      </c>
      <c r="V948" s="16" t="s">
        <v>9221</v>
      </c>
      <c r="W948" s="30" t="s">
        <v>9222</v>
      </c>
      <c r="X948" s="18" t="s">
        <v>542</v>
      </c>
      <c r="Y948" s="18" t="s">
        <v>98</v>
      </c>
      <c r="Z948" s="18" t="s">
        <v>2215</v>
      </c>
      <c r="AA948" s="16" t="s">
        <v>7222</v>
      </c>
      <c r="AB948" s="16" t="s">
        <v>7233</v>
      </c>
      <c r="AC948" s="16" t="s">
        <v>7224</v>
      </c>
      <c r="AD948" s="123" t="str">
        <f t="shared" si="14"/>
        <v>External Transfer-Other banks</v>
      </c>
      <c r="AE948" s="123" t="str">
        <f>VLOOKUP(Table1[[#This Row],[Name of bank]],'اكواد البنوك'!$A$2:$B$34,2,0)</f>
        <v>QNBAEGCXXXX</v>
      </c>
      <c r="AF948" s="21" t="s">
        <v>4336</v>
      </c>
      <c r="AG948" s="15" t="s">
        <v>49</v>
      </c>
    </row>
    <row r="949" spans="1:33">
      <c r="A949" s="14">
        <v>948</v>
      </c>
      <c r="B949" s="14" t="s">
        <v>9223</v>
      </c>
      <c r="C949" s="14" t="s">
        <v>8202</v>
      </c>
      <c r="D949" s="15" t="s">
        <v>1839</v>
      </c>
      <c r="E949" s="16" t="s">
        <v>9224</v>
      </c>
      <c r="F949" s="32" t="s">
        <v>9225</v>
      </c>
      <c r="G949" s="17" t="s">
        <v>9226</v>
      </c>
      <c r="H949" s="18" t="s">
        <v>9227</v>
      </c>
      <c r="I949" s="16" t="s">
        <v>7285</v>
      </c>
      <c r="J949" s="16" t="s">
        <v>86</v>
      </c>
      <c r="K949" s="16" t="s">
        <v>9228</v>
      </c>
      <c r="L949" s="16">
        <v>28984232</v>
      </c>
      <c r="M949" s="16" t="s">
        <v>136</v>
      </c>
      <c r="N949" s="16" t="s">
        <v>9229</v>
      </c>
      <c r="O949" s="16" t="s">
        <v>9230</v>
      </c>
      <c r="P949" s="16" t="s">
        <v>9231</v>
      </c>
      <c r="Q949" s="16" t="s">
        <v>2215</v>
      </c>
      <c r="R949" s="16" t="s">
        <v>7267</v>
      </c>
      <c r="S949" s="19" t="s">
        <v>9232</v>
      </c>
      <c r="T949" s="20" t="s">
        <v>93</v>
      </c>
      <c r="U949" s="16" t="s">
        <v>9951</v>
      </c>
      <c r="V949" s="16" t="s">
        <v>9952</v>
      </c>
      <c r="W949" s="30" t="s">
        <v>9233</v>
      </c>
      <c r="X949" s="18" t="s">
        <v>542</v>
      </c>
      <c r="Y949" s="18" t="s">
        <v>98</v>
      </c>
      <c r="Z949" s="18" t="s">
        <v>2215</v>
      </c>
      <c r="AA949" s="16" t="s">
        <v>7222</v>
      </c>
      <c r="AB949" s="16" t="s">
        <v>7233</v>
      </c>
      <c r="AC949" s="16" t="s">
        <v>7224</v>
      </c>
      <c r="AD949" s="123" t="str">
        <f t="shared" si="14"/>
        <v>External Transfer-Other banks</v>
      </c>
      <c r="AE949" s="123" t="str">
        <f>VLOOKUP(Table1[[#This Row],[Name of bank]],'اكواد البنوك'!$A$2:$B$34,2,0)</f>
        <v>QNBAEGCXXXX</v>
      </c>
      <c r="AF949" s="21">
        <v>193</v>
      </c>
      <c r="AG949" s="15" t="s">
        <v>167</v>
      </c>
    </row>
    <row r="950" spans="1:33">
      <c r="A950" s="14">
        <v>949</v>
      </c>
      <c r="B950" s="14" t="s">
        <v>9223</v>
      </c>
      <c r="C950" s="14" t="e">
        <v>#N/A</v>
      </c>
      <c r="D950" s="15" t="s">
        <v>1839</v>
      </c>
      <c r="E950" s="16" t="s">
        <v>9234</v>
      </c>
      <c r="F950" s="32" t="s">
        <v>10198</v>
      </c>
      <c r="G950" s="17" t="s">
        <v>9235</v>
      </c>
      <c r="H950" s="18" t="s">
        <v>9236</v>
      </c>
      <c r="I950" s="16" t="s">
        <v>9237</v>
      </c>
      <c r="J950" s="16" t="s">
        <v>86</v>
      </c>
      <c r="K950" s="16" t="s">
        <v>9238</v>
      </c>
      <c r="L950" s="16">
        <v>58469296</v>
      </c>
      <c r="M950" s="16" t="s">
        <v>234</v>
      </c>
      <c r="N950" s="16" t="s">
        <v>9239</v>
      </c>
      <c r="O950" s="16" t="s">
        <v>9240</v>
      </c>
      <c r="P950" s="16" t="s">
        <v>9241</v>
      </c>
      <c r="Q950" s="16" t="s">
        <v>2215</v>
      </c>
      <c r="R950" s="16" t="s">
        <v>7267</v>
      </c>
      <c r="S950" s="19" t="s">
        <v>9953</v>
      </c>
      <c r="T950" s="20" t="s">
        <v>307</v>
      </c>
      <c r="U950" s="16" t="s">
        <v>9954</v>
      </c>
      <c r="V950" s="16" t="s">
        <v>9242</v>
      </c>
      <c r="W950" s="30" t="s">
        <v>9243</v>
      </c>
      <c r="X950" s="18" t="s">
        <v>542</v>
      </c>
      <c r="Y950" s="18" t="s">
        <v>98</v>
      </c>
      <c r="Z950" s="18" t="s">
        <v>2215</v>
      </c>
      <c r="AA950" s="16" t="s">
        <v>7222</v>
      </c>
      <c r="AB950" s="16" t="s">
        <v>7233</v>
      </c>
      <c r="AC950" s="16" t="s">
        <v>7224</v>
      </c>
      <c r="AD950" s="123" t="str">
        <f t="shared" si="14"/>
        <v>External Transfer-Other banks</v>
      </c>
      <c r="AE950" s="123" t="str">
        <f>VLOOKUP(Table1[[#This Row],[Name of bank]],'اكواد البنوك'!$A$2:$B$34,2,0)</f>
        <v>CIBEEGCXXXX</v>
      </c>
      <c r="AF950" s="21" t="s">
        <v>4458</v>
      </c>
      <c r="AG950" s="15" t="s">
        <v>167</v>
      </c>
    </row>
    <row r="951" spans="1:33">
      <c r="A951" s="14">
        <v>950</v>
      </c>
      <c r="B951" s="14" t="s">
        <v>9244</v>
      </c>
      <c r="C951" s="14" t="s">
        <v>7682</v>
      </c>
      <c r="D951" s="15" t="s">
        <v>1839</v>
      </c>
      <c r="E951" s="16" t="s">
        <v>9245</v>
      </c>
      <c r="F951" s="32" t="s">
        <v>9246</v>
      </c>
      <c r="G951" s="17" t="s">
        <v>9247</v>
      </c>
      <c r="H951" s="18" t="s">
        <v>9248</v>
      </c>
      <c r="I951" s="16" t="s">
        <v>9249</v>
      </c>
      <c r="J951" s="16" t="s">
        <v>173</v>
      </c>
      <c r="K951" s="16" t="s">
        <v>384</v>
      </c>
      <c r="L951" s="16">
        <v>46280479</v>
      </c>
      <c r="M951" s="16" t="s">
        <v>136</v>
      </c>
      <c r="N951" s="16" t="s">
        <v>9250</v>
      </c>
      <c r="O951" s="16" t="s">
        <v>9251</v>
      </c>
      <c r="P951" s="16" t="s">
        <v>9252</v>
      </c>
      <c r="Q951" s="16" t="s">
        <v>2215</v>
      </c>
      <c r="R951" s="16" t="s">
        <v>7267</v>
      </c>
      <c r="S951" s="19" t="s">
        <v>9253</v>
      </c>
      <c r="T951" s="20" t="s">
        <v>6535</v>
      </c>
      <c r="U951" s="16" t="s">
        <v>7398</v>
      </c>
      <c r="V951" s="16" t="s">
        <v>9254</v>
      </c>
      <c r="W951" s="30" t="s">
        <v>9255</v>
      </c>
      <c r="X951" s="18" t="s">
        <v>542</v>
      </c>
      <c r="Y951" s="18" t="s">
        <v>98</v>
      </c>
      <c r="Z951" s="18" t="s">
        <v>2215</v>
      </c>
      <c r="AA951" s="16" t="s">
        <v>7222</v>
      </c>
      <c r="AB951" s="16" t="s">
        <v>7233</v>
      </c>
      <c r="AC951" s="16" t="s">
        <v>7224</v>
      </c>
      <c r="AD951" s="123" t="str">
        <f t="shared" si="14"/>
        <v>External Transfer-Other banks</v>
      </c>
      <c r="AE951" s="123" t="str">
        <f>VLOOKUP(Table1[[#This Row],[Name of bank]],'اكواد البنوك'!$A$2:$B$34,2,0)</f>
        <v>WABAEGCXXXX</v>
      </c>
      <c r="AF951" s="21" t="s">
        <v>129</v>
      </c>
      <c r="AG951" s="15" t="s">
        <v>49</v>
      </c>
    </row>
    <row r="952" spans="1:33">
      <c r="A952" s="14">
        <v>951</v>
      </c>
      <c r="B952" s="14" t="s">
        <v>9244</v>
      </c>
      <c r="C952" s="14" t="e">
        <v>#N/A</v>
      </c>
      <c r="D952" s="15" t="s">
        <v>1839</v>
      </c>
      <c r="E952" s="16" t="s">
        <v>9256</v>
      </c>
      <c r="F952" s="32" t="s">
        <v>10079</v>
      </c>
      <c r="G952" s="17" t="s">
        <v>9257</v>
      </c>
      <c r="H952" s="18" t="s">
        <v>9258</v>
      </c>
      <c r="I952" s="16" t="s">
        <v>9259</v>
      </c>
      <c r="J952" s="16" t="s">
        <v>86</v>
      </c>
      <c r="K952" s="16" t="s">
        <v>9260</v>
      </c>
      <c r="L952" s="16" t="s">
        <v>234</v>
      </c>
      <c r="M952" s="16" t="s">
        <v>234</v>
      </c>
      <c r="N952" s="16" t="s">
        <v>9261</v>
      </c>
      <c r="O952" s="16" t="s">
        <v>9262</v>
      </c>
      <c r="P952" s="16" t="s">
        <v>9263</v>
      </c>
      <c r="Q952" s="16" t="s">
        <v>2215</v>
      </c>
      <c r="R952" s="16" t="s">
        <v>7267</v>
      </c>
      <c r="S952" s="19" t="s">
        <v>9256</v>
      </c>
      <c r="T952" s="20" t="s">
        <v>6966</v>
      </c>
      <c r="U952" s="16" t="s">
        <v>9955</v>
      </c>
      <c r="V952" s="16" t="s">
        <v>9264</v>
      </c>
      <c r="W952" s="30" t="s">
        <v>9265</v>
      </c>
      <c r="X952" s="18" t="s">
        <v>542</v>
      </c>
      <c r="Y952" s="18" t="s">
        <v>98</v>
      </c>
      <c r="Z952" s="18" t="s">
        <v>2215</v>
      </c>
      <c r="AA952" s="16" t="s">
        <v>7222</v>
      </c>
      <c r="AB952" s="16" t="s">
        <v>7233</v>
      </c>
      <c r="AC952" s="16" t="s">
        <v>7224</v>
      </c>
      <c r="AD952" s="123" t="str">
        <f t="shared" si="14"/>
        <v>External Transfer-Other banks</v>
      </c>
      <c r="AE952" s="123" t="str">
        <f>VLOOKUP(Table1[[#This Row],[Name of bank]],'اكواد البنوك'!$A$2:$B$34,2,0)</f>
        <v>ARABEGCXXXX</v>
      </c>
      <c r="AF952" s="21">
        <v>5037</v>
      </c>
      <c r="AG952" s="15" t="s">
        <v>167</v>
      </c>
    </row>
    <row r="953" spans="1:33">
      <c r="A953" s="14">
        <v>952</v>
      </c>
      <c r="B953" s="14" t="s">
        <v>9266</v>
      </c>
      <c r="C953" s="14" t="s">
        <v>8092</v>
      </c>
      <c r="D953" s="15" t="s">
        <v>1839</v>
      </c>
      <c r="E953" s="16" t="s">
        <v>9267</v>
      </c>
      <c r="F953" s="32" t="s">
        <v>10157</v>
      </c>
      <c r="G953" s="17" t="s">
        <v>9268</v>
      </c>
      <c r="H953" s="18" t="s">
        <v>9269</v>
      </c>
      <c r="I953" s="16" t="s">
        <v>7285</v>
      </c>
      <c r="J953" s="16" t="s">
        <v>173</v>
      </c>
      <c r="K953" s="16" t="s">
        <v>6403</v>
      </c>
      <c r="L953" s="16" t="s">
        <v>136</v>
      </c>
      <c r="M953" s="16" t="s">
        <v>136</v>
      </c>
      <c r="N953" s="16" t="s">
        <v>9270</v>
      </c>
      <c r="O953" s="16" t="s">
        <v>9271</v>
      </c>
      <c r="P953" s="16" t="s">
        <v>9272</v>
      </c>
      <c r="Q953" s="16" t="s">
        <v>2215</v>
      </c>
      <c r="R953" s="16" t="s">
        <v>7267</v>
      </c>
      <c r="S953" s="19" t="s">
        <v>9273</v>
      </c>
      <c r="T953" s="20" t="s">
        <v>93</v>
      </c>
      <c r="U953" s="16" t="s">
        <v>9274</v>
      </c>
      <c r="V953" s="16" t="s">
        <v>9275</v>
      </c>
      <c r="W953" s="30" t="s">
        <v>9276</v>
      </c>
      <c r="X953" s="18" t="s">
        <v>542</v>
      </c>
      <c r="Y953" s="18" t="s">
        <v>98</v>
      </c>
      <c r="Z953" s="18" t="s">
        <v>2215</v>
      </c>
      <c r="AA953" s="16" t="s">
        <v>7222</v>
      </c>
      <c r="AB953" s="16" t="s">
        <v>7233</v>
      </c>
      <c r="AC953" s="16" t="s">
        <v>7224</v>
      </c>
      <c r="AD953" s="123" t="str">
        <f t="shared" si="14"/>
        <v>External Transfer-Other banks</v>
      </c>
      <c r="AE953" s="123" t="str">
        <f>VLOOKUP(Table1[[#This Row],[Name of bank]],'اكواد البنوك'!$A$2:$B$34,2,0)</f>
        <v>QNBAEGCXXXX</v>
      </c>
      <c r="AF953" s="21" t="s">
        <v>7006</v>
      </c>
      <c r="AG953" s="15" t="s">
        <v>49</v>
      </c>
    </row>
    <row r="954" spans="1:33">
      <c r="A954" s="14">
        <v>953</v>
      </c>
      <c r="B954" s="14" t="s">
        <v>9266</v>
      </c>
      <c r="C954" s="14" t="e">
        <v>#N/A</v>
      </c>
      <c r="D954" s="15" t="s">
        <v>1839</v>
      </c>
      <c r="E954" s="16" t="s">
        <v>9277</v>
      </c>
      <c r="F954" s="32" t="s">
        <v>9278</v>
      </c>
      <c r="G954" s="17" t="s">
        <v>9279</v>
      </c>
      <c r="H954" s="18" t="s">
        <v>9280</v>
      </c>
      <c r="I954" s="16" t="s">
        <v>7699</v>
      </c>
      <c r="J954" s="16" t="s">
        <v>173</v>
      </c>
      <c r="K954" s="16" t="s">
        <v>5050</v>
      </c>
      <c r="L954" s="16">
        <v>31546475</v>
      </c>
      <c r="M954" s="16" t="s">
        <v>136</v>
      </c>
      <c r="N954" s="16" t="s">
        <v>9281</v>
      </c>
      <c r="O954" s="16" t="s">
        <v>9282</v>
      </c>
      <c r="P954" s="16" t="s">
        <v>9283</v>
      </c>
      <c r="Q954" s="16" t="s">
        <v>2215</v>
      </c>
      <c r="R954" s="16" t="s">
        <v>7267</v>
      </c>
      <c r="S954" s="19" t="s">
        <v>9278</v>
      </c>
      <c r="T954" s="20" t="s">
        <v>40</v>
      </c>
      <c r="U954" s="16" t="s">
        <v>9284</v>
      </c>
      <c r="V954" s="16" t="s">
        <v>9285</v>
      </c>
      <c r="W954" s="30" t="s">
        <v>9286</v>
      </c>
      <c r="X954" s="18" t="s">
        <v>542</v>
      </c>
      <c r="Y954" s="18" t="s">
        <v>98</v>
      </c>
      <c r="Z954" s="18" t="s">
        <v>2215</v>
      </c>
      <c r="AA954" s="16" t="s">
        <v>7222</v>
      </c>
      <c r="AB954" s="16" t="s">
        <v>7233</v>
      </c>
      <c r="AC954" s="16" t="s">
        <v>7224</v>
      </c>
      <c r="AD954" s="123" t="str">
        <f t="shared" si="14"/>
        <v>External Transfer-NBE</v>
      </c>
      <c r="AE954" s="123" t="str">
        <f>VLOOKUP(Table1[[#This Row],[Name of bank]],'اكواد البنوك'!$A$2:$B$34,2,0)</f>
        <v>NBEGEGCXXXX</v>
      </c>
      <c r="AF954" s="21">
        <v>183</v>
      </c>
      <c r="AG954" s="15" t="s">
        <v>167</v>
      </c>
    </row>
    <row r="955" spans="1:33">
      <c r="A955" s="14">
        <v>954</v>
      </c>
      <c r="B955" s="14" t="s">
        <v>9287</v>
      </c>
      <c r="C955" s="14" t="e">
        <v>#N/A</v>
      </c>
      <c r="D955" s="15" t="s">
        <v>1839</v>
      </c>
      <c r="E955" s="16" t="s">
        <v>9288</v>
      </c>
      <c r="F955" s="32" t="s">
        <v>9289</v>
      </c>
      <c r="G955" s="17" t="s">
        <v>9290</v>
      </c>
      <c r="H955" s="18" t="s">
        <v>9291</v>
      </c>
      <c r="I955" s="16" t="s">
        <v>9292</v>
      </c>
      <c r="J955" s="16" t="s">
        <v>86</v>
      </c>
      <c r="K955" s="16" t="s">
        <v>4086</v>
      </c>
      <c r="L955" s="16" t="s">
        <v>9293</v>
      </c>
      <c r="M955" s="16" t="s">
        <v>136</v>
      </c>
      <c r="N955" s="16" t="s">
        <v>9294</v>
      </c>
      <c r="O955" s="16" t="s">
        <v>9295</v>
      </c>
      <c r="P955" s="16" t="s">
        <v>9296</v>
      </c>
      <c r="Q955" s="16" t="s">
        <v>2215</v>
      </c>
      <c r="R955" s="16" t="s">
        <v>7267</v>
      </c>
      <c r="S955" s="19" t="s">
        <v>9297</v>
      </c>
      <c r="T955" s="20" t="s">
        <v>307</v>
      </c>
      <c r="U955" s="16" t="s">
        <v>9298</v>
      </c>
      <c r="V955" s="16" t="s">
        <v>9299</v>
      </c>
      <c r="W955" s="30" t="s">
        <v>9300</v>
      </c>
      <c r="X955" s="18" t="s">
        <v>542</v>
      </c>
      <c r="Y955" s="18" t="s">
        <v>98</v>
      </c>
      <c r="Z955" s="18" t="s">
        <v>2215</v>
      </c>
      <c r="AA955" s="16" t="s">
        <v>7222</v>
      </c>
      <c r="AB955" s="16" t="s">
        <v>7233</v>
      </c>
      <c r="AC955" s="16" t="s">
        <v>7224</v>
      </c>
      <c r="AD955" s="123" t="str">
        <f t="shared" si="14"/>
        <v>External Transfer-Other banks</v>
      </c>
      <c r="AE955" s="123" t="str">
        <f>VLOOKUP(Table1[[#This Row],[Name of bank]],'اكواد البنوك'!$A$2:$B$34,2,0)</f>
        <v>CIBEEGCXXXX</v>
      </c>
      <c r="AF955" s="21" t="s">
        <v>4336</v>
      </c>
      <c r="AG955" s="15" t="s">
        <v>49</v>
      </c>
    </row>
    <row r="956" spans="1:33">
      <c r="A956" s="14">
        <v>955</v>
      </c>
      <c r="B956" s="14" t="s">
        <v>9287</v>
      </c>
      <c r="C956" s="14" t="e">
        <v>#N/A</v>
      </c>
      <c r="D956" s="15" t="s">
        <v>1839</v>
      </c>
      <c r="E956" s="16" t="s">
        <v>9301</v>
      </c>
      <c r="F956" s="32" t="s">
        <v>9302</v>
      </c>
      <c r="G956" s="17" t="s">
        <v>9303</v>
      </c>
      <c r="H956" s="18" t="s">
        <v>9304</v>
      </c>
      <c r="I956" s="16" t="s">
        <v>9305</v>
      </c>
      <c r="J956" s="16" t="s">
        <v>86</v>
      </c>
      <c r="K956" s="16" t="s">
        <v>9306</v>
      </c>
      <c r="L956" s="16" t="s">
        <v>9307</v>
      </c>
      <c r="M956" s="16" t="s">
        <v>977</v>
      </c>
      <c r="N956" s="16" t="s">
        <v>9308</v>
      </c>
      <c r="O956" s="16" t="s">
        <v>9309</v>
      </c>
      <c r="P956" s="16" t="s">
        <v>9310</v>
      </c>
      <c r="Q956" s="16" t="s">
        <v>2215</v>
      </c>
      <c r="R956" s="16" t="s">
        <v>7267</v>
      </c>
      <c r="S956" s="19" t="s">
        <v>9311</v>
      </c>
      <c r="T956" s="20" t="s">
        <v>40</v>
      </c>
      <c r="U956" s="16" t="s">
        <v>3314</v>
      </c>
      <c r="V956" s="16" t="s">
        <v>9312</v>
      </c>
      <c r="W956" s="30" t="s">
        <v>9313</v>
      </c>
      <c r="X956" s="18" t="s">
        <v>542</v>
      </c>
      <c r="Y956" s="18" t="s">
        <v>98</v>
      </c>
      <c r="Z956" s="18" t="s">
        <v>2215</v>
      </c>
      <c r="AA956" s="16" t="s">
        <v>7222</v>
      </c>
      <c r="AB956" s="16" t="s">
        <v>7233</v>
      </c>
      <c r="AC956" s="16" t="s">
        <v>7224</v>
      </c>
      <c r="AD956" s="123" t="str">
        <f t="shared" si="14"/>
        <v>External Transfer-NBE</v>
      </c>
      <c r="AE956" s="123" t="str">
        <f>VLOOKUP(Table1[[#This Row],[Name of bank]],'اكواد البنوك'!$A$2:$B$34,2,0)</f>
        <v>NBEGEGCXXXX</v>
      </c>
      <c r="AF956" s="21">
        <v>160</v>
      </c>
      <c r="AG956" s="15" t="s">
        <v>167</v>
      </c>
    </row>
    <row r="957" spans="1:33">
      <c r="A957" s="14">
        <v>956</v>
      </c>
      <c r="B957" s="14" t="s">
        <v>9314</v>
      </c>
      <c r="C957" s="14" t="s">
        <v>7833</v>
      </c>
      <c r="D957" s="15" t="s">
        <v>1839</v>
      </c>
      <c r="E957" s="16" t="s">
        <v>9315</v>
      </c>
      <c r="F957" s="32" t="s">
        <v>9316</v>
      </c>
      <c r="G957" s="17" t="s">
        <v>9317</v>
      </c>
      <c r="H957" s="18" t="s">
        <v>9318</v>
      </c>
      <c r="I957" s="16" t="s">
        <v>9319</v>
      </c>
      <c r="J957" s="16" t="s">
        <v>86</v>
      </c>
      <c r="K957" s="16" t="s">
        <v>106</v>
      </c>
      <c r="L957" s="16">
        <v>57889035</v>
      </c>
      <c r="M957" s="16">
        <v>12345</v>
      </c>
      <c r="N957" s="16" t="s">
        <v>9320</v>
      </c>
      <c r="O957" s="16" t="s">
        <v>9321</v>
      </c>
      <c r="P957" s="16" t="s">
        <v>9322</v>
      </c>
      <c r="Q957" s="16" t="s">
        <v>2215</v>
      </c>
      <c r="R957" s="16" t="s">
        <v>7267</v>
      </c>
      <c r="S957" s="19" t="s">
        <v>9956</v>
      </c>
      <c r="T957" s="20" t="s">
        <v>9957</v>
      </c>
      <c r="U957" s="16">
        <v>46301</v>
      </c>
      <c r="V957" s="16" t="s">
        <v>9323</v>
      </c>
      <c r="W957" s="30" t="s">
        <v>9958</v>
      </c>
      <c r="X957" s="18" t="s">
        <v>542</v>
      </c>
      <c r="Y957" s="18" t="s">
        <v>98</v>
      </c>
      <c r="Z957" s="18" t="s">
        <v>2215</v>
      </c>
      <c r="AA957" s="16" t="s">
        <v>7222</v>
      </c>
      <c r="AB957" s="16" t="s">
        <v>7233</v>
      </c>
      <c r="AC957" s="16" t="s">
        <v>7224</v>
      </c>
      <c r="AD957" s="123" t="str">
        <f t="shared" si="14"/>
        <v>External Transfer-Other banks</v>
      </c>
      <c r="AE957" s="123" t="str">
        <f>VLOOKUP(Table1[[#This Row],[Name of bank]],'اكواد البنوك'!$A$2:$B$34,2,0)</f>
        <v>EAABEGCXXXX</v>
      </c>
      <c r="AF957" s="21">
        <v>46</v>
      </c>
      <c r="AG957" s="15" t="s">
        <v>167</v>
      </c>
    </row>
    <row r="958" spans="1:33">
      <c r="A958" s="14">
        <v>957</v>
      </c>
      <c r="B958" s="14" t="s">
        <v>9314</v>
      </c>
      <c r="C958" s="14" t="e">
        <v>#N/A</v>
      </c>
      <c r="D958" s="15" t="s">
        <v>1839</v>
      </c>
      <c r="E958" s="16" t="s">
        <v>9324</v>
      </c>
      <c r="F958" s="32" t="s">
        <v>10083</v>
      </c>
      <c r="G958" s="17" t="s">
        <v>9325</v>
      </c>
      <c r="H958" s="18" t="s">
        <v>9326</v>
      </c>
      <c r="I958" s="16" t="s">
        <v>9327</v>
      </c>
      <c r="J958" s="16" t="s">
        <v>86</v>
      </c>
      <c r="K958" s="16" t="s">
        <v>5196</v>
      </c>
      <c r="L958" s="16">
        <v>77564799</v>
      </c>
      <c r="M958" s="16" t="s">
        <v>136</v>
      </c>
      <c r="N958" s="16" t="s">
        <v>9328</v>
      </c>
      <c r="O958" s="16" t="s">
        <v>9329</v>
      </c>
      <c r="P958" s="16" t="s">
        <v>9330</v>
      </c>
      <c r="Q958" s="16" t="s">
        <v>2215</v>
      </c>
      <c r="R958" s="16" t="s">
        <v>7267</v>
      </c>
      <c r="S958" s="19" t="s">
        <v>9324</v>
      </c>
      <c r="T958" s="20" t="s">
        <v>307</v>
      </c>
      <c r="U958" s="16" t="s">
        <v>9331</v>
      </c>
      <c r="V958" s="16" t="s">
        <v>9332</v>
      </c>
      <c r="W958" s="30" t="s">
        <v>9333</v>
      </c>
      <c r="X958" s="18" t="s">
        <v>542</v>
      </c>
      <c r="Y958" s="18" t="s">
        <v>98</v>
      </c>
      <c r="Z958" s="18" t="s">
        <v>2215</v>
      </c>
      <c r="AA958" s="16" t="s">
        <v>7222</v>
      </c>
      <c r="AB958" s="16" t="s">
        <v>7233</v>
      </c>
      <c r="AC958" s="16" t="s">
        <v>7224</v>
      </c>
      <c r="AD958" s="123" t="str">
        <f t="shared" si="14"/>
        <v>External Transfer-Other banks</v>
      </c>
      <c r="AE958" s="123" t="str">
        <f>VLOOKUP(Table1[[#This Row],[Name of bank]],'اكواد البنوك'!$A$2:$B$34,2,0)</f>
        <v>CIBEEGCXXXX</v>
      </c>
      <c r="AF958" s="21" t="s">
        <v>9334</v>
      </c>
      <c r="AG958" s="15" t="s">
        <v>49</v>
      </c>
    </row>
    <row r="959" spans="1:33">
      <c r="A959" s="14">
        <v>958</v>
      </c>
      <c r="B959" s="14" t="s">
        <v>312</v>
      </c>
      <c r="C959" s="14" t="s">
        <v>409</v>
      </c>
      <c r="D959" s="15" t="s">
        <v>1703</v>
      </c>
      <c r="E959" s="16" t="s">
        <v>9335</v>
      </c>
      <c r="F959" s="32" t="s">
        <v>9336</v>
      </c>
      <c r="G959" s="17" t="s">
        <v>9337</v>
      </c>
      <c r="H959" s="18" t="s">
        <v>9338</v>
      </c>
      <c r="I959" s="16" t="s">
        <v>1703</v>
      </c>
      <c r="J959" s="16"/>
      <c r="K959" s="16"/>
      <c r="L959" s="16"/>
      <c r="M959" s="16"/>
      <c r="N959" s="16"/>
      <c r="O959" s="16"/>
      <c r="P959" s="16"/>
      <c r="Q959" s="16" t="s">
        <v>2215</v>
      </c>
      <c r="R959" s="16" t="s">
        <v>7267</v>
      </c>
      <c r="S959" s="19"/>
      <c r="T959" s="20" t="s">
        <v>40</v>
      </c>
      <c r="U959" s="16"/>
      <c r="V959" s="16"/>
      <c r="W959" s="30" t="s">
        <v>9339</v>
      </c>
      <c r="X959" s="18" t="s">
        <v>78</v>
      </c>
      <c r="Y959" s="18" t="s">
        <v>43</v>
      </c>
      <c r="Z959" s="18" t="s">
        <v>2215</v>
      </c>
      <c r="AA959" s="16" t="s">
        <v>7222</v>
      </c>
      <c r="AB959" s="16" t="s">
        <v>7233</v>
      </c>
      <c r="AC959" s="16" t="s">
        <v>7224</v>
      </c>
      <c r="AD959" s="123" t="str">
        <f t="shared" si="14"/>
        <v>Internal Transfer</v>
      </c>
      <c r="AE959" s="123" t="str">
        <f>VLOOKUP(Table1[[#This Row],[Name of bank]],'اكواد البنوك'!$A$2:$B$34,2,0)</f>
        <v>NBEGEGCXXXX</v>
      </c>
      <c r="AF959" s="21" t="s">
        <v>9339</v>
      </c>
      <c r="AG959" s="15" t="s">
        <v>49</v>
      </c>
    </row>
    <row r="960" spans="1:33">
      <c r="A960" s="14">
        <v>959</v>
      </c>
      <c r="B960" s="14" t="s">
        <v>312</v>
      </c>
      <c r="C960" s="14" t="e">
        <v>#N/A</v>
      </c>
      <c r="D960" s="15" t="s">
        <v>1839</v>
      </c>
      <c r="E960" s="16" t="s">
        <v>9340</v>
      </c>
      <c r="F960" s="32" t="s">
        <v>10004</v>
      </c>
      <c r="G960" s="17" t="s">
        <v>9341</v>
      </c>
      <c r="H960" s="18" t="s">
        <v>9342</v>
      </c>
      <c r="I960" s="16" t="s">
        <v>9343</v>
      </c>
      <c r="J960" s="16" t="s">
        <v>86</v>
      </c>
      <c r="K960" s="16" t="s">
        <v>9344</v>
      </c>
      <c r="L960" s="16" t="s">
        <v>977</v>
      </c>
      <c r="M960" s="16" t="s">
        <v>136</v>
      </c>
      <c r="N960" s="16" t="s">
        <v>9345</v>
      </c>
      <c r="O960" s="16" t="s">
        <v>9346</v>
      </c>
      <c r="P960" s="16" t="s">
        <v>9347</v>
      </c>
      <c r="Q960" s="16" t="s">
        <v>2215</v>
      </c>
      <c r="R960" s="16" t="s">
        <v>7267</v>
      </c>
      <c r="S960" s="19" t="s">
        <v>9348</v>
      </c>
      <c r="T960" s="20" t="s">
        <v>123</v>
      </c>
      <c r="U960" s="16" t="s">
        <v>9349</v>
      </c>
      <c r="V960" s="16" t="s">
        <v>9350</v>
      </c>
      <c r="W960" s="30" t="s">
        <v>9351</v>
      </c>
      <c r="X960" s="18" t="s">
        <v>97</v>
      </c>
      <c r="Y960" s="18" t="s">
        <v>98</v>
      </c>
      <c r="Z960" s="18" t="s">
        <v>2215</v>
      </c>
      <c r="AA960" s="16" t="s">
        <v>7222</v>
      </c>
      <c r="AB960" s="16" t="s">
        <v>7233</v>
      </c>
      <c r="AC960" s="16" t="s">
        <v>7224</v>
      </c>
      <c r="AD960" s="123" t="str">
        <f t="shared" si="14"/>
        <v>External Transfer-Other banks</v>
      </c>
      <c r="AE960" s="123" t="str">
        <f>VLOOKUP(Table1[[#This Row],[Name of bank]],'اكواد البنوك'!$A$2:$B$34,2,0)</f>
        <v>EXDEEGCXXXX</v>
      </c>
      <c r="AF960" s="21">
        <v>105</v>
      </c>
      <c r="AG960" s="15" t="s">
        <v>167</v>
      </c>
    </row>
    <row r="961" spans="1:33">
      <c r="A961" s="14">
        <v>960</v>
      </c>
      <c r="B961" s="14" t="s">
        <v>312</v>
      </c>
      <c r="C961" s="14" t="e">
        <v>#N/A</v>
      </c>
      <c r="D961" s="15" t="s">
        <v>1855</v>
      </c>
      <c r="E961" s="16" t="s">
        <v>9352</v>
      </c>
      <c r="F961" s="32" t="s">
        <v>9353</v>
      </c>
      <c r="G961" s="17" t="s">
        <v>9354</v>
      </c>
      <c r="H961" s="18" t="s">
        <v>9355</v>
      </c>
      <c r="I961" s="16" t="s">
        <v>1858</v>
      </c>
      <c r="J961" s="16" t="s">
        <v>1845</v>
      </c>
      <c r="K961" s="16" t="s">
        <v>1858</v>
      </c>
      <c r="L961" s="16" t="s">
        <v>977</v>
      </c>
      <c r="M961" s="16" t="s">
        <v>977</v>
      </c>
      <c r="N961" s="16" t="s">
        <v>9356</v>
      </c>
      <c r="O961" s="16" t="s">
        <v>9357</v>
      </c>
      <c r="P961" s="16" t="s">
        <v>9358</v>
      </c>
      <c r="Q961" s="16" t="s">
        <v>2215</v>
      </c>
      <c r="R961" s="16" t="s">
        <v>7267</v>
      </c>
      <c r="S961" s="19" t="s">
        <v>9359</v>
      </c>
      <c r="T961" s="20" t="s">
        <v>307</v>
      </c>
      <c r="U961" s="16" t="s">
        <v>10220</v>
      </c>
      <c r="V961" s="16" t="s">
        <v>977</v>
      </c>
      <c r="W961" s="30" t="s">
        <v>10221</v>
      </c>
      <c r="X961" s="18" t="s">
        <v>97</v>
      </c>
      <c r="Y961" s="18" t="s">
        <v>98</v>
      </c>
      <c r="Z961" s="18" t="s">
        <v>2215</v>
      </c>
      <c r="AA961" s="16" t="s">
        <v>7222</v>
      </c>
      <c r="AB961" s="16" t="s">
        <v>7233</v>
      </c>
      <c r="AC961" s="16" t="s">
        <v>7224</v>
      </c>
      <c r="AD961" s="123" t="str">
        <f t="shared" si="14"/>
        <v>External Transfer-Other banks</v>
      </c>
      <c r="AE961" s="123" t="str">
        <f>VLOOKUP(Table1[[#This Row],[Name of bank]],'اكواد البنوك'!$A$2:$B$34,2,0)</f>
        <v>CIBEEGCXXXX</v>
      </c>
      <c r="AF961" s="21" t="s">
        <v>346</v>
      </c>
      <c r="AG961" s="15" t="s">
        <v>167</v>
      </c>
    </row>
    <row r="962" spans="1:33">
      <c r="A962" s="14">
        <v>961</v>
      </c>
      <c r="B962" s="14" t="s">
        <v>312</v>
      </c>
      <c r="C962" s="14" t="s">
        <v>409</v>
      </c>
      <c r="D962" s="15" t="s">
        <v>1839</v>
      </c>
      <c r="E962" s="16" t="s">
        <v>9360</v>
      </c>
      <c r="F962" s="32" t="s">
        <v>9361</v>
      </c>
      <c r="G962" s="17" t="s">
        <v>9362</v>
      </c>
      <c r="H962" s="18" t="s">
        <v>9363</v>
      </c>
      <c r="I962" s="16" t="s">
        <v>9364</v>
      </c>
      <c r="J962" s="16" t="s">
        <v>86</v>
      </c>
      <c r="K962" s="16" t="s">
        <v>9365</v>
      </c>
      <c r="L962" s="16">
        <v>75058769</v>
      </c>
      <c r="M962" s="16" t="s">
        <v>136</v>
      </c>
      <c r="N962" s="16" t="s">
        <v>9366</v>
      </c>
      <c r="O962" s="16" t="s">
        <v>9367</v>
      </c>
      <c r="P962" s="16" t="s">
        <v>9368</v>
      </c>
      <c r="Q962" s="16" t="s">
        <v>2215</v>
      </c>
      <c r="R962" s="16" t="s">
        <v>7267</v>
      </c>
      <c r="S962" s="19" t="s">
        <v>9369</v>
      </c>
      <c r="T962" s="20" t="s">
        <v>93</v>
      </c>
      <c r="U962" s="16" t="s">
        <v>9370</v>
      </c>
      <c r="V962" s="16" t="s">
        <v>9371</v>
      </c>
      <c r="W962" s="30" t="s">
        <v>9372</v>
      </c>
      <c r="X962" s="18" t="s">
        <v>78</v>
      </c>
      <c r="Y962" s="18" t="s">
        <v>98</v>
      </c>
      <c r="Z962" s="18" t="s">
        <v>2215</v>
      </c>
      <c r="AA962" s="16" t="s">
        <v>7222</v>
      </c>
      <c r="AB962" s="16" t="s">
        <v>7233</v>
      </c>
      <c r="AC962" s="16" t="s">
        <v>7224</v>
      </c>
      <c r="AD962" s="123" t="str">
        <f t="shared" ref="AD962:AD1006" si="15">IF(ISNUMBER(SEARCH("EXTERNAL CASH",T962)),
   "EXTERNAL CASH",
   IF(ISNUMBER(SEARCH("شيك من القاهرة",T962)),
      "FUE",
      IF(ISNUMBER(SEARCH("INTERNAL CASH",T962)),
         "INTRNAL CASH",
         IF(Y962="IP",
            "Internal Transfer",
            IF(ISNUMBER(SEARCH("National Bank of Egypt",T962)),
               "External Transfer-NBE",
               "External Transfer-Other banks"
            )
         )
      )
   )
)</f>
        <v>External Transfer-Other banks</v>
      </c>
      <c r="AE962" s="123" t="str">
        <f>VLOOKUP(Table1[[#This Row],[Name of bank]],'اكواد البنوك'!$A$2:$B$34,2,0)</f>
        <v>QNBAEGCXXXX</v>
      </c>
      <c r="AF962" s="21" t="s">
        <v>4336</v>
      </c>
      <c r="AG962" s="15" t="s">
        <v>49</v>
      </c>
    </row>
    <row r="963" spans="1:33">
      <c r="A963" s="14">
        <v>962</v>
      </c>
      <c r="B963" s="14" t="s">
        <v>312</v>
      </c>
      <c r="C963" s="14" t="e">
        <v>#N/A</v>
      </c>
      <c r="D963" s="15" t="s">
        <v>1855</v>
      </c>
      <c r="E963" s="16" t="s">
        <v>9373</v>
      </c>
      <c r="F963" s="32" t="s">
        <v>9999</v>
      </c>
      <c r="G963" s="17" t="s">
        <v>9374</v>
      </c>
      <c r="H963" s="18" t="s">
        <v>9375</v>
      </c>
      <c r="I963" s="16" t="s">
        <v>1858</v>
      </c>
      <c r="J963" s="16" t="s">
        <v>1845</v>
      </c>
      <c r="K963" s="16" t="s">
        <v>9376</v>
      </c>
      <c r="L963" s="16" t="s">
        <v>136</v>
      </c>
      <c r="M963" s="16" t="s">
        <v>136</v>
      </c>
      <c r="N963" s="16" t="s">
        <v>9377</v>
      </c>
      <c r="O963" s="16" t="s">
        <v>9378</v>
      </c>
      <c r="P963" s="16" t="s">
        <v>9379</v>
      </c>
      <c r="Q963" s="16" t="s">
        <v>2215</v>
      </c>
      <c r="R963" s="16" t="s">
        <v>7267</v>
      </c>
      <c r="S963" s="19" t="s">
        <v>136</v>
      </c>
      <c r="T963" s="20" t="s">
        <v>40</v>
      </c>
      <c r="U963" s="16" t="s">
        <v>7620</v>
      </c>
      <c r="V963" s="16" t="s">
        <v>136</v>
      </c>
      <c r="W963" s="30" t="s">
        <v>10231</v>
      </c>
      <c r="X963" s="18" t="s">
        <v>97</v>
      </c>
      <c r="Y963" s="18" t="s">
        <v>98</v>
      </c>
      <c r="Z963" s="18" t="s">
        <v>2215</v>
      </c>
      <c r="AA963" s="16" t="s">
        <v>7222</v>
      </c>
      <c r="AB963" s="16" t="s">
        <v>7233</v>
      </c>
      <c r="AC963" s="16" t="s">
        <v>7224</v>
      </c>
      <c r="AD963" s="123" t="str">
        <f t="shared" si="15"/>
        <v>External Transfer-NBE</v>
      </c>
      <c r="AE963" s="123" t="str">
        <f>VLOOKUP(Table1[[#This Row],[Name of bank]],'اكواد البنوك'!$A$2:$B$34,2,0)</f>
        <v>NBEGEGCXXXX</v>
      </c>
      <c r="AF963" s="21" t="s">
        <v>10232</v>
      </c>
      <c r="AG963" s="15" t="s">
        <v>167</v>
      </c>
    </row>
    <row r="964" spans="1:33">
      <c r="A964" s="14">
        <v>963</v>
      </c>
      <c r="B964" s="14" t="s">
        <v>312</v>
      </c>
      <c r="C964" s="14" t="s">
        <v>7858</v>
      </c>
      <c r="D964" s="15" t="s">
        <v>1839</v>
      </c>
      <c r="E964" s="16" t="s">
        <v>9380</v>
      </c>
      <c r="F964" s="32" t="s">
        <v>9381</v>
      </c>
      <c r="G964" s="17" t="s">
        <v>9382</v>
      </c>
      <c r="H964" s="18" t="s">
        <v>9383</v>
      </c>
      <c r="I964" s="16" t="s">
        <v>9384</v>
      </c>
      <c r="J964" s="16" t="s">
        <v>173</v>
      </c>
      <c r="K964" s="16" t="s">
        <v>4169</v>
      </c>
      <c r="L964" s="16">
        <v>82096333</v>
      </c>
      <c r="M964" s="16">
        <v>433116749</v>
      </c>
      <c r="N964" s="16" t="s">
        <v>9385</v>
      </c>
      <c r="O964" s="16" t="s">
        <v>9386</v>
      </c>
      <c r="P964" s="16" t="s">
        <v>9387</v>
      </c>
      <c r="Q964" s="16" t="s">
        <v>2215</v>
      </c>
      <c r="R964" s="16" t="s">
        <v>7267</v>
      </c>
      <c r="S964" s="19" t="s">
        <v>9388</v>
      </c>
      <c r="T964" s="20" t="s">
        <v>274</v>
      </c>
      <c r="U964" s="16" t="s">
        <v>9389</v>
      </c>
      <c r="V964" s="16" t="s">
        <v>9390</v>
      </c>
      <c r="W964" s="30" t="s">
        <v>9391</v>
      </c>
      <c r="X964" s="18" t="s">
        <v>97</v>
      </c>
      <c r="Y964" s="18" t="s">
        <v>98</v>
      </c>
      <c r="Z964" s="18" t="s">
        <v>2215</v>
      </c>
      <c r="AA964" s="16" t="s">
        <v>7222</v>
      </c>
      <c r="AB964" s="16" t="s">
        <v>7233</v>
      </c>
      <c r="AC964" s="16" t="s">
        <v>7224</v>
      </c>
      <c r="AD964" s="123" t="str">
        <f t="shared" si="15"/>
        <v>External Transfer-Other banks</v>
      </c>
      <c r="AE964" s="123" t="str">
        <f>VLOOKUP(Table1[[#This Row],[Name of bank]],'اكواد البنوك'!$A$2:$B$34,2,0)</f>
        <v>BCAIEGCXXXX</v>
      </c>
      <c r="AF964" s="21" t="s">
        <v>7132</v>
      </c>
      <c r="AG964" s="15" t="s">
        <v>49</v>
      </c>
    </row>
    <row r="965" spans="1:33">
      <c r="A965" s="14">
        <v>964</v>
      </c>
      <c r="B965" s="14" t="s">
        <v>9392</v>
      </c>
      <c r="C965" s="14" t="e">
        <v>#N/A</v>
      </c>
      <c r="D965" s="15" t="s">
        <v>1839</v>
      </c>
      <c r="E965" s="16" t="s">
        <v>9393</v>
      </c>
      <c r="F965" s="32" t="s">
        <v>9394</v>
      </c>
      <c r="G965" s="17" t="s">
        <v>9395</v>
      </c>
      <c r="H965" s="18" t="s">
        <v>9396</v>
      </c>
      <c r="I965" s="16" t="s">
        <v>8310</v>
      </c>
      <c r="J965" s="16" t="s">
        <v>86</v>
      </c>
      <c r="K965" s="16" t="s">
        <v>7960</v>
      </c>
      <c r="L965" s="16">
        <v>51785905</v>
      </c>
      <c r="M965" s="16">
        <v>694789704</v>
      </c>
      <c r="N965" s="16" t="s">
        <v>9397</v>
      </c>
      <c r="O965" s="16" t="s">
        <v>9398</v>
      </c>
      <c r="P965" s="16" t="s">
        <v>9399</v>
      </c>
      <c r="Q965" s="16" t="s">
        <v>2215</v>
      </c>
      <c r="R965" s="16" t="s">
        <v>7267</v>
      </c>
      <c r="S965" s="19" t="s">
        <v>9400</v>
      </c>
      <c r="T965" s="20" t="s">
        <v>274</v>
      </c>
      <c r="U965" s="16" t="s">
        <v>9401</v>
      </c>
      <c r="V965" s="16" t="s">
        <v>9402</v>
      </c>
      <c r="W965" s="30" t="s">
        <v>9403</v>
      </c>
      <c r="X965" s="18" t="s">
        <v>542</v>
      </c>
      <c r="Y965" s="18" t="s">
        <v>98</v>
      </c>
      <c r="Z965" s="18" t="s">
        <v>2215</v>
      </c>
      <c r="AA965" s="16" t="s">
        <v>7222</v>
      </c>
      <c r="AB965" s="16" t="s">
        <v>7233</v>
      </c>
      <c r="AC965" s="16" t="s">
        <v>7224</v>
      </c>
      <c r="AD965" s="123" t="str">
        <f t="shared" si="15"/>
        <v>External Transfer-Other banks</v>
      </c>
      <c r="AE965" s="123" t="str">
        <f>VLOOKUP(Table1[[#This Row],[Name of bank]],'اكواد البنوك'!$A$2:$B$34,2,0)</f>
        <v>BCAIEGCXXXX</v>
      </c>
      <c r="AF965" s="21" t="s">
        <v>9404</v>
      </c>
      <c r="AG965" s="15" t="s">
        <v>49</v>
      </c>
    </row>
    <row r="966" spans="1:33">
      <c r="A966" s="14">
        <v>965</v>
      </c>
      <c r="B966" s="14" t="s">
        <v>9392</v>
      </c>
      <c r="C966" s="14" t="e">
        <v>#N/A</v>
      </c>
      <c r="D966" s="15" t="s">
        <v>1839</v>
      </c>
      <c r="E966" s="16" t="s">
        <v>9405</v>
      </c>
      <c r="F966" s="32" t="s">
        <v>9406</v>
      </c>
      <c r="G966" s="17" t="s">
        <v>9407</v>
      </c>
      <c r="H966" s="18" t="s">
        <v>9408</v>
      </c>
      <c r="I966" s="16" t="s">
        <v>8531</v>
      </c>
      <c r="J966" s="16" t="s">
        <v>86</v>
      </c>
      <c r="K966" s="16" t="s">
        <v>9409</v>
      </c>
      <c r="L966" s="16">
        <v>64505485</v>
      </c>
      <c r="M966" s="16" t="s">
        <v>136</v>
      </c>
      <c r="N966" s="16" t="s">
        <v>9410</v>
      </c>
      <c r="O966" s="16" t="s">
        <v>9411</v>
      </c>
      <c r="P966" s="16" t="s">
        <v>9412</v>
      </c>
      <c r="Q966" s="16" t="s">
        <v>2215</v>
      </c>
      <c r="R966" s="16" t="s">
        <v>7267</v>
      </c>
      <c r="S966" s="19" t="s">
        <v>9413</v>
      </c>
      <c r="T966" s="20" t="s">
        <v>93</v>
      </c>
      <c r="U966" s="16" t="s">
        <v>9960</v>
      </c>
      <c r="V966" s="16" t="s">
        <v>9414</v>
      </c>
      <c r="W966" s="30" t="s">
        <v>9415</v>
      </c>
      <c r="X966" s="18" t="s">
        <v>542</v>
      </c>
      <c r="Y966" s="18" t="s">
        <v>98</v>
      </c>
      <c r="Z966" s="18" t="s">
        <v>2215</v>
      </c>
      <c r="AA966" s="16" t="s">
        <v>7222</v>
      </c>
      <c r="AB966" s="16" t="s">
        <v>7233</v>
      </c>
      <c r="AC966" s="16" t="s">
        <v>7224</v>
      </c>
      <c r="AD966" s="123" t="str">
        <f t="shared" si="15"/>
        <v>External Transfer-Other banks</v>
      </c>
      <c r="AE966" s="123" t="str">
        <f>VLOOKUP(Table1[[#This Row],[Name of bank]],'اكواد البنوك'!$A$2:$B$34,2,0)</f>
        <v>QNBAEGCXXXX</v>
      </c>
      <c r="AF966" s="21">
        <v>67</v>
      </c>
      <c r="AG966" s="15" t="s">
        <v>167</v>
      </c>
    </row>
    <row r="967" spans="1:33">
      <c r="A967" s="14">
        <v>966</v>
      </c>
      <c r="B967" s="14" t="s">
        <v>3004</v>
      </c>
      <c r="C967" s="14" t="s">
        <v>7682</v>
      </c>
      <c r="D967" s="15" t="s">
        <v>1839</v>
      </c>
      <c r="E967" s="16" t="s">
        <v>9416</v>
      </c>
      <c r="F967" s="32" t="s">
        <v>9417</v>
      </c>
      <c r="G967" s="17" t="s">
        <v>9418</v>
      </c>
      <c r="H967" s="18" t="s">
        <v>9419</v>
      </c>
      <c r="I967" s="16" t="s">
        <v>9420</v>
      </c>
      <c r="J967" s="16" t="s">
        <v>86</v>
      </c>
      <c r="K967" s="16" t="s">
        <v>9421</v>
      </c>
      <c r="L967" s="16" t="s">
        <v>136</v>
      </c>
      <c r="M967" s="16" t="s">
        <v>136</v>
      </c>
      <c r="N967" s="16" t="s">
        <v>9422</v>
      </c>
      <c r="O967" s="16" t="s">
        <v>9423</v>
      </c>
      <c r="P967" s="16" t="s">
        <v>9424</v>
      </c>
      <c r="Q967" s="16" t="s">
        <v>2215</v>
      </c>
      <c r="R967" s="16" t="s">
        <v>7267</v>
      </c>
      <c r="S967" s="19" t="s">
        <v>9417</v>
      </c>
      <c r="T967" s="20" t="s">
        <v>176</v>
      </c>
      <c r="U967" s="16" t="s">
        <v>9425</v>
      </c>
      <c r="V967" s="16" t="s">
        <v>9426</v>
      </c>
      <c r="W967" s="30" t="s">
        <v>9427</v>
      </c>
      <c r="X967" s="18" t="s">
        <v>542</v>
      </c>
      <c r="Y967" s="18" t="s">
        <v>98</v>
      </c>
      <c r="Z967" s="18" t="s">
        <v>2215</v>
      </c>
      <c r="AA967" s="16" t="s">
        <v>7222</v>
      </c>
      <c r="AB967" s="16" t="s">
        <v>7233</v>
      </c>
      <c r="AC967" s="16" t="s">
        <v>7224</v>
      </c>
      <c r="AD967" s="123" t="str">
        <f t="shared" si="15"/>
        <v>External Transfer-Other banks</v>
      </c>
      <c r="AE967" s="123" t="str">
        <f>VLOOKUP(Table1[[#This Row],[Name of bank]],'اكواد البنوك'!$A$2:$B$34,2,0)</f>
        <v>BMISEGCXXXX</v>
      </c>
      <c r="AF967" s="21" t="s">
        <v>9428</v>
      </c>
      <c r="AG967" s="15" t="s">
        <v>49</v>
      </c>
    </row>
    <row r="968" spans="1:33">
      <c r="A968" s="14">
        <v>967</v>
      </c>
      <c r="B968" s="14" t="s">
        <v>3004</v>
      </c>
      <c r="C968" s="14" t="s">
        <v>2029</v>
      </c>
      <c r="D968" s="15" t="s">
        <v>1839</v>
      </c>
      <c r="E968" s="16" t="s">
        <v>9429</v>
      </c>
      <c r="F968" s="32" t="s">
        <v>9430</v>
      </c>
      <c r="G968" s="17" t="s">
        <v>9431</v>
      </c>
      <c r="H968" s="18" t="s">
        <v>9432</v>
      </c>
      <c r="I968" s="16" t="s">
        <v>9433</v>
      </c>
      <c r="J968" s="16" t="s">
        <v>173</v>
      </c>
      <c r="K968" s="16" t="s">
        <v>9434</v>
      </c>
      <c r="L968" s="16">
        <v>77604045</v>
      </c>
      <c r="M968" s="16" t="s">
        <v>234</v>
      </c>
      <c r="N968" s="16" t="s">
        <v>9435</v>
      </c>
      <c r="O968" s="16" t="s">
        <v>9436</v>
      </c>
      <c r="P968" s="16" t="s">
        <v>9437</v>
      </c>
      <c r="Q968" s="16" t="s">
        <v>2215</v>
      </c>
      <c r="R968" s="16" t="s">
        <v>7267</v>
      </c>
      <c r="S968" s="19" t="s">
        <v>9429</v>
      </c>
      <c r="T968" s="20" t="s">
        <v>40</v>
      </c>
      <c r="U968" s="16" t="s">
        <v>6898</v>
      </c>
      <c r="V968" s="16" t="s">
        <v>9438</v>
      </c>
      <c r="W968" s="30" t="s">
        <v>9439</v>
      </c>
      <c r="X968" s="18" t="s">
        <v>542</v>
      </c>
      <c r="Y968" s="18" t="s">
        <v>98</v>
      </c>
      <c r="Z968" s="18" t="s">
        <v>2215</v>
      </c>
      <c r="AA968" s="16" t="s">
        <v>7222</v>
      </c>
      <c r="AB968" s="16" t="s">
        <v>7233</v>
      </c>
      <c r="AC968" s="16" t="s">
        <v>7224</v>
      </c>
      <c r="AD968" s="123" t="str">
        <f t="shared" si="15"/>
        <v>External Transfer-NBE</v>
      </c>
      <c r="AE968" s="123" t="str">
        <f>VLOOKUP(Table1[[#This Row],[Name of bank]],'اكواد البنوك'!$A$2:$B$34,2,0)</f>
        <v>NBEGEGCXXXX</v>
      </c>
      <c r="AF968" s="21" t="s">
        <v>6836</v>
      </c>
      <c r="AG968" s="15" t="s">
        <v>49</v>
      </c>
    </row>
    <row r="969" spans="1:33">
      <c r="A969" s="14">
        <v>968</v>
      </c>
      <c r="B969" s="14" t="s">
        <v>3029</v>
      </c>
      <c r="C969" s="14" t="e">
        <v>#N/A</v>
      </c>
      <c r="D969" s="15" t="s">
        <v>1839</v>
      </c>
      <c r="E969" s="16" t="s">
        <v>9440</v>
      </c>
      <c r="F969" s="32" t="s">
        <v>9441</v>
      </c>
      <c r="G969" s="17" t="s">
        <v>9442</v>
      </c>
      <c r="H969" s="18" t="s">
        <v>9443</v>
      </c>
      <c r="I969" s="16" t="s">
        <v>9444</v>
      </c>
      <c r="J969" s="16" t="s">
        <v>173</v>
      </c>
      <c r="K969" s="16" t="s">
        <v>384</v>
      </c>
      <c r="L969" s="16">
        <v>68820721</v>
      </c>
      <c r="M969" s="16">
        <v>266853943</v>
      </c>
      <c r="N969" s="16" t="s">
        <v>9445</v>
      </c>
      <c r="O969" s="16" t="s">
        <v>9446</v>
      </c>
      <c r="P969" s="16" t="s">
        <v>9447</v>
      </c>
      <c r="Q969" s="16" t="s">
        <v>2215</v>
      </c>
      <c r="R969" s="16" t="s">
        <v>7267</v>
      </c>
      <c r="S969" s="19" t="s">
        <v>9961</v>
      </c>
      <c r="T969" s="20" t="s">
        <v>40</v>
      </c>
      <c r="U969" s="16" t="s">
        <v>8122</v>
      </c>
      <c r="V969" s="16" t="s">
        <v>9962</v>
      </c>
      <c r="W969" s="30" t="s">
        <v>9448</v>
      </c>
      <c r="X969" s="18" t="s">
        <v>542</v>
      </c>
      <c r="Y969" s="18" t="s">
        <v>98</v>
      </c>
      <c r="Z969" s="18" t="s">
        <v>2215</v>
      </c>
      <c r="AA969" s="16" t="s">
        <v>7222</v>
      </c>
      <c r="AB969" s="16" t="s">
        <v>7233</v>
      </c>
      <c r="AC969" s="16" t="s">
        <v>7224</v>
      </c>
      <c r="AD969" s="123" t="str">
        <f t="shared" si="15"/>
        <v>External Transfer-NBE</v>
      </c>
      <c r="AE969" s="123" t="str">
        <f>VLOOKUP(Table1[[#This Row],[Name of bank]],'اكواد البنوك'!$A$2:$B$34,2,0)</f>
        <v>NBEGEGCXXXX</v>
      </c>
      <c r="AF969" s="21">
        <v>182</v>
      </c>
      <c r="AG969" s="15" t="s">
        <v>167</v>
      </c>
    </row>
    <row r="970" spans="1:33">
      <c r="A970" s="14">
        <v>969</v>
      </c>
      <c r="B970" s="14" t="s">
        <v>3029</v>
      </c>
      <c r="C970" s="14" t="s">
        <v>2029</v>
      </c>
      <c r="D970" s="15" t="s">
        <v>1839</v>
      </c>
      <c r="E970" s="16" t="s">
        <v>9449</v>
      </c>
      <c r="F970" s="32" t="s">
        <v>9450</v>
      </c>
      <c r="G970" s="17" t="s">
        <v>9451</v>
      </c>
      <c r="H970" s="18" t="s">
        <v>9452</v>
      </c>
      <c r="I970" s="16" t="s">
        <v>8263</v>
      </c>
      <c r="J970" s="16" t="s">
        <v>86</v>
      </c>
      <c r="K970" s="16" t="s">
        <v>2593</v>
      </c>
      <c r="L970" s="16">
        <v>57077929</v>
      </c>
      <c r="M970" s="16" t="s">
        <v>136</v>
      </c>
      <c r="N970" s="16" t="s">
        <v>9453</v>
      </c>
      <c r="O970" s="16" t="s">
        <v>9454</v>
      </c>
      <c r="P970" s="16" t="s">
        <v>9455</v>
      </c>
      <c r="Q970" s="16" t="s">
        <v>2215</v>
      </c>
      <c r="R970" s="16" t="s">
        <v>7267</v>
      </c>
      <c r="S970" s="19" t="s">
        <v>9450</v>
      </c>
      <c r="T970" s="20" t="s">
        <v>6535</v>
      </c>
      <c r="U970" s="16" t="s">
        <v>9456</v>
      </c>
      <c r="V970" s="16" t="s">
        <v>9457</v>
      </c>
      <c r="W970" s="30" t="s">
        <v>9458</v>
      </c>
      <c r="X970" s="18" t="s">
        <v>542</v>
      </c>
      <c r="Y970" s="18" t="s">
        <v>98</v>
      </c>
      <c r="Z970" s="18" t="s">
        <v>2215</v>
      </c>
      <c r="AA970" s="16" t="s">
        <v>7222</v>
      </c>
      <c r="AB970" s="16" t="s">
        <v>7233</v>
      </c>
      <c r="AC970" s="16" t="s">
        <v>7224</v>
      </c>
      <c r="AD970" s="123" t="str">
        <f t="shared" si="15"/>
        <v>External Transfer-Other banks</v>
      </c>
      <c r="AE970" s="123" t="str">
        <f>VLOOKUP(Table1[[#This Row],[Name of bank]],'اكواد البنوك'!$A$2:$B$34,2,0)</f>
        <v>WABAEGCXXXX</v>
      </c>
      <c r="AF970" s="21" t="s">
        <v>6183</v>
      </c>
      <c r="AG970" s="15" t="s">
        <v>49</v>
      </c>
    </row>
    <row r="971" spans="1:33">
      <c r="A971" s="14">
        <v>970</v>
      </c>
      <c r="B971" s="14" t="s">
        <v>3044</v>
      </c>
      <c r="C971" s="14" t="e">
        <v>#N/A</v>
      </c>
      <c r="D971" s="15" t="s">
        <v>1839</v>
      </c>
      <c r="E971" s="16" t="s">
        <v>9459</v>
      </c>
      <c r="F971" s="32" t="s">
        <v>9460</v>
      </c>
      <c r="G971" s="17" t="s">
        <v>9461</v>
      </c>
      <c r="H971" s="18" t="s">
        <v>9462</v>
      </c>
      <c r="I971" s="16" t="s">
        <v>9463</v>
      </c>
      <c r="J971" s="16" t="s">
        <v>173</v>
      </c>
      <c r="K971" s="16" t="s">
        <v>106</v>
      </c>
      <c r="L971" s="16">
        <v>84570423</v>
      </c>
      <c r="M971" s="16">
        <v>2104334</v>
      </c>
      <c r="N971" s="16" t="s">
        <v>9464</v>
      </c>
      <c r="O971" s="16" t="s">
        <v>9465</v>
      </c>
      <c r="P971" s="16" t="s">
        <v>9466</v>
      </c>
      <c r="Q971" s="16" t="s">
        <v>2215</v>
      </c>
      <c r="R971" s="16" t="s">
        <v>7267</v>
      </c>
      <c r="S971" s="19" t="s">
        <v>9467</v>
      </c>
      <c r="T971" s="20" t="s">
        <v>1238</v>
      </c>
      <c r="U971" s="16" t="s">
        <v>9468</v>
      </c>
      <c r="V971" s="16" t="s">
        <v>9469</v>
      </c>
      <c r="W971" s="30" t="s">
        <v>9470</v>
      </c>
      <c r="X971" s="18" t="s">
        <v>542</v>
      </c>
      <c r="Y971" s="18" t="s">
        <v>98</v>
      </c>
      <c r="Z971" s="18" t="s">
        <v>2215</v>
      </c>
      <c r="AA971" s="16" t="s">
        <v>7222</v>
      </c>
      <c r="AB971" s="16" t="s">
        <v>7233</v>
      </c>
      <c r="AC971" s="16" t="s">
        <v>7224</v>
      </c>
      <c r="AD971" s="123" t="str">
        <f t="shared" si="15"/>
        <v>External Transfer-Other banks</v>
      </c>
      <c r="AE971" s="123" t="str">
        <f>VLOOKUP(Table1[[#This Row],[Name of bank]],'اكواد البنوك'!$A$2:$B$34,2,0)</f>
        <v>EBBKEGCXXXX</v>
      </c>
      <c r="AF971" s="21" t="s">
        <v>129</v>
      </c>
      <c r="AG971" s="15" t="s">
        <v>167</v>
      </c>
    </row>
    <row r="972" spans="1:33">
      <c r="A972" s="14">
        <v>971</v>
      </c>
      <c r="B972" s="14" t="s">
        <v>3044</v>
      </c>
      <c r="C972" s="14" t="s">
        <v>8092</v>
      </c>
      <c r="D972" s="15" t="s">
        <v>1839</v>
      </c>
      <c r="E972" s="16" t="s">
        <v>9471</v>
      </c>
      <c r="F972" s="32" t="s">
        <v>9472</v>
      </c>
      <c r="G972" s="17" t="s">
        <v>9473</v>
      </c>
      <c r="H972" s="18" t="s">
        <v>9474</v>
      </c>
      <c r="I972" s="16" t="s">
        <v>9475</v>
      </c>
      <c r="J972" s="16" t="s">
        <v>173</v>
      </c>
      <c r="K972" s="16" t="s">
        <v>2222</v>
      </c>
      <c r="L972" s="16">
        <v>70835749</v>
      </c>
      <c r="M972" s="16">
        <v>2126986</v>
      </c>
      <c r="N972" s="16" t="s">
        <v>9476</v>
      </c>
      <c r="O972" s="16" t="s">
        <v>9477</v>
      </c>
      <c r="P972" s="16" t="s">
        <v>9478</v>
      </c>
      <c r="Q972" s="16" t="s">
        <v>2215</v>
      </c>
      <c r="R972" s="16" t="s">
        <v>7267</v>
      </c>
      <c r="S972" s="19" t="s">
        <v>9479</v>
      </c>
      <c r="T972" s="20" t="s">
        <v>176</v>
      </c>
      <c r="U972" s="16" t="s">
        <v>7831</v>
      </c>
      <c r="V972" s="16" t="s">
        <v>9480</v>
      </c>
      <c r="W972" s="30" t="s">
        <v>9481</v>
      </c>
      <c r="X972" s="18" t="s">
        <v>542</v>
      </c>
      <c r="Y972" s="18" t="s">
        <v>98</v>
      </c>
      <c r="Z972" s="18" t="s">
        <v>2215</v>
      </c>
      <c r="AA972" s="16" t="s">
        <v>7222</v>
      </c>
      <c r="AB972" s="16" t="s">
        <v>7233</v>
      </c>
      <c r="AC972" s="16" t="s">
        <v>7224</v>
      </c>
      <c r="AD972" s="123" t="str">
        <f t="shared" si="15"/>
        <v>External Transfer-Other banks</v>
      </c>
      <c r="AE972" s="123" t="str">
        <f>VLOOKUP(Table1[[#This Row],[Name of bank]],'اكواد البنوك'!$A$2:$B$34,2,0)</f>
        <v>BMISEGCXXXX</v>
      </c>
      <c r="AF972" s="21" t="s">
        <v>9428</v>
      </c>
      <c r="AG972" s="15" t="s">
        <v>49</v>
      </c>
    </row>
    <row r="973" spans="1:33">
      <c r="A973" s="14">
        <v>972</v>
      </c>
      <c r="B973" s="14" t="s">
        <v>9482</v>
      </c>
      <c r="C973" s="14" t="e">
        <v>#N/A</v>
      </c>
      <c r="D973" s="15" t="s">
        <v>1839</v>
      </c>
      <c r="E973" s="16" t="s">
        <v>9483</v>
      </c>
      <c r="F973" s="32" t="s">
        <v>9484</v>
      </c>
      <c r="G973" s="17" t="s">
        <v>9485</v>
      </c>
      <c r="H973" s="18" t="s">
        <v>9486</v>
      </c>
      <c r="I973" s="16" t="s">
        <v>8741</v>
      </c>
      <c r="J973" s="16" t="s">
        <v>86</v>
      </c>
      <c r="K973" s="16" t="s">
        <v>2320</v>
      </c>
      <c r="L973" s="16">
        <v>23950465</v>
      </c>
      <c r="M973" s="16" t="s">
        <v>136</v>
      </c>
      <c r="N973" s="16" t="s">
        <v>9487</v>
      </c>
      <c r="O973" s="16" t="s">
        <v>9488</v>
      </c>
      <c r="P973" s="16" t="s">
        <v>9489</v>
      </c>
      <c r="Q973" s="16" t="s">
        <v>2215</v>
      </c>
      <c r="R973" s="16" t="s">
        <v>7267</v>
      </c>
      <c r="S973" s="19" t="s">
        <v>9484</v>
      </c>
      <c r="T973" s="20" t="s">
        <v>40</v>
      </c>
      <c r="U973" s="16" t="s">
        <v>7486</v>
      </c>
      <c r="V973" s="16" t="s">
        <v>9490</v>
      </c>
      <c r="W973" s="30" t="s">
        <v>9491</v>
      </c>
      <c r="X973" s="18" t="s">
        <v>542</v>
      </c>
      <c r="Y973" s="18" t="s">
        <v>98</v>
      </c>
      <c r="Z973" s="18" t="s">
        <v>2215</v>
      </c>
      <c r="AA973" s="16" t="s">
        <v>7222</v>
      </c>
      <c r="AB973" s="16" t="s">
        <v>7233</v>
      </c>
      <c r="AC973" s="16" t="s">
        <v>7224</v>
      </c>
      <c r="AD973" s="123" t="str">
        <f t="shared" si="15"/>
        <v>External Transfer-NBE</v>
      </c>
      <c r="AE973" s="123" t="str">
        <f>VLOOKUP(Table1[[#This Row],[Name of bank]],'اكواد البنوك'!$A$2:$B$34,2,0)</f>
        <v>NBEGEGCXXXX</v>
      </c>
      <c r="AF973" s="21" t="s">
        <v>8973</v>
      </c>
      <c r="AG973" s="15" t="s">
        <v>167</v>
      </c>
    </row>
    <row r="974" spans="1:33">
      <c r="A974" s="14">
        <v>973</v>
      </c>
      <c r="B974" s="14" t="s">
        <v>9482</v>
      </c>
      <c r="C974" s="14" t="e">
        <v>#N/A</v>
      </c>
      <c r="D974" s="15" t="s">
        <v>1839</v>
      </c>
      <c r="E974" s="16" t="s">
        <v>9492</v>
      </c>
      <c r="F974" s="32" t="s">
        <v>9493</v>
      </c>
      <c r="G974" s="17" t="s">
        <v>9494</v>
      </c>
      <c r="H974" s="18" t="s">
        <v>9495</v>
      </c>
      <c r="I974" s="16" t="s">
        <v>9496</v>
      </c>
      <c r="J974" s="16" t="s">
        <v>173</v>
      </c>
      <c r="K974" s="16" t="s">
        <v>1952</v>
      </c>
      <c r="L974" s="16">
        <v>81046382</v>
      </c>
      <c r="M974" s="16" t="s">
        <v>234</v>
      </c>
      <c r="N974" s="16" t="s">
        <v>9497</v>
      </c>
      <c r="O974" s="16" t="s">
        <v>9498</v>
      </c>
      <c r="P974" s="16" t="s">
        <v>9499</v>
      </c>
      <c r="Q974" s="16" t="s">
        <v>2215</v>
      </c>
      <c r="R974" s="16" t="s">
        <v>7267</v>
      </c>
      <c r="S974" s="19" t="s">
        <v>9500</v>
      </c>
      <c r="T974" s="20" t="s">
        <v>40</v>
      </c>
      <c r="U974" s="16" t="s">
        <v>9501</v>
      </c>
      <c r="V974" s="16" t="s">
        <v>9502</v>
      </c>
      <c r="W974" s="30" t="s">
        <v>9503</v>
      </c>
      <c r="X974" s="18" t="s">
        <v>542</v>
      </c>
      <c r="Y974" s="18" t="s">
        <v>98</v>
      </c>
      <c r="Z974" s="18" t="s">
        <v>2215</v>
      </c>
      <c r="AA974" s="16" t="s">
        <v>7222</v>
      </c>
      <c r="AB974" s="16" t="s">
        <v>7233</v>
      </c>
      <c r="AC974" s="16" t="s">
        <v>7224</v>
      </c>
      <c r="AD974" s="123" t="str">
        <f t="shared" si="15"/>
        <v>External Transfer-NBE</v>
      </c>
      <c r="AE974" s="123" t="str">
        <f>VLOOKUP(Table1[[#This Row],[Name of bank]],'اكواد البنوك'!$A$2:$B$34,2,0)</f>
        <v>NBEGEGCXXXX</v>
      </c>
      <c r="AF974" s="21" t="s">
        <v>4189</v>
      </c>
      <c r="AG974" s="15" t="s">
        <v>49</v>
      </c>
    </row>
    <row r="975" spans="1:33">
      <c r="A975" s="14">
        <v>974</v>
      </c>
      <c r="B975" s="14" t="s">
        <v>9504</v>
      </c>
      <c r="C975" s="14" t="e">
        <v>#N/A</v>
      </c>
      <c r="D975" s="15" t="s">
        <v>1839</v>
      </c>
      <c r="E975" s="16" t="s">
        <v>9505</v>
      </c>
      <c r="F975" s="32" t="s">
        <v>9506</v>
      </c>
      <c r="G975" s="17" t="s">
        <v>9507</v>
      </c>
      <c r="H975" s="18" t="s">
        <v>9508</v>
      </c>
      <c r="I975" s="16" t="s">
        <v>9509</v>
      </c>
      <c r="J975" s="16" t="s">
        <v>173</v>
      </c>
      <c r="K975" s="16" t="s">
        <v>1952</v>
      </c>
      <c r="L975" s="16">
        <v>77622626</v>
      </c>
      <c r="M975" s="16">
        <v>2126986</v>
      </c>
      <c r="N975" s="16" t="s">
        <v>9510</v>
      </c>
      <c r="O975" s="16" t="s">
        <v>9511</v>
      </c>
      <c r="P975" s="16" t="s">
        <v>9512</v>
      </c>
      <c r="Q975" s="16" t="s">
        <v>2215</v>
      </c>
      <c r="R975" s="16" t="s">
        <v>7267</v>
      </c>
      <c r="S975" s="19" t="s">
        <v>9513</v>
      </c>
      <c r="T975" s="20" t="s">
        <v>93</v>
      </c>
      <c r="U975" s="16" t="s">
        <v>9951</v>
      </c>
      <c r="V975" s="16" t="s">
        <v>9514</v>
      </c>
      <c r="W975" s="30" t="s">
        <v>9515</v>
      </c>
      <c r="X975" s="18" t="s">
        <v>542</v>
      </c>
      <c r="Y975" s="18" t="s">
        <v>98</v>
      </c>
      <c r="Z975" s="18" t="s">
        <v>2215</v>
      </c>
      <c r="AA975" s="16" t="s">
        <v>7222</v>
      </c>
      <c r="AB975" s="16" t="s">
        <v>7233</v>
      </c>
      <c r="AC975" s="16" t="s">
        <v>7224</v>
      </c>
      <c r="AD975" s="123" t="str">
        <f t="shared" si="15"/>
        <v>External Transfer-Other banks</v>
      </c>
      <c r="AE975" s="123" t="str">
        <f>VLOOKUP(Table1[[#This Row],[Name of bank]],'اكواد البنوك'!$A$2:$B$34,2,0)</f>
        <v>QNBAEGCXXXX</v>
      </c>
      <c r="AF975" s="21">
        <v>193</v>
      </c>
      <c r="AG975" s="15" t="s">
        <v>167</v>
      </c>
    </row>
    <row r="976" spans="1:33">
      <c r="A976" s="14">
        <v>975</v>
      </c>
      <c r="B976" s="14" t="s">
        <v>9504</v>
      </c>
      <c r="C976" s="14" t="e">
        <v>#N/A</v>
      </c>
      <c r="D976" s="15" t="s">
        <v>1839</v>
      </c>
      <c r="E976" s="16" t="s">
        <v>9516</v>
      </c>
      <c r="F976" s="32" t="s">
        <v>9517</v>
      </c>
      <c r="G976" s="17" t="s">
        <v>9518</v>
      </c>
      <c r="H976" s="18" t="s">
        <v>9519</v>
      </c>
      <c r="I976" s="16" t="s">
        <v>8571</v>
      </c>
      <c r="J976" s="16" t="s">
        <v>86</v>
      </c>
      <c r="K976" s="16" t="s">
        <v>9520</v>
      </c>
      <c r="L976" s="16">
        <v>62460120</v>
      </c>
      <c r="M976" s="16">
        <v>694789704</v>
      </c>
      <c r="N976" s="16" t="s">
        <v>9521</v>
      </c>
      <c r="O976" s="16" t="s">
        <v>9498</v>
      </c>
      <c r="P976" s="16" t="s">
        <v>9522</v>
      </c>
      <c r="Q976" s="16" t="s">
        <v>2215</v>
      </c>
      <c r="R976" s="16" t="s">
        <v>7267</v>
      </c>
      <c r="S976" s="19" t="s">
        <v>9523</v>
      </c>
      <c r="T976" s="20" t="s">
        <v>176</v>
      </c>
      <c r="U976" s="16" t="s">
        <v>9524</v>
      </c>
      <c r="V976" s="16" t="s">
        <v>9525</v>
      </c>
      <c r="W976" s="30" t="s">
        <v>9526</v>
      </c>
      <c r="X976" s="18" t="s">
        <v>542</v>
      </c>
      <c r="Y976" s="18" t="s">
        <v>98</v>
      </c>
      <c r="Z976" s="18" t="s">
        <v>2215</v>
      </c>
      <c r="AA976" s="16" t="s">
        <v>7222</v>
      </c>
      <c r="AB976" s="16" t="s">
        <v>7233</v>
      </c>
      <c r="AC976" s="16" t="s">
        <v>7224</v>
      </c>
      <c r="AD976" s="123" t="str">
        <f t="shared" si="15"/>
        <v>External Transfer-Other banks</v>
      </c>
      <c r="AE976" s="123" t="str">
        <f>VLOOKUP(Table1[[#This Row],[Name of bank]],'اكواد البنوك'!$A$2:$B$34,2,0)</f>
        <v>BMISEGCXXXX</v>
      </c>
      <c r="AF976" s="21" t="s">
        <v>8191</v>
      </c>
      <c r="AG976" s="15" t="s">
        <v>49</v>
      </c>
    </row>
    <row r="977" spans="1:33">
      <c r="A977" s="14">
        <v>976</v>
      </c>
      <c r="B977" s="14" t="s">
        <v>9527</v>
      </c>
      <c r="C977" s="14" t="e">
        <v>#N/A</v>
      </c>
      <c r="D977" s="15" t="s">
        <v>1839</v>
      </c>
      <c r="E977" s="16" t="s">
        <v>9528</v>
      </c>
      <c r="F977" s="32" t="s">
        <v>9529</v>
      </c>
      <c r="G977" s="17" t="s">
        <v>9530</v>
      </c>
      <c r="H977" s="18" t="s">
        <v>9531</v>
      </c>
      <c r="I977" s="16" t="s">
        <v>9532</v>
      </c>
      <c r="J977" s="16" t="s">
        <v>86</v>
      </c>
      <c r="K977" s="16" t="s">
        <v>6226</v>
      </c>
      <c r="L977" s="16" t="s">
        <v>136</v>
      </c>
      <c r="M977" s="16" t="s">
        <v>977</v>
      </c>
      <c r="N977" s="16" t="s">
        <v>9533</v>
      </c>
      <c r="O977" s="16" t="s">
        <v>9534</v>
      </c>
      <c r="P977" s="16" t="s">
        <v>9535</v>
      </c>
      <c r="Q977" s="16" t="s">
        <v>2215</v>
      </c>
      <c r="R977" s="16" t="s">
        <v>7267</v>
      </c>
      <c r="S977" s="19" t="s">
        <v>9963</v>
      </c>
      <c r="T977" s="20" t="s">
        <v>40</v>
      </c>
      <c r="U977" s="16" t="s">
        <v>9912</v>
      </c>
      <c r="V977" s="16" t="s">
        <v>9536</v>
      </c>
      <c r="W977" s="30" t="s">
        <v>9537</v>
      </c>
      <c r="X977" s="18" t="s">
        <v>542</v>
      </c>
      <c r="Y977" s="18" t="s">
        <v>98</v>
      </c>
      <c r="Z977" s="18" t="s">
        <v>2215</v>
      </c>
      <c r="AA977" s="16" t="s">
        <v>7222</v>
      </c>
      <c r="AB977" s="16" t="s">
        <v>7233</v>
      </c>
      <c r="AC977" s="16" t="s">
        <v>7224</v>
      </c>
      <c r="AD977" s="123" t="str">
        <f t="shared" si="15"/>
        <v>External Transfer-NBE</v>
      </c>
      <c r="AE977" s="123" t="str">
        <f>VLOOKUP(Table1[[#This Row],[Name of bank]],'اكواد البنوك'!$A$2:$B$34,2,0)</f>
        <v>NBEGEGCXXXX</v>
      </c>
      <c r="AF977" s="21">
        <v>693</v>
      </c>
      <c r="AG977" s="15" t="s">
        <v>167</v>
      </c>
    </row>
    <row r="978" spans="1:33">
      <c r="A978" s="14">
        <v>977</v>
      </c>
      <c r="B978" s="14" t="s">
        <v>9527</v>
      </c>
      <c r="C978" s="14" t="e">
        <v>#N/A</v>
      </c>
      <c r="D978" s="15" t="s">
        <v>1839</v>
      </c>
      <c r="E978" s="16" t="s">
        <v>9538</v>
      </c>
      <c r="F978" s="32" t="s">
        <v>9539</v>
      </c>
      <c r="G978" s="17" t="s">
        <v>9540</v>
      </c>
      <c r="H978" s="18" t="s">
        <v>9541</v>
      </c>
      <c r="I978" s="16" t="s">
        <v>9542</v>
      </c>
      <c r="J978" s="16" t="s">
        <v>2035</v>
      </c>
      <c r="K978" s="16" t="s">
        <v>269</v>
      </c>
      <c r="L978" s="16">
        <v>82024537</v>
      </c>
      <c r="M978" s="16" t="s">
        <v>136</v>
      </c>
      <c r="N978" s="16" t="s">
        <v>9543</v>
      </c>
      <c r="O978" s="16" t="s">
        <v>9498</v>
      </c>
      <c r="P978" s="16" t="s">
        <v>9544</v>
      </c>
      <c r="Q978" s="16" t="s">
        <v>2215</v>
      </c>
      <c r="R978" s="16" t="s">
        <v>7267</v>
      </c>
      <c r="S978" s="19" t="s">
        <v>9545</v>
      </c>
      <c r="T978" s="20" t="s">
        <v>307</v>
      </c>
      <c r="U978" s="16" t="s">
        <v>9331</v>
      </c>
      <c r="V978" s="16" t="s">
        <v>9546</v>
      </c>
      <c r="W978" s="30" t="s">
        <v>9547</v>
      </c>
      <c r="X978" s="18" t="s">
        <v>542</v>
      </c>
      <c r="Y978" s="18" t="s">
        <v>98</v>
      </c>
      <c r="Z978" s="18" t="s">
        <v>2215</v>
      </c>
      <c r="AA978" s="16" t="s">
        <v>7222</v>
      </c>
      <c r="AB978" s="16" t="s">
        <v>7233</v>
      </c>
      <c r="AC978" s="16" t="s">
        <v>7224</v>
      </c>
      <c r="AD978" s="123" t="str">
        <f t="shared" si="15"/>
        <v>External Transfer-Other banks</v>
      </c>
      <c r="AE978" s="123" t="str">
        <f>VLOOKUP(Table1[[#This Row],[Name of bank]],'اكواد البنوك'!$A$2:$B$34,2,0)</f>
        <v>CIBEEGCXXXX</v>
      </c>
      <c r="AF978" s="21" t="s">
        <v>346</v>
      </c>
      <c r="AG978" s="15" t="s">
        <v>49</v>
      </c>
    </row>
    <row r="979" spans="1:33">
      <c r="A979" s="14">
        <v>978</v>
      </c>
      <c r="B979" s="14" t="s">
        <v>9548</v>
      </c>
      <c r="C979" s="14" t="e">
        <v>#N/A</v>
      </c>
      <c r="D979" s="15" t="s">
        <v>1839</v>
      </c>
      <c r="E979" s="16" t="s">
        <v>9549</v>
      </c>
      <c r="F979" s="32" t="s">
        <v>9550</v>
      </c>
      <c r="G979" s="17" t="s">
        <v>9551</v>
      </c>
      <c r="H979" s="18" t="s">
        <v>9552</v>
      </c>
      <c r="I979" s="16" t="s">
        <v>9553</v>
      </c>
      <c r="J979" s="16" t="s">
        <v>86</v>
      </c>
      <c r="K979" s="16" t="s">
        <v>6189</v>
      </c>
      <c r="L979" s="16">
        <v>35478209</v>
      </c>
      <c r="M979" s="16" t="s">
        <v>136</v>
      </c>
      <c r="N979" s="16" t="s">
        <v>9554</v>
      </c>
      <c r="O979" s="16" t="s">
        <v>9555</v>
      </c>
      <c r="P979" s="16" t="s">
        <v>9556</v>
      </c>
      <c r="Q979" s="16" t="s">
        <v>2215</v>
      </c>
      <c r="R979" s="16" t="s">
        <v>7267</v>
      </c>
      <c r="S979" s="19" t="s">
        <v>9549</v>
      </c>
      <c r="T979" s="20" t="s">
        <v>40</v>
      </c>
      <c r="U979" s="16" t="s">
        <v>9964</v>
      </c>
      <c r="V979" s="16" t="s">
        <v>9965</v>
      </c>
      <c r="W979" s="30" t="s">
        <v>9557</v>
      </c>
      <c r="X979" s="18" t="s">
        <v>542</v>
      </c>
      <c r="Y979" s="18" t="s">
        <v>98</v>
      </c>
      <c r="Z979" s="18" t="s">
        <v>2215</v>
      </c>
      <c r="AA979" s="16" t="s">
        <v>7222</v>
      </c>
      <c r="AB979" s="16" t="s">
        <v>7233</v>
      </c>
      <c r="AC979" s="16" t="s">
        <v>7224</v>
      </c>
      <c r="AD979" s="123" t="str">
        <f t="shared" si="15"/>
        <v>External Transfer-NBE</v>
      </c>
      <c r="AE979" s="123" t="str">
        <f>VLOOKUP(Table1[[#This Row],[Name of bank]],'اكواد البنوك'!$A$2:$B$34,2,0)</f>
        <v>NBEGEGCXXXX</v>
      </c>
      <c r="AF979" s="21" t="s">
        <v>10380</v>
      </c>
      <c r="AG979" s="15" t="s">
        <v>167</v>
      </c>
    </row>
    <row r="980" spans="1:33">
      <c r="A980" s="14">
        <v>979</v>
      </c>
      <c r="B980" s="14" t="s">
        <v>9548</v>
      </c>
      <c r="C980" s="14" t="s">
        <v>1811</v>
      </c>
      <c r="D980" s="15" t="s">
        <v>1839</v>
      </c>
      <c r="E980" s="16" t="s">
        <v>9558</v>
      </c>
      <c r="F980" s="32" t="s">
        <v>10203</v>
      </c>
      <c r="G980" s="17" t="s">
        <v>9560</v>
      </c>
      <c r="H980" s="18" t="s">
        <v>9561</v>
      </c>
      <c r="I980" s="16" t="s">
        <v>9562</v>
      </c>
      <c r="J980" s="16" t="s">
        <v>173</v>
      </c>
      <c r="K980" s="16" t="s">
        <v>9563</v>
      </c>
      <c r="L980" s="16">
        <v>72735511</v>
      </c>
      <c r="M980" s="16">
        <v>266853943</v>
      </c>
      <c r="N980" s="16" t="s">
        <v>9564</v>
      </c>
      <c r="O980" s="16" t="s">
        <v>9498</v>
      </c>
      <c r="P980" s="16" t="s">
        <v>9565</v>
      </c>
      <c r="Q980" s="16" t="s">
        <v>2215</v>
      </c>
      <c r="R980" s="16" t="s">
        <v>7267</v>
      </c>
      <c r="S980" s="19" t="s">
        <v>9559</v>
      </c>
      <c r="T980" s="20" t="s">
        <v>40</v>
      </c>
      <c r="U980" s="16" t="s">
        <v>7549</v>
      </c>
      <c r="V980" s="16" t="s">
        <v>9566</v>
      </c>
      <c r="W980" s="30" t="s">
        <v>9567</v>
      </c>
      <c r="X980" s="18" t="s">
        <v>542</v>
      </c>
      <c r="Y980" s="18" t="s">
        <v>98</v>
      </c>
      <c r="Z980" s="18" t="s">
        <v>2215</v>
      </c>
      <c r="AA980" s="16" t="s">
        <v>7222</v>
      </c>
      <c r="AB980" s="16" t="s">
        <v>7233</v>
      </c>
      <c r="AC980" s="16" t="s">
        <v>7224</v>
      </c>
      <c r="AD980" s="123" t="str">
        <f t="shared" si="15"/>
        <v>External Transfer-NBE</v>
      </c>
      <c r="AE980" s="123" t="str">
        <f>VLOOKUP(Table1[[#This Row],[Name of bank]],'اكواد البنوك'!$A$2:$B$34,2,0)</f>
        <v>NBEGEGCXXXX</v>
      </c>
      <c r="AF980" s="21" t="s">
        <v>3016</v>
      </c>
      <c r="AG980" s="15" t="s">
        <v>49</v>
      </c>
    </row>
    <row r="981" spans="1:33">
      <c r="A981" s="14">
        <v>980</v>
      </c>
      <c r="B981" s="14" t="s">
        <v>9568</v>
      </c>
      <c r="C981" s="14" t="e">
        <v>#N/A</v>
      </c>
      <c r="D981" s="15" t="s">
        <v>1839</v>
      </c>
      <c r="E981" s="16" t="s">
        <v>9569</v>
      </c>
      <c r="F981" s="32" t="s">
        <v>9570</v>
      </c>
      <c r="G981" s="17" t="s">
        <v>9571</v>
      </c>
      <c r="H981" s="18" t="s">
        <v>9572</v>
      </c>
      <c r="I981" s="16" t="s">
        <v>7827</v>
      </c>
      <c r="J981" s="16" t="s">
        <v>173</v>
      </c>
      <c r="K981" s="16" t="s">
        <v>9573</v>
      </c>
      <c r="L981" s="16">
        <v>66088407</v>
      </c>
      <c r="M981" s="16" t="s">
        <v>136</v>
      </c>
      <c r="N981" s="16" t="s">
        <v>9574</v>
      </c>
      <c r="O981" s="16" t="s">
        <v>9575</v>
      </c>
      <c r="P981" s="16" t="s">
        <v>9576</v>
      </c>
      <c r="Q981" s="16" t="s">
        <v>2215</v>
      </c>
      <c r="R981" s="16" t="s">
        <v>7267</v>
      </c>
      <c r="S981" s="19" t="s">
        <v>9577</v>
      </c>
      <c r="T981" s="20" t="s">
        <v>93</v>
      </c>
      <c r="U981" s="16" t="s">
        <v>9578</v>
      </c>
      <c r="V981" s="16" t="s">
        <v>9579</v>
      </c>
      <c r="W981" s="30" t="s">
        <v>9580</v>
      </c>
      <c r="X981" s="18" t="s">
        <v>542</v>
      </c>
      <c r="Y981" s="18" t="s">
        <v>98</v>
      </c>
      <c r="Z981" s="18" t="s">
        <v>2215</v>
      </c>
      <c r="AA981" s="16" t="s">
        <v>7222</v>
      </c>
      <c r="AB981" s="16" t="s">
        <v>7233</v>
      </c>
      <c r="AC981" s="16" t="s">
        <v>7224</v>
      </c>
      <c r="AD981" s="123" t="str">
        <f t="shared" si="15"/>
        <v>External Transfer-Other banks</v>
      </c>
      <c r="AE981" s="123" t="str">
        <f>VLOOKUP(Table1[[#This Row],[Name of bank]],'اكواد البنوك'!$A$2:$B$34,2,0)</f>
        <v>QNBAEGCXXXX</v>
      </c>
      <c r="AF981" s="21">
        <v>193</v>
      </c>
      <c r="AG981" s="15" t="s">
        <v>167</v>
      </c>
    </row>
    <row r="982" spans="1:33">
      <c r="A982" s="14">
        <v>981</v>
      </c>
      <c r="B982" s="14" t="s">
        <v>9568</v>
      </c>
      <c r="C982" s="14" t="e">
        <v>#N/A</v>
      </c>
      <c r="D982" s="15" t="s">
        <v>1839</v>
      </c>
      <c r="E982" s="16" t="s">
        <v>9581</v>
      </c>
      <c r="F982" s="32" t="s">
        <v>9582</v>
      </c>
      <c r="G982" s="17" t="s">
        <v>9583</v>
      </c>
      <c r="H982" s="18" t="s">
        <v>9584</v>
      </c>
      <c r="I982" s="16" t="s">
        <v>9585</v>
      </c>
      <c r="J982" s="16" t="s">
        <v>173</v>
      </c>
      <c r="K982" s="16" t="s">
        <v>1910</v>
      </c>
      <c r="L982" s="16">
        <v>66966852</v>
      </c>
      <c r="M982" s="16">
        <v>212995960</v>
      </c>
      <c r="N982" s="16" t="s">
        <v>9586</v>
      </c>
      <c r="O982" s="16" t="s">
        <v>9498</v>
      </c>
      <c r="P982" s="16" t="s">
        <v>9587</v>
      </c>
      <c r="Q982" s="16" t="s">
        <v>2215</v>
      </c>
      <c r="R982" s="16" t="s">
        <v>7267</v>
      </c>
      <c r="S982" s="19" t="s">
        <v>9588</v>
      </c>
      <c r="T982" s="20" t="s">
        <v>40</v>
      </c>
      <c r="U982" s="16" t="s">
        <v>9589</v>
      </c>
      <c r="V982" s="16" t="s">
        <v>9590</v>
      </c>
      <c r="W982" s="30" t="s">
        <v>9591</v>
      </c>
      <c r="X982" s="18" t="s">
        <v>542</v>
      </c>
      <c r="Y982" s="18" t="s">
        <v>98</v>
      </c>
      <c r="Z982" s="18" t="s">
        <v>2215</v>
      </c>
      <c r="AA982" s="16" t="s">
        <v>7222</v>
      </c>
      <c r="AB982" s="16" t="s">
        <v>7233</v>
      </c>
      <c r="AC982" s="16" t="s">
        <v>7224</v>
      </c>
      <c r="AD982" s="123" t="str">
        <f t="shared" si="15"/>
        <v>External Transfer-NBE</v>
      </c>
      <c r="AE982" s="123" t="str">
        <f>VLOOKUP(Table1[[#This Row],[Name of bank]],'اكواد البنوك'!$A$2:$B$34,2,0)</f>
        <v>NBEGEGCXXXX</v>
      </c>
      <c r="AF982" s="21" t="s">
        <v>9592</v>
      </c>
      <c r="AG982" s="15" t="s">
        <v>49</v>
      </c>
    </row>
    <row r="983" spans="1:33">
      <c r="A983" s="14">
        <v>982</v>
      </c>
      <c r="B983" s="14" t="s">
        <v>9593</v>
      </c>
      <c r="C983" s="14" t="e">
        <v>#N/A</v>
      </c>
      <c r="D983" s="15" t="s">
        <v>1839</v>
      </c>
      <c r="E983" s="16" t="s">
        <v>9594</v>
      </c>
      <c r="F983" s="32" t="s">
        <v>9595</v>
      </c>
      <c r="G983" s="17" t="s">
        <v>9596</v>
      </c>
      <c r="H983" s="18" t="s">
        <v>9597</v>
      </c>
      <c r="I983" s="16" t="s">
        <v>9598</v>
      </c>
      <c r="J983" s="16" t="s">
        <v>86</v>
      </c>
      <c r="K983" s="16" t="s">
        <v>269</v>
      </c>
      <c r="L983" s="16">
        <v>67665585</v>
      </c>
      <c r="M983" s="16" t="s">
        <v>136</v>
      </c>
      <c r="N983" s="16" t="s">
        <v>9599</v>
      </c>
      <c r="O983" s="16" t="s">
        <v>9600</v>
      </c>
      <c r="P983" s="16" t="s">
        <v>9601</v>
      </c>
      <c r="Q983" s="16" t="s">
        <v>2215</v>
      </c>
      <c r="R983" s="16" t="s">
        <v>7267</v>
      </c>
      <c r="S983" s="19" t="s">
        <v>9602</v>
      </c>
      <c r="T983" s="20" t="s">
        <v>176</v>
      </c>
      <c r="U983" s="16" t="s">
        <v>1926</v>
      </c>
      <c r="V983" s="16" t="s">
        <v>9603</v>
      </c>
      <c r="W983" s="30" t="s">
        <v>9604</v>
      </c>
      <c r="X983" s="18" t="s">
        <v>542</v>
      </c>
      <c r="Y983" s="18" t="s">
        <v>98</v>
      </c>
      <c r="Z983" s="18" t="s">
        <v>2215</v>
      </c>
      <c r="AA983" s="16" t="s">
        <v>7222</v>
      </c>
      <c r="AB983" s="16" t="s">
        <v>7233</v>
      </c>
      <c r="AC983" s="16" t="s">
        <v>7224</v>
      </c>
      <c r="AD983" s="123" t="str">
        <f t="shared" si="15"/>
        <v>External Transfer-Other banks</v>
      </c>
      <c r="AE983" s="123" t="str">
        <f>VLOOKUP(Table1[[#This Row],[Name of bank]],'اكواد البنوك'!$A$2:$B$34,2,0)</f>
        <v>BMISEGCXXXX</v>
      </c>
      <c r="AF983" s="21">
        <v>162</v>
      </c>
      <c r="AG983" s="15" t="s">
        <v>167</v>
      </c>
    </row>
    <row r="984" spans="1:33">
      <c r="A984" s="14">
        <v>983</v>
      </c>
      <c r="B984" s="14" t="s">
        <v>9593</v>
      </c>
      <c r="C984" s="14" t="s">
        <v>8065</v>
      </c>
      <c r="D984" s="15" t="s">
        <v>1839</v>
      </c>
      <c r="E984" s="16" t="s">
        <v>9605</v>
      </c>
      <c r="F984" s="32" t="s">
        <v>9606</v>
      </c>
      <c r="G984" s="17" t="s">
        <v>9607</v>
      </c>
      <c r="H984" s="18" t="s">
        <v>9608</v>
      </c>
      <c r="I984" s="16" t="s">
        <v>9609</v>
      </c>
      <c r="J984" s="16" t="s">
        <v>86</v>
      </c>
      <c r="K984" s="16" t="s">
        <v>9610</v>
      </c>
      <c r="L984" s="16">
        <v>86196431</v>
      </c>
      <c r="M984" s="16" t="s">
        <v>136</v>
      </c>
      <c r="N984" s="16" t="s">
        <v>9611</v>
      </c>
      <c r="O984" s="16" t="s">
        <v>9498</v>
      </c>
      <c r="P984" s="16" t="s">
        <v>9612</v>
      </c>
      <c r="Q984" s="16" t="s">
        <v>2215</v>
      </c>
      <c r="R984" s="16" t="s">
        <v>7267</v>
      </c>
      <c r="S984" s="19" t="s">
        <v>9605</v>
      </c>
      <c r="T984" s="20" t="s">
        <v>307</v>
      </c>
      <c r="U984" s="16" t="s">
        <v>9613</v>
      </c>
      <c r="V984" s="16" t="s">
        <v>9614</v>
      </c>
      <c r="W984" s="30" t="s">
        <v>9615</v>
      </c>
      <c r="X984" s="18" t="s">
        <v>542</v>
      </c>
      <c r="Y984" s="18" t="s">
        <v>98</v>
      </c>
      <c r="Z984" s="18" t="s">
        <v>2215</v>
      </c>
      <c r="AA984" s="16" t="s">
        <v>7222</v>
      </c>
      <c r="AB984" s="16" t="s">
        <v>7233</v>
      </c>
      <c r="AC984" s="16" t="s">
        <v>7224</v>
      </c>
      <c r="AD984" s="123" t="str">
        <f t="shared" si="15"/>
        <v>External Transfer-Other banks</v>
      </c>
      <c r="AE984" s="123" t="str">
        <f>VLOOKUP(Table1[[#This Row],[Name of bank]],'اكواد البنوك'!$A$2:$B$34,2,0)</f>
        <v>CIBEEGCXXXX</v>
      </c>
      <c r="AF984" s="21" t="s">
        <v>2291</v>
      </c>
      <c r="AG984" s="15" t="s">
        <v>49</v>
      </c>
    </row>
    <row r="985" spans="1:33">
      <c r="A985" s="14">
        <v>984</v>
      </c>
      <c r="B985" s="14" t="s">
        <v>9616</v>
      </c>
      <c r="C985" s="14" t="e">
        <v>#N/A</v>
      </c>
      <c r="D985" s="15" t="s">
        <v>1839</v>
      </c>
      <c r="E985" s="16" t="s">
        <v>9617</v>
      </c>
      <c r="F985" s="32" t="s">
        <v>8436</v>
      </c>
      <c r="G985" s="17" t="s">
        <v>9618</v>
      </c>
      <c r="H985" s="18" t="s">
        <v>9619</v>
      </c>
      <c r="I985" s="16" t="s">
        <v>9620</v>
      </c>
      <c r="J985" s="16" t="s">
        <v>173</v>
      </c>
      <c r="K985" s="16" t="s">
        <v>9621</v>
      </c>
      <c r="L985" s="16">
        <v>50957129</v>
      </c>
      <c r="M985" s="16" t="s">
        <v>119</v>
      </c>
      <c r="N985" s="16" t="s">
        <v>9622</v>
      </c>
      <c r="O985" s="16" t="s">
        <v>9623</v>
      </c>
      <c r="P985" s="16" t="s">
        <v>9624</v>
      </c>
      <c r="Q985" s="16" t="s">
        <v>2215</v>
      </c>
      <c r="R985" s="16" t="s">
        <v>7267</v>
      </c>
      <c r="S985" s="19" t="s">
        <v>8436</v>
      </c>
      <c r="T985" s="20" t="s">
        <v>40</v>
      </c>
      <c r="U985" s="16" t="s">
        <v>9966</v>
      </c>
      <c r="V985" s="16" t="s">
        <v>9967</v>
      </c>
      <c r="W985" s="30" t="s">
        <v>8438</v>
      </c>
      <c r="X985" s="18" t="s">
        <v>542</v>
      </c>
      <c r="Y985" s="18" t="s">
        <v>98</v>
      </c>
      <c r="Z985" s="18" t="s">
        <v>2215</v>
      </c>
      <c r="AA985" s="16" t="s">
        <v>7222</v>
      </c>
      <c r="AB985" s="16" t="s">
        <v>7233</v>
      </c>
      <c r="AC985" s="16" t="s">
        <v>7224</v>
      </c>
      <c r="AD985" s="123" t="str">
        <f t="shared" si="15"/>
        <v>External Transfer-NBE</v>
      </c>
      <c r="AE985" s="123" t="str">
        <f>VLOOKUP(Table1[[#This Row],[Name of bank]],'اكواد البنوك'!$A$2:$B$34,2,0)</f>
        <v>NBEGEGCXXXX</v>
      </c>
      <c r="AF985" s="21" t="s">
        <v>346</v>
      </c>
      <c r="AG985" s="15" t="s">
        <v>167</v>
      </c>
    </row>
    <row r="986" spans="1:33">
      <c r="A986" s="14">
        <v>985</v>
      </c>
      <c r="B986" s="14" t="s">
        <v>9616</v>
      </c>
      <c r="C986" s="14" t="e">
        <v>#N/A</v>
      </c>
      <c r="D986" s="15" t="s">
        <v>1839</v>
      </c>
      <c r="E986" s="16" t="s">
        <v>9625</v>
      </c>
      <c r="F986" s="32" t="s">
        <v>9626</v>
      </c>
      <c r="G986" s="17" t="s">
        <v>9627</v>
      </c>
      <c r="H986" s="18" t="s">
        <v>9628</v>
      </c>
      <c r="I986" s="16" t="s">
        <v>9629</v>
      </c>
      <c r="J986" s="16" t="s">
        <v>173</v>
      </c>
      <c r="K986" s="16" t="s">
        <v>7628</v>
      </c>
      <c r="L986" s="16" t="s">
        <v>1224</v>
      </c>
      <c r="M986" s="16" t="s">
        <v>136</v>
      </c>
      <c r="N986" s="16" t="s">
        <v>9630</v>
      </c>
      <c r="O986" s="16" t="s">
        <v>9498</v>
      </c>
      <c r="P986" s="16" t="s">
        <v>9631</v>
      </c>
      <c r="Q986" s="16" t="s">
        <v>2215</v>
      </c>
      <c r="R986" s="16" t="s">
        <v>7267</v>
      </c>
      <c r="S986" s="19" t="s">
        <v>9632</v>
      </c>
      <c r="T986" s="20" t="s">
        <v>40</v>
      </c>
      <c r="U986" s="16" t="s">
        <v>9633</v>
      </c>
      <c r="V986" s="16" t="s">
        <v>9634</v>
      </c>
      <c r="W986" s="30" t="s">
        <v>9635</v>
      </c>
      <c r="X986" s="18" t="s">
        <v>542</v>
      </c>
      <c r="Y986" s="18" t="s">
        <v>98</v>
      </c>
      <c r="Z986" s="18" t="s">
        <v>2215</v>
      </c>
      <c r="AA986" s="16" t="s">
        <v>7222</v>
      </c>
      <c r="AB986" s="16" t="s">
        <v>7233</v>
      </c>
      <c r="AC986" s="16" t="s">
        <v>7224</v>
      </c>
      <c r="AD986" s="123" t="str">
        <f t="shared" si="15"/>
        <v>External Transfer-NBE</v>
      </c>
      <c r="AE986" s="123" t="str">
        <f>VLOOKUP(Table1[[#This Row],[Name of bank]],'اكواد البنوك'!$A$2:$B$34,2,0)</f>
        <v>NBEGEGCXXXX</v>
      </c>
      <c r="AF986" s="21" t="s">
        <v>8973</v>
      </c>
      <c r="AG986" s="15" t="s">
        <v>49</v>
      </c>
    </row>
    <row r="987" spans="1:33">
      <c r="A987" s="14">
        <v>986</v>
      </c>
      <c r="B987" s="14" t="s">
        <v>9636</v>
      </c>
      <c r="C987" s="14" t="e">
        <v>#N/A</v>
      </c>
      <c r="D987" s="15" t="s">
        <v>1839</v>
      </c>
      <c r="E987" s="16" t="s">
        <v>9637</v>
      </c>
      <c r="F987" s="32" t="s">
        <v>9638</v>
      </c>
      <c r="G987" s="17" t="s">
        <v>9639</v>
      </c>
      <c r="H987" s="18" t="s">
        <v>9640</v>
      </c>
      <c r="I987" s="16" t="s">
        <v>9641</v>
      </c>
      <c r="J987" s="16" t="s">
        <v>173</v>
      </c>
      <c r="K987" s="16" t="s">
        <v>384</v>
      </c>
      <c r="L987" s="16">
        <v>79108680</v>
      </c>
      <c r="M987" s="16" t="s">
        <v>427</v>
      </c>
      <c r="N987" s="16" t="s">
        <v>9642</v>
      </c>
      <c r="O987" s="16" t="s">
        <v>9600</v>
      </c>
      <c r="P987" s="16" t="s">
        <v>9643</v>
      </c>
      <c r="Q987" s="16" t="s">
        <v>2215</v>
      </c>
      <c r="R987" s="16" t="s">
        <v>7267</v>
      </c>
      <c r="S987" s="19" t="s">
        <v>9644</v>
      </c>
      <c r="T987" s="20" t="s">
        <v>6292</v>
      </c>
      <c r="U987" s="16" t="s">
        <v>9968</v>
      </c>
      <c r="V987" s="16" t="s">
        <v>9645</v>
      </c>
      <c r="W987" s="30" t="s">
        <v>9646</v>
      </c>
      <c r="X987" s="18" t="s">
        <v>542</v>
      </c>
      <c r="Y987" s="18" t="s">
        <v>98</v>
      </c>
      <c r="Z987" s="18" t="s">
        <v>2215</v>
      </c>
      <c r="AA987" s="16" t="s">
        <v>7222</v>
      </c>
      <c r="AB987" s="16" t="s">
        <v>7233</v>
      </c>
      <c r="AC987" s="16" t="s">
        <v>7224</v>
      </c>
      <c r="AD987" s="123" t="str">
        <f t="shared" si="15"/>
        <v>External Transfer-Other banks</v>
      </c>
      <c r="AE987" s="123" t="str">
        <f>VLOOKUP(Table1[[#This Row],[Name of bank]],'اكواد البنوك'!$A$2:$B$34,2,0)</f>
        <v>FIEGEGCXXXX</v>
      </c>
      <c r="AF987" s="21">
        <v>38</v>
      </c>
      <c r="AG987" s="15" t="s">
        <v>167</v>
      </c>
    </row>
    <row r="988" spans="1:33">
      <c r="A988" s="14">
        <v>987</v>
      </c>
      <c r="B988" s="14" t="s">
        <v>9636</v>
      </c>
      <c r="C988" s="14" t="e">
        <v>#N/A</v>
      </c>
      <c r="D988" s="15" t="s">
        <v>1839</v>
      </c>
      <c r="E988" s="16" t="s">
        <v>9647</v>
      </c>
      <c r="F988" s="32" t="s">
        <v>9648</v>
      </c>
      <c r="G988" s="17" t="s">
        <v>9649</v>
      </c>
      <c r="H988" s="18" t="s">
        <v>9650</v>
      </c>
      <c r="I988" s="16" t="s">
        <v>9651</v>
      </c>
      <c r="J988" s="16" t="s">
        <v>173</v>
      </c>
      <c r="K988" s="16" t="s">
        <v>257</v>
      </c>
      <c r="L988" s="16" t="s">
        <v>136</v>
      </c>
      <c r="M988" s="16" t="s">
        <v>977</v>
      </c>
      <c r="N988" s="16" t="s">
        <v>9652</v>
      </c>
      <c r="O988" s="16" t="s">
        <v>9498</v>
      </c>
      <c r="P988" s="16" t="s">
        <v>9653</v>
      </c>
      <c r="Q988" s="16" t="s">
        <v>2215</v>
      </c>
      <c r="R988" s="16" t="s">
        <v>7267</v>
      </c>
      <c r="S988" s="19" t="s">
        <v>9654</v>
      </c>
      <c r="T988" s="20" t="s">
        <v>93</v>
      </c>
      <c r="U988" s="16" t="s">
        <v>9655</v>
      </c>
      <c r="V988" s="16" t="s">
        <v>9656</v>
      </c>
      <c r="W988" s="30" t="s">
        <v>9657</v>
      </c>
      <c r="X988" s="18" t="s">
        <v>542</v>
      </c>
      <c r="Y988" s="18" t="s">
        <v>98</v>
      </c>
      <c r="Z988" s="18" t="s">
        <v>2215</v>
      </c>
      <c r="AA988" s="16" t="s">
        <v>7222</v>
      </c>
      <c r="AB988" s="16" t="s">
        <v>7233</v>
      </c>
      <c r="AC988" s="16" t="s">
        <v>7224</v>
      </c>
      <c r="AD988" s="123" t="str">
        <f t="shared" si="15"/>
        <v>External Transfer-Other banks</v>
      </c>
      <c r="AE988" s="123" t="str">
        <f>VLOOKUP(Table1[[#This Row],[Name of bank]],'اكواد البنوك'!$A$2:$B$34,2,0)</f>
        <v>QNBAEGCXXXX</v>
      </c>
      <c r="AF988" s="21" t="s">
        <v>9658</v>
      </c>
      <c r="AG988" s="15" t="s">
        <v>49</v>
      </c>
    </row>
    <row r="989" spans="1:33">
      <c r="A989" s="14">
        <v>988</v>
      </c>
      <c r="B989" s="14" t="s">
        <v>9636</v>
      </c>
      <c r="C989" s="14" t="e">
        <v>#N/A</v>
      </c>
      <c r="D989" s="15" t="s">
        <v>1839</v>
      </c>
      <c r="E989" s="16" t="s">
        <v>9659</v>
      </c>
      <c r="F989" s="32" t="s">
        <v>9660</v>
      </c>
      <c r="G989" s="17" t="s">
        <v>9661</v>
      </c>
      <c r="H989" s="18" t="s">
        <v>9662</v>
      </c>
      <c r="I989" s="16" t="s">
        <v>9663</v>
      </c>
      <c r="J989" s="16" t="s">
        <v>173</v>
      </c>
      <c r="K989" s="16" t="s">
        <v>269</v>
      </c>
      <c r="L989" s="16" t="s">
        <v>136</v>
      </c>
      <c r="M989" s="16" t="s">
        <v>136</v>
      </c>
      <c r="N989" s="16" t="s">
        <v>9664</v>
      </c>
      <c r="O989" s="16" t="s">
        <v>9665</v>
      </c>
      <c r="P989" s="16" t="s">
        <v>9666</v>
      </c>
      <c r="Q989" s="16" t="s">
        <v>2215</v>
      </c>
      <c r="R989" s="16" t="s">
        <v>7267</v>
      </c>
      <c r="S989" s="19" t="s">
        <v>9969</v>
      </c>
      <c r="T989" s="20" t="s">
        <v>176</v>
      </c>
      <c r="U989" s="16" t="s">
        <v>9970</v>
      </c>
      <c r="V989" s="16" t="s">
        <v>9667</v>
      </c>
      <c r="W989" s="30" t="s">
        <v>9668</v>
      </c>
      <c r="X989" s="18" t="s">
        <v>542</v>
      </c>
      <c r="Y989" s="18" t="s">
        <v>98</v>
      </c>
      <c r="Z989" s="18" t="s">
        <v>2215</v>
      </c>
      <c r="AA989" s="16" t="s">
        <v>7222</v>
      </c>
      <c r="AB989" s="16" t="s">
        <v>7233</v>
      </c>
      <c r="AC989" s="16" t="s">
        <v>7224</v>
      </c>
      <c r="AD989" s="123" t="str">
        <f t="shared" si="15"/>
        <v>External Transfer-Other banks</v>
      </c>
      <c r="AE989" s="123" t="str">
        <f>VLOOKUP(Table1[[#This Row],[Name of bank]],'اكواد البنوك'!$A$2:$B$34,2,0)</f>
        <v>BMISEGCXXXX</v>
      </c>
      <c r="AF989" s="21">
        <v>506</v>
      </c>
      <c r="AG989" s="15" t="s">
        <v>167</v>
      </c>
    </row>
    <row r="990" spans="1:33">
      <c r="A990" s="14">
        <v>989</v>
      </c>
      <c r="B990" s="14" t="s">
        <v>9669</v>
      </c>
      <c r="C990" s="14" t="s">
        <v>7833</v>
      </c>
      <c r="D990" s="15" t="s">
        <v>1839</v>
      </c>
      <c r="E990" s="16" t="s">
        <v>9670</v>
      </c>
      <c r="F990" s="32" t="s">
        <v>10148</v>
      </c>
      <c r="G990" s="17" t="s">
        <v>9671</v>
      </c>
      <c r="H990" s="18" t="s">
        <v>9672</v>
      </c>
      <c r="I990" s="16" t="s">
        <v>9673</v>
      </c>
      <c r="J990" s="16" t="s">
        <v>86</v>
      </c>
      <c r="K990" s="16" t="s">
        <v>1341</v>
      </c>
      <c r="L990" s="16" t="s">
        <v>977</v>
      </c>
      <c r="M990" s="16" t="s">
        <v>136</v>
      </c>
      <c r="N990" s="16" t="s">
        <v>9674</v>
      </c>
      <c r="O990" s="16" t="s">
        <v>9675</v>
      </c>
      <c r="P990" s="16" t="s">
        <v>9676</v>
      </c>
      <c r="Q990" s="16" t="s">
        <v>2215</v>
      </c>
      <c r="R990" s="16" t="s">
        <v>7267</v>
      </c>
      <c r="S990" s="19" t="s">
        <v>9971</v>
      </c>
      <c r="T990" s="20" t="s">
        <v>307</v>
      </c>
      <c r="U990" s="16" t="s">
        <v>9677</v>
      </c>
      <c r="V990" s="16" t="s">
        <v>9678</v>
      </c>
      <c r="W990" s="30" t="s">
        <v>9679</v>
      </c>
      <c r="X990" s="18" t="s">
        <v>542</v>
      </c>
      <c r="Y990" s="18" t="s">
        <v>98</v>
      </c>
      <c r="Z990" s="18" t="s">
        <v>2215</v>
      </c>
      <c r="AA990" s="16" t="s">
        <v>7222</v>
      </c>
      <c r="AB990" s="16" t="s">
        <v>7233</v>
      </c>
      <c r="AC990" s="16" t="s">
        <v>7224</v>
      </c>
      <c r="AD990" s="123" t="str">
        <f t="shared" si="15"/>
        <v>External Transfer-Other banks</v>
      </c>
      <c r="AE990" s="123" t="str">
        <f>VLOOKUP(Table1[[#This Row],[Name of bank]],'اكواد البنوك'!$A$2:$B$34,2,0)</f>
        <v>CIBEEGCXXXX</v>
      </c>
      <c r="AF990" s="21" t="s">
        <v>2269</v>
      </c>
      <c r="AG990" s="15" t="s">
        <v>167</v>
      </c>
    </row>
    <row r="991" spans="1:33">
      <c r="A991" s="14">
        <v>990</v>
      </c>
      <c r="B991" s="14" t="s">
        <v>9669</v>
      </c>
      <c r="C991" s="14" t="s">
        <v>7682</v>
      </c>
      <c r="D991" s="15" t="s">
        <v>1839</v>
      </c>
      <c r="E991" s="16" t="s">
        <v>9680</v>
      </c>
      <c r="F991" s="32" t="s">
        <v>9681</v>
      </c>
      <c r="G991" s="17" t="s">
        <v>9682</v>
      </c>
      <c r="H991" s="18" t="s">
        <v>9683</v>
      </c>
      <c r="I991" s="16" t="s">
        <v>9684</v>
      </c>
      <c r="J991" s="16" t="s">
        <v>173</v>
      </c>
      <c r="K991" s="16" t="s">
        <v>9685</v>
      </c>
      <c r="L991" s="16">
        <v>28546</v>
      </c>
      <c r="M991" s="16">
        <v>694789704</v>
      </c>
      <c r="N991" s="16" t="s">
        <v>9686</v>
      </c>
      <c r="O991" s="16" t="s">
        <v>9498</v>
      </c>
      <c r="P991" s="16" t="s">
        <v>9687</v>
      </c>
      <c r="Q991" s="16" t="s">
        <v>2215</v>
      </c>
      <c r="R991" s="16" t="s">
        <v>7267</v>
      </c>
      <c r="S991" s="19" t="s">
        <v>9680</v>
      </c>
      <c r="T991" s="20" t="s">
        <v>176</v>
      </c>
      <c r="U991" s="16" t="s">
        <v>9688</v>
      </c>
      <c r="V991" s="16" t="s">
        <v>9689</v>
      </c>
      <c r="W991" s="30" t="s">
        <v>9690</v>
      </c>
      <c r="X991" s="18" t="s">
        <v>542</v>
      </c>
      <c r="Y991" s="18" t="s">
        <v>98</v>
      </c>
      <c r="Z991" s="18" t="s">
        <v>2215</v>
      </c>
      <c r="AA991" s="16" t="s">
        <v>7222</v>
      </c>
      <c r="AB991" s="16" t="s">
        <v>7233</v>
      </c>
      <c r="AC991" s="16" t="s">
        <v>7224</v>
      </c>
      <c r="AD991" s="123" t="str">
        <f t="shared" si="15"/>
        <v>External Transfer-Other banks</v>
      </c>
      <c r="AE991" s="123" t="str">
        <f>VLOOKUP(Table1[[#This Row],[Name of bank]],'اكواد البنوك'!$A$2:$B$34,2,0)</f>
        <v>BMISEGCXXXX</v>
      </c>
      <c r="AF991" s="21" t="s">
        <v>751</v>
      </c>
      <c r="AG991" s="15" t="s">
        <v>49</v>
      </c>
    </row>
    <row r="992" spans="1:33">
      <c r="A992" s="14">
        <v>991</v>
      </c>
      <c r="B992" s="14" t="s">
        <v>9669</v>
      </c>
      <c r="C992" s="14" t="e">
        <v>#N/A</v>
      </c>
      <c r="D992" s="15" t="s">
        <v>1839</v>
      </c>
      <c r="E992" s="16" t="s">
        <v>9691</v>
      </c>
      <c r="F992" s="32" t="s">
        <v>9692</v>
      </c>
      <c r="G992" s="17" t="s">
        <v>9693</v>
      </c>
      <c r="H992" s="18" t="s">
        <v>9694</v>
      </c>
      <c r="I992" s="16" t="s">
        <v>7827</v>
      </c>
      <c r="J992" s="16" t="s">
        <v>7615</v>
      </c>
      <c r="K992" s="16" t="s">
        <v>9695</v>
      </c>
      <c r="L992" s="16">
        <v>59771090</v>
      </c>
      <c r="M992" s="16" t="s">
        <v>136</v>
      </c>
      <c r="N992" s="16" t="s">
        <v>9696</v>
      </c>
      <c r="O992" s="16" t="s">
        <v>9498</v>
      </c>
      <c r="P992" s="16" t="s">
        <v>9697</v>
      </c>
      <c r="Q992" s="16" t="s">
        <v>2215</v>
      </c>
      <c r="R992" s="16" t="s">
        <v>7267</v>
      </c>
      <c r="S992" s="88" t="s">
        <v>9698</v>
      </c>
      <c r="T992" s="4" t="s">
        <v>93</v>
      </c>
      <c r="U992" s="92" t="s">
        <v>9370</v>
      </c>
      <c r="V992" s="92" t="s">
        <v>9699</v>
      </c>
      <c r="W992" s="30" t="s">
        <v>9700</v>
      </c>
      <c r="X992" s="18" t="s">
        <v>542</v>
      </c>
      <c r="Y992" s="18" t="s">
        <v>98</v>
      </c>
      <c r="Z992" s="18" t="s">
        <v>2215</v>
      </c>
      <c r="AA992" s="16" t="s">
        <v>7222</v>
      </c>
      <c r="AB992" s="16" t="s">
        <v>7233</v>
      </c>
      <c r="AC992" s="16" t="s">
        <v>7224</v>
      </c>
      <c r="AD992" s="123" t="str">
        <f t="shared" si="15"/>
        <v>External Transfer-Other banks</v>
      </c>
      <c r="AE992" s="123" t="str">
        <f>VLOOKUP(Table1[[#This Row],[Name of bank]],'اكواد البنوك'!$A$2:$B$34,2,0)</f>
        <v>QNBAEGCXXXX</v>
      </c>
      <c r="AF992" s="21" t="s">
        <v>4336</v>
      </c>
      <c r="AG992" s="15" t="s">
        <v>49</v>
      </c>
    </row>
    <row r="993" spans="1:33">
      <c r="A993" s="14">
        <v>992</v>
      </c>
      <c r="B993" s="14" t="s">
        <v>9701</v>
      </c>
      <c r="C993" s="14" t="s">
        <v>8280</v>
      </c>
      <c r="D993" s="15" t="s">
        <v>1839</v>
      </c>
      <c r="E993" s="16" t="s">
        <v>9702</v>
      </c>
      <c r="F993" s="32" t="s">
        <v>10167</v>
      </c>
      <c r="G993" s="17" t="s">
        <v>9703</v>
      </c>
      <c r="H993" s="18" t="s">
        <v>9704</v>
      </c>
      <c r="I993" s="16" t="s">
        <v>9705</v>
      </c>
      <c r="J993" s="16" t="s">
        <v>86</v>
      </c>
      <c r="K993" s="16" t="s">
        <v>9706</v>
      </c>
      <c r="L993" s="16">
        <v>77797023</v>
      </c>
      <c r="M993" s="16" t="s">
        <v>136</v>
      </c>
      <c r="N993" s="16" t="s">
        <v>9707</v>
      </c>
      <c r="O993" s="16" t="s">
        <v>9600</v>
      </c>
      <c r="P993" s="16" t="s">
        <v>9708</v>
      </c>
      <c r="Q993" s="16" t="s">
        <v>2215</v>
      </c>
      <c r="R993" s="16" t="s">
        <v>7267</v>
      </c>
      <c r="S993" s="19" t="s">
        <v>9709</v>
      </c>
      <c r="T993" s="20" t="s">
        <v>40</v>
      </c>
      <c r="U993" s="16" t="s">
        <v>9710</v>
      </c>
      <c r="V993" s="16" t="s">
        <v>9711</v>
      </c>
      <c r="W993" s="113" t="s">
        <v>9712</v>
      </c>
      <c r="X993" s="18" t="s">
        <v>542</v>
      </c>
      <c r="Y993" s="18" t="s">
        <v>98</v>
      </c>
      <c r="Z993" s="18" t="s">
        <v>2215</v>
      </c>
      <c r="AA993" s="16" t="s">
        <v>7222</v>
      </c>
      <c r="AB993" s="16" t="s">
        <v>7233</v>
      </c>
      <c r="AC993" s="16" t="s">
        <v>7224</v>
      </c>
      <c r="AD993" s="123" t="str">
        <f t="shared" si="15"/>
        <v>External Transfer-NBE</v>
      </c>
      <c r="AE993" s="123" t="str">
        <f>VLOOKUP(Table1[[#This Row],[Name of bank]],'اكواد البنوك'!$A$2:$B$34,2,0)</f>
        <v>NBEGEGCXXXX</v>
      </c>
      <c r="AF993" s="114" t="s">
        <v>10366</v>
      </c>
      <c r="AG993" s="15" t="s">
        <v>167</v>
      </c>
    </row>
    <row r="994" spans="1:33">
      <c r="A994" s="14">
        <v>993</v>
      </c>
      <c r="B994" s="14" t="s">
        <v>9701</v>
      </c>
      <c r="C994" s="14" t="s">
        <v>8280</v>
      </c>
      <c r="D994" s="15" t="s">
        <v>1839</v>
      </c>
      <c r="E994" s="16" t="s">
        <v>9713</v>
      </c>
      <c r="F994" s="32" t="s">
        <v>10113</v>
      </c>
      <c r="G994" s="17" t="s">
        <v>9714</v>
      </c>
      <c r="H994" s="18" t="s">
        <v>9715</v>
      </c>
      <c r="I994" s="16" t="s">
        <v>7473</v>
      </c>
      <c r="J994" s="16" t="s">
        <v>173</v>
      </c>
      <c r="K994" s="16" t="s">
        <v>9716</v>
      </c>
      <c r="L994" s="16">
        <v>48582515</v>
      </c>
      <c r="M994" s="16" t="s">
        <v>136</v>
      </c>
      <c r="N994" s="16" t="s">
        <v>9717</v>
      </c>
      <c r="O994" s="16" t="s">
        <v>9498</v>
      </c>
      <c r="P994" s="16" t="s">
        <v>9718</v>
      </c>
      <c r="Q994" s="16" t="s">
        <v>2215</v>
      </c>
      <c r="R994" s="16" t="s">
        <v>7267</v>
      </c>
      <c r="S994" s="19" t="s">
        <v>9719</v>
      </c>
      <c r="T994" s="20" t="s">
        <v>176</v>
      </c>
      <c r="U994" s="16" t="s">
        <v>9720</v>
      </c>
      <c r="V994" s="16" t="s">
        <v>9721</v>
      </c>
      <c r="W994" s="30" t="s">
        <v>9722</v>
      </c>
      <c r="X994" s="18" t="s">
        <v>542</v>
      </c>
      <c r="Y994" s="18" t="s">
        <v>98</v>
      </c>
      <c r="Z994" s="18" t="s">
        <v>2215</v>
      </c>
      <c r="AA994" s="16" t="s">
        <v>7222</v>
      </c>
      <c r="AB994" s="16" t="s">
        <v>7233</v>
      </c>
      <c r="AC994" s="16" t="s">
        <v>7224</v>
      </c>
      <c r="AD994" s="123" t="str">
        <f t="shared" si="15"/>
        <v>External Transfer-Other banks</v>
      </c>
      <c r="AE994" s="123" t="str">
        <f>VLOOKUP(Table1[[#This Row],[Name of bank]],'اكواد البنوك'!$A$2:$B$34,2,0)</f>
        <v>BMISEGCXXXX</v>
      </c>
      <c r="AF994" s="21" t="s">
        <v>9723</v>
      </c>
      <c r="AG994" s="15" t="s">
        <v>49</v>
      </c>
    </row>
    <row r="995" spans="1:33">
      <c r="A995" s="14">
        <v>994</v>
      </c>
      <c r="B995" s="14" t="s">
        <v>9701</v>
      </c>
      <c r="C995" s="14" t="s">
        <v>7325</v>
      </c>
      <c r="D995" s="15" t="s">
        <v>1839</v>
      </c>
      <c r="E995" s="16" t="s">
        <v>9724</v>
      </c>
      <c r="F995" s="32" t="s">
        <v>9725</v>
      </c>
      <c r="G995" s="17" t="s">
        <v>9726</v>
      </c>
      <c r="H995" s="18" t="s">
        <v>9727</v>
      </c>
      <c r="I995" s="16" t="s">
        <v>9728</v>
      </c>
      <c r="J995" s="16" t="s">
        <v>2035</v>
      </c>
      <c r="K995" s="16" t="s">
        <v>269</v>
      </c>
      <c r="L995" s="16">
        <v>80229784</v>
      </c>
      <c r="M995" s="16" t="s">
        <v>136</v>
      </c>
      <c r="N995" s="16" t="s">
        <v>9729</v>
      </c>
      <c r="O995" s="16" t="s">
        <v>9498</v>
      </c>
      <c r="P995" s="16" t="s">
        <v>9730</v>
      </c>
      <c r="Q995" s="16" t="s">
        <v>2215</v>
      </c>
      <c r="R995" s="16" t="s">
        <v>7267</v>
      </c>
      <c r="S995" s="19" t="s">
        <v>9731</v>
      </c>
      <c r="T995" s="20" t="s">
        <v>1238</v>
      </c>
      <c r="U995" s="16" t="s">
        <v>9732</v>
      </c>
      <c r="V995" s="16" t="s">
        <v>9733</v>
      </c>
      <c r="W995" s="30" t="s">
        <v>9734</v>
      </c>
      <c r="X995" s="18" t="s">
        <v>542</v>
      </c>
      <c r="Y995" s="18" t="s">
        <v>98</v>
      </c>
      <c r="Z995" s="18" t="s">
        <v>2215</v>
      </c>
      <c r="AA995" s="16" t="s">
        <v>7222</v>
      </c>
      <c r="AB995" s="16" t="s">
        <v>7233</v>
      </c>
      <c r="AC995" s="16" t="s">
        <v>7224</v>
      </c>
      <c r="AD995" s="123" t="str">
        <f t="shared" si="15"/>
        <v>External Transfer-Other banks</v>
      </c>
      <c r="AE995" s="123" t="str">
        <f>VLOOKUP(Table1[[#This Row],[Name of bank]],'اكواد البنوك'!$A$2:$B$34,2,0)</f>
        <v>EBBKEGCXXXX</v>
      </c>
      <c r="AF995" s="21" t="s">
        <v>7795</v>
      </c>
      <c r="AG995" s="15" t="s">
        <v>49</v>
      </c>
    </row>
    <row r="996" spans="1:33">
      <c r="A996" s="14">
        <v>995</v>
      </c>
      <c r="B996" s="14" t="s">
        <v>9735</v>
      </c>
      <c r="C996" s="14" t="e">
        <v>#N/A</v>
      </c>
      <c r="D996" s="15" t="s">
        <v>1839</v>
      </c>
      <c r="E996" s="16" t="s">
        <v>9736</v>
      </c>
      <c r="F996" s="32" t="s">
        <v>9737</v>
      </c>
      <c r="G996" s="17" t="s">
        <v>9738</v>
      </c>
      <c r="H996" s="18" t="s">
        <v>9739</v>
      </c>
      <c r="I996" s="16" t="s">
        <v>9740</v>
      </c>
      <c r="J996" s="16" t="s">
        <v>86</v>
      </c>
      <c r="K996" s="16" t="s">
        <v>257</v>
      </c>
      <c r="L996" s="16">
        <v>18349778</v>
      </c>
      <c r="M996" s="16">
        <v>69478789704</v>
      </c>
      <c r="N996" s="16" t="s">
        <v>9741</v>
      </c>
      <c r="O996" s="16" t="s">
        <v>9742</v>
      </c>
      <c r="P996" s="16" t="s">
        <v>9743</v>
      </c>
      <c r="Q996" s="16" t="s">
        <v>2215</v>
      </c>
      <c r="R996" s="16" t="s">
        <v>7267</v>
      </c>
      <c r="S996" s="19" t="s">
        <v>9744</v>
      </c>
      <c r="T996" s="20" t="s">
        <v>6292</v>
      </c>
      <c r="U996" s="16" t="s">
        <v>9745</v>
      </c>
      <c r="V996" s="16" t="s">
        <v>9746</v>
      </c>
      <c r="W996" s="30" t="s">
        <v>9747</v>
      </c>
      <c r="X996" s="18" t="s">
        <v>542</v>
      </c>
      <c r="Y996" s="18" t="s">
        <v>98</v>
      </c>
      <c r="Z996" s="18" t="s">
        <v>2215</v>
      </c>
      <c r="AA996" s="16" t="s">
        <v>7222</v>
      </c>
      <c r="AB996" s="16" t="s">
        <v>7233</v>
      </c>
      <c r="AC996" s="16" t="s">
        <v>7224</v>
      </c>
      <c r="AD996" s="123" t="str">
        <f t="shared" si="15"/>
        <v>External Transfer-Other banks</v>
      </c>
      <c r="AE996" s="123" t="str">
        <f>VLOOKUP(Table1[[#This Row],[Name of bank]],'اكواد البنوك'!$A$2:$B$34,2,0)</f>
        <v>FIEGEGCXXXX</v>
      </c>
      <c r="AF996" s="21" t="s">
        <v>227</v>
      </c>
      <c r="AG996" s="15" t="s">
        <v>167</v>
      </c>
    </row>
    <row r="997" spans="1:33">
      <c r="A997" s="14">
        <v>996</v>
      </c>
      <c r="B997" s="14" t="s">
        <v>9735</v>
      </c>
      <c r="C997" s="14" t="e">
        <v>#N/A</v>
      </c>
      <c r="D997" s="15" t="s">
        <v>1839</v>
      </c>
      <c r="E997" s="16" t="s">
        <v>9748</v>
      </c>
      <c r="F997" s="32" t="s">
        <v>10160</v>
      </c>
      <c r="G997" s="17" t="s">
        <v>9749</v>
      </c>
      <c r="H997" s="18" t="s">
        <v>9750</v>
      </c>
      <c r="I997" s="16" t="s">
        <v>9751</v>
      </c>
      <c r="J997" s="16" t="s">
        <v>2035</v>
      </c>
      <c r="K997" s="16" t="s">
        <v>9752</v>
      </c>
      <c r="L997" s="16">
        <v>62106280</v>
      </c>
      <c r="M997" s="16">
        <v>20201211</v>
      </c>
      <c r="N997" s="16" t="s">
        <v>9753</v>
      </c>
      <c r="O997" s="16" t="s">
        <v>9498</v>
      </c>
      <c r="P997" s="16" t="s">
        <v>9754</v>
      </c>
      <c r="Q997" s="16" t="s">
        <v>2215</v>
      </c>
      <c r="R997" s="16" t="s">
        <v>7267</v>
      </c>
      <c r="S997" s="19" t="s">
        <v>9748</v>
      </c>
      <c r="T997" s="20" t="s">
        <v>40</v>
      </c>
      <c r="U997" s="16" t="s">
        <v>9755</v>
      </c>
      <c r="V997" s="16" t="s">
        <v>9756</v>
      </c>
      <c r="W997" s="93" t="s">
        <v>9757</v>
      </c>
      <c r="X997" s="18" t="s">
        <v>542</v>
      </c>
      <c r="Y997" s="18" t="s">
        <v>98</v>
      </c>
      <c r="Z997" s="18" t="s">
        <v>2215</v>
      </c>
      <c r="AA997" s="16" t="s">
        <v>7222</v>
      </c>
      <c r="AB997" s="16" t="s">
        <v>7233</v>
      </c>
      <c r="AC997" s="16" t="s">
        <v>7224</v>
      </c>
      <c r="AD997" s="123" t="str">
        <f t="shared" si="15"/>
        <v>External Transfer-NBE</v>
      </c>
      <c r="AE997" s="123" t="str">
        <f>VLOOKUP(Table1[[#This Row],[Name of bank]],'اكواد البنوك'!$A$2:$B$34,2,0)</f>
        <v>NBEGEGCXXXX</v>
      </c>
      <c r="AF997" s="21" t="s">
        <v>10379</v>
      </c>
      <c r="AG997" s="15" t="s">
        <v>49</v>
      </c>
    </row>
    <row r="998" spans="1:33">
      <c r="A998" s="14">
        <v>997</v>
      </c>
      <c r="B998" s="14" t="s">
        <v>9735</v>
      </c>
      <c r="C998" s="14" t="e">
        <v>#N/A</v>
      </c>
      <c r="D998" s="15" t="s">
        <v>1839</v>
      </c>
      <c r="E998" s="16" t="s">
        <v>9758</v>
      </c>
      <c r="F998" s="32" t="s">
        <v>9759</v>
      </c>
      <c r="G998" s="17" t="s">
        <v>9760</v>
      </c>
      <c r="H998" s="18" t="s">
        <v>9761</v>
      </c>
      <c r="I998" s="16" t="s">
        <v>9762</v>
      </c>
      <c r="J998" s="16" t="s">
        <v>86</v>
      </c>
      <c r="K998" s="16" t="s">
        <v>9763</v>
      </c>
      <c r="L998" s="16" t="s">
        <v>136</v>
      </c>
      <c r="M998" s="16">
        <v>694789704</v>
      </c>
      <c r="N998" s="16" t="s">
        <v>9764</v>
      </c>
      <c r="O998" s="16" t="s">
        <v>9498</v>
      </c>
      <c r="P998" s="16" t="s">
        <v>9765</v>
      </c>
      <c r="Q998" s="16" t="s">
        <v>2215</v>
      </c>
      <c r="R998" s="16" t="s">
        <v>7267</v>
      </c>
      <c r="S998" s="19" t="s">
        <v>9759</v>
      </c>
      <c r="T998" s="20" t="s">
        <v>176</v>
      </c>
      <c r="U998" s="16" t="s">
        <v>9766</v>
      </c>
      <c r="V998" s="16" t="s">
        <v>9767</v>
      </c>
      <c r="W998" s="93" t="s">
        <v>9768</v>
      </c>
      <c r="X998" s="18" t="s">
        <v>542</v>
      </c>
      <c r="Y998" s="18" t="s">
        <v>98</v>
      </c>
      <c r="Z998" s="18" t="s">
        <v>2215</v>
      </c>
      <c r="AA998" s="16" t="s">
        <v>7222</v>
      </c>
      <c r="AB998" s="16" t="s">
        <v>7233</v>
      </c>
      <c r="AC998" s="16" t="s">
        <v>7224</v>
      </c>
      <c r="AD998" s="123" t="str">
        <f t="shared" si="15"/>
        <v>External Transfer-Other banks</v>
      </c>
      <c r="AE998" s="123" t="str">
        <f>VLOOKUP(Table1[[#This Row],[Name of bank]],'اكواد البنوك'!$A$2:$B$34,2,0)</f>
        <v>BMISEGCXXXX</v>
      </c>
      <c r="AF998" s="21" t="s">
        <v>4672</v>
      </c>
      <c r="AG998" s="15" t="s">
        <v>49</v>
      </c>
    </row>
    <row r="999" spans="1:33">
      <c r="A999" s="14">
        <v>998</v>
      </c>
      <c r="B999" s="14" t="s">
        <v>9769</v>
      </c>
      <c r="C999" s="14" t="s">
        <v>7858</v>
      </c>
      <c r="D999" s="15" t="s">
        <v>1839</v>
      </c>
      <c r="E999" s="16" t="s">
        <v>9770</v>
      </c>
      <c r="F999" s="32" t="s">
        <v>9771</v>
      </c>
      <c r="G999" s="17" t="s">
        <v>9772</v>
      </c>
      <c r="H999" s="18" t="s">
        <v>9773</v>
      </c>
      <c r="I999" s="16" t="s">
        <v>9774</v>
      </c>
      <c r="J999" s="16" t="s">
        <v>173</v>
      </c>
      <c r="K999" s="16" t="s">
        <v>9775</v>
      </c>
      <c r="L999" s="16">
        <v>14236890</v>
      </c>
      <c r="M999" s="16" t="s">
        <v>136</v>
      </c>
      <c r="N999" s="16" t="s">
        <v>9776</v>
      </c>
      <c r="O999" s="16" t="s">
        <v>9600</v>
      </c>
      <c r="P999" s="16" t="s">
        <v>9777</v>
      </c>
      <c r="Q999" s="16" t="s">
        <v>2215</v>
      </c>
      <c r="R999" s="16" t="s">
        <v>7267</v>
      </c>
      <c r="S999" s="19" t="s">
        <v>9972</v>
      </c>
      <c r="T999" s="20" t="s">
        <v>176</v>
      </c>
      <c r="U999" s="16" t="s">
        <v>9973</v>
      </c>
      <c r="V999" s="16" t="s">
        <v>9974</v>
      </c>
      <c r="W999" s="93" t="s">
        <v>9975</v>
      </c>
      <c r="X999" s="18" t="s">
        <v>542</v>
      </c>
      <c r="Y999" s="18" t="s">
        <v>98</v>
      </c>
      <c r="Z999" s="18" t="s">
        <v>2215</v>
      </c>
      <c r="AA999" s="16" t="s">
        <v>7222</v>
      </c>
      <c r="AB999" s="16" t="s">
        <v>7233</v>
      </c>
      <c r="AC999" s="16" t="s">
        <v>7224</v>
      </c>
      <c r="AD999" s="123" t="str">
        <f t="shared" si="15"/>
        <v>External Transfer-Other banks</v>
      </c>
      <c r="AE999" s="123" t="str">
        <f>VLOOKUP(Table1[[#This Row],[Name of bank]],'اكواد البنوك'!$A$2:$B$34,2,0)</f>
        <v>BMISEGCXXXX</v>
      </c>
      <c r="AF999" s="21">
        <v>773</v>
      </c>
      <c r="AG999" s="15" t="s">
        <v>167</v>
      </c>
    </row>
    <row r="1000" spans="1:33">
      <c r="A1000" s="14">
        <v>999</v>
      </c>
      <c r="B1000" s="14" t="s">
        <v>9769</v>
      </c>
      <c r="C1000" s="14" t="s">
        <v>1811</v>
      </c>
      <c r="D1000" s="15" t="s">
        <v>1839</v>
      </c>
      <c r="E1000" s="16" t="s">
        <v>9778</v>
      </c>
      <c r="F1000" s="32" t="s">
        <v>10035</v>
      </c>
      <c r="G1000" s="17" t="s">
        <v>9779</v>
      </c>
      <c r="H1000" s="18" t="s">
        <v>9780</v>
      </c>
      <c r="I1000" s="16" t="s">
        <v>9781</v>
      </c>
      <c r="J1000" s="16" t="s">
        <v>173</v>
      </c>
      <c r="K1000" s="16" t="s">
        <v>148</v>
      </c>
      <c r="L1000" s="16">
        <v>84856557</v>
      </c>
      <c r="M1000" s="16">
        <v>1822161614</v>
      </c>
      <c r="N1000" s="16" t="s">
        <v>9782</v>
      </c>
      <c r="O1000" s="16" t="s">
        <v>9498</v>
      </c>
      <c r="P1000" s="16" t="s">
        <v>9783</v>
      </c>
      <c r="Q1000" s="16" t="s">
        <v>2215</v>
      </c>
      <c r="R1000" s="16" t="s">
        <v>7267</v>
      </c>
      <c r="S1000" s="19" t="s">
        <v>9778</v>
      </c>
      <c r="T1000" s="20" t="s">
        <v>908</v>
      </c>
      <c r="U1000" s="16" t="s">
        <v>9784</v>
      </c>
      <c r="V1000" s="16" t="s">
        <v>9785</v>
      </c>
      <c r="W1000" s="30" t="s">
        <v>9786</v>
      </c>
      <c r="X1000" s="18" t="s">
        <v>542</v>
      </c>
      <c r="Y1000" s="18" t="s">
        <v>98</v>
      </c>
      <c r="Z1000" s="18" t="s">
        <v>2215</v>
      </c>
      <c r="AA1000" s="16" t="s">
        <v>7222</v>
      </c>
      <c r="AB1000" s="16" t="s">
        <v>7233</v>
      </c>
      <c r="AC1000" s="16" t="s">
        <v>7224</v>
      </c>
      <c r="AD1000" s="123" t="str">
        <f t="shared" si="15"/>
        <v>External Transfer-Other banks</v>
      </c>
      <c r="AE1000" s="123" t="str">
        <f>VLOOKUP(Table1[[#This Row],[Name of bank]],'اكواد البنوك'!$A$2:$B$34,2,0)</f>
        <v>ARAIEGCXXXX</v>
      </c>
      <c r="AF1000" s="21" t="s">
        <v>7822</v>
      </c>
      <c r="AG1000" s="15" t="s">
        <v>49</v>
      </c>
    </row>
    <row r="1001" spans="1:33">
      <c r="A1001" s="14">
        <v>1000</v>
      </c>
      <c r="B1001" s="14" t="s">
        <v>9769</v>
      </c>
      <c r="C1001" s="14" t="s">
        <v>8065</v>
      </c>
      <c r="D1001" s="15" t="s">
        <v>1839</v>
      </c>
      <c r="E1001" s="16" t="s">
        <v>9787</v>
      </c>
      <c r="F1001" s="32" t="s">
        <v>9788</v>
      </c>
      <c r="G1001" s="17" t="s">
        <v>9789</v>
      </c>
      <c r="H1001" s="18" t="s">
        <v>9790</v>
      </c>
      <c r="I1001" s="16" t="s">
        <v>7699</v>
      </c>
      <c r="J1001" s="16" t="s">
        <v>173</v>
      </c>
      <c r="K1001" s="16" t="s">
        <v>5196</v>
      </c>
      <c r="L1001" s="16">
        <v>46861411</v>
      </c>
      <c r="M1001" s="16" t="s">
        <v>136</v>
      </c>
      <c r="N1001" s="16" t="s">
        <v>9791</v>
      </c>
      <c r="O1001" s="16" t="s">
        <v>9498</v>
      </c>
      <c r="P1001" s="16" t="s">
        <v>9792</v>
      </c>
      <c r="Q1001" s="16" t="s">
        <v>2215</v>
      </c>
      <c r="R1001" s="16" t="s">
        <v>7267</v>
      </c>
      <c r="S1001" s="19" t="s">
        <v>9793</v>
      </c>
      <c r="T1001" s="20" t="s">
        <v>176</v>
      </c>
      <c r="U1001" s="16" t="s">
        <v>9794</v>
      </c>
      <c r="V1001" s="16" t="s">
        <v>9795</v>
      </c>
      <c r="W1001" s="30" t="s">
        <v>9796</v>
      </c>
      <c r="X1001" s="18" t="s">
        <v>542</v>
      </c>
      <c r="Y1001" s="18" t="s">
        <v>98</v>
      </c>
      <c r="Z1001" s="18" t="s">
        <v>2215</v>
      </c>
      <c r="AA1001" s="16" t="s">
        <v>7222</v>
      </c>
      <c r="AB1001" s="16" t="s">
        <v>7233</v>
      </c>
      <c r="AC1001" s="16" t="s">
        <v>7224</v>
      </c>
      <c r="AD1001" s="123" t="str">
        <f t="shared" si="15"/>
        <v>External Transfer-Other banks</v>
      </c>
      <c r="AE1001" s="123" t="str">
        <f>VLOOKUP(Table1[[#This Row],[Name of bank]],'اكواد البنوك'!$A$2:$B$34,2,0)</f>
        <v>BMISEGCXXXX</v>
      </c>
      <c r="AF1001" s="21" t="s">
        <v>9797</v>
      </c>
      <c r="AG1001" s="15" t="s">
        <v>49</v>
      </c>
    </row>
    <row r="1002" spans="1:33">
      <c r="A1002" s="14">
        <v>1001</v>
      </c>
      <c r="B1002" s="14" t="s">
        <v>9798</v>
      </c>
      <c r="C1002" s="14" t="s">
        <v>9990</v>
      </c>
      <c r="D1002" s="15" t="s">
        <v>1839</v>
      </c>
      <c r="E1002" s="16" t="s">
        <v>9799</v>
      </c>
      <c r="F1002" s="32" t="s">
        <v>10111</v>
      </c>
      <c r="G1002" s="17" t="s">
        <v>9800</v>
      </c>
      <c r="H1002" s="18" t="s">
        <v>9801</v>
      </c>
      <c r="I1002" s="16" t="s">
        <v>4010</v>
      </c>
      <c r="J1002" s="16" t="s">
        <v>86</v>
      </c>
      <c r="K1002" s="16" t="s">
        <v>6177</v>
      </c>
      <c r="L1002" s="16">
        <v>75589804</v>
      </c>
      <c r="M1002" s="16">
        <v>0</v>
      </c>
      <c r="N1002" s="16" t="s">
        <v>9802</v>
      </c>
      <c r="O1002" s="16" t="s">
        <v>9803</v>
      </c>
      <c r="P1002" s="16" t="s">
        <v>9804</v>
      </c>
      <c r="Q1002" s="16" t="s">
        <v>2215</v>
      </c>
      <c r="R1002" s="16" t="s">
        <v>7267</v>
      </c>
      <c r="S1002" s="19" t="s">
        <v>9799</v>
      </c>
      <c r="T1002" s="20" t="s">
        <v>176</v>
      </c>
      <c r="U1002" s="16" t="s">
        <v>9976</v>
      </c>
      <c r="V1002" s="16" t="s">
        <v>9977</v>
      </c>
      <c r="W1002" s="30" t="s">
        <v>9978</v>
      </c>
      <c r="X1002" s="18" t="s">
        <v>542</v>
      </c>
      <c r="Y1002" s="18" t="s">
        <v>98</v>
      </c>
      <c r="Z1002" s="18" t="s">
        <v>2215</v>
      </c>
      <c r="AA1002" s="16" t="s">
        <v>7222</v>
      </c>
      <c r="AB1002" s="16" t="s">
        <v>7223</v>
      </c>
      <c r="AC1002" s="16" t="s">
        <v>7224</v>
      </c>
      <c r="AD1002" s="123" t="str">
        <f t="shared" si="15"/>
        <v>External Transfer-Other banks</v>
      </c>
      <c r="AE1002" s="123" t="str">
        <f>VLOOKUP(Table1[[#This Row],[Name of bank]],'اكواد البنوك'!$A$2:$B$34,2,0)</f>
        <v>BMISEGCXXXX</v>
      </c>
      <c r="AF1002" s="21" t="s">
        <v>2291</v>
      </c>
      <c r="AG1002" s="15" t="s">
        <v>10381</v>
      </c>
    </row>
    <row r="1003" spans="1:33">
      <c r="A1003" s="14">
        <v>1002</v>
      </c>
      <c r="B1003" s="14" t="s">
        <v>9798</v>
      </c>
      <c r="C1003" s="14" t="s">
        <v>9798</v>
      </c>
      <c r="D1003" s="15" t="s">
        <v>1839</v>
      </c>
      <c r="E1003" s="16" t="s">
        <v>9805</v>
      </c>
      <c r="F1003" s="32" t="s">
        <v>9806</v>
      </c>
      <c r="G1003" s="17" t="s">
        <v>9807</v>
      </c>
      <c r="H1003" s="18" t="s">
        <v>9808</v>
      </c>
      <c r="I1003" s="16" t="s">
        <v>9809</v>
      </c>
      <c r="J1003" s="16" t="s">
        <v>1845</v>
      </c>
      <c r="K1003" s="16" t="s">
        <v>9810</v>
      </c>
      <c r="L1003" s="16">
        <v>82260672</v>
      </c>
      <c r="M1003" s="16" t="s">
        <v>136</v>
      </c>
      <c r="N1003" s="16" t="s">
        <v>9811</v>
      </c>
      <c r="O1003" s="16" t="s">
        <v>9812</v>
      </c>
      <c r="P1003" s="16" t="s">
        <v>9813</v>
      </c>
      <c r="Q1003" s="16" t="s">
        <v>2215</v>
      </c>
      <c r="R1003" s="16" t="s">
        <v>7267</v>
      </c>
      <c r="S1003" s="19" t="s">
        <v>9979</v>
      </c>
      <c r="T1003" s="2" t="s">
        <v>40</v>
      </c>
      <c r="U1003" s="16" t="s">
        <v>9814</v>
      </c>
      <c r="V1003" s="16" t="s">
        <v>9980</v>
      </c>
      <c r="W1003" s="30" t="s">
        <v>9815</v>
      </c>
      <c r="X1003" s="18" t="s">
        <v>542</v>
      </c>
      <c r="Y1003" s="18" t="s">
        <v>98</v>
      </c>
      <c r="Z1003" s="18" t="s">
        <v>2215</v>
      </c>
      <c r="AA1003" s="16" t="s">
        <v>7222</v>
      </c>
      <c r="AB1003" s="16" t="s">
        <v>7233</v>
      </c>
      <c r="AC1003" s="16" t="s">
        <v>7224</v>
      </c>
      <c r="AD1003" s="123" t="str">
        <f t="shared" si="15"/>
        <v>External Transfer-NBE</v>
      </c>
      <c r="AE1003" s="123" t="str">
        <f>VLOOKUP(Table1[[#This Row],[Name of bank]],'اكواد البنوك'!$A$2:$B$34,2,0)</f>
        <v>NBEGEGCXXXX</v>
      </c>
      <c r="AF1003" s="21">
        <v>413</v>
      </c>
      <c r="AG1003" s="15" t="s">
        <v>49</v>
      </c>
    </row>
    <row r="1004" spans="1:33">
      <c r="A1004" s="14">
        <v>1003</v>
      </c>
      <c r="B1004" s="14"/>
      <c r="C1004" s="14">
        <v>0</v>
      </c>
      <c r="D1004" s="15" t="s">
        <v>1718</v>
      </c>
      <c r="E1004" s="16" t="s">
        <v>9816</v>
      </c>
      <c r="F1004" s="32" t="s">
        <v>9817</v>
      </c>
      <c r="G1004" s="17"/>
      <c r="H1004" s="18">
        <v>201120367383</v>
      </c>
      <c r="I1004" s="16" t="s">
        <v>1718</v>
      </c>
      <c r="J1004" s="16"/>
      <c r="K1004" s="16"/>
      <c r="L1004" s="16"/>
      <c r="M1004" s="16"/>
      <c r="N1004" s="16"/>
      <c r="O1004" s="16"/>
      <c r="P1004" s="16"/>
      <c r="Q1004" s="16" t="s">
        <v>2215</v>
      </c>
      <c r="R1004" s="16" t="s">
        <v>7267</v>
      </c>
      <c r="S1004" s="19"/>
      <c r="T1004" s="20" t="s">
        <v>40</v>
      </c>
      <c r="U1004" s="16"/>
      <c r="V1004" s="16"/>
      <c r="W1004" s="30" t="s">
        <v>1718</v>
      </c>
      <c r="X1004" s="18" t="s">
        <v>1434</v>
      </c>
      <c r="Y1004" s="18" t="s">
        <v>43</v>
      </c>
      <c r="Z1004" s="18" t="s">
        <v>2215</v>
      </c>
      <c r="AA1004" s="16" t="s">
        <v>7222</v>
      </c>
      <c r="AB1004" s="16" t="s">
        <v>7223</v>
      </c>
      <c r="AC1004" s="16" t="s">
        <v>7224</v>
      </c>
      <c r="AD1004" s="123" t="str">
        <f t="shared" si="15"/>
        <v>Internal Transfer</v>
      </c>
      <c r="AE1004" s="123" t="str">
        <f>VLOOKUP(Table1[[#This Row],[Name of bank]],'اكواد البنوك'!$A$2:$B$34,2,0)</f>
        <v>NBEGEGCXXXX</v>
      </c>
      <c r="AF1004" s="30" t="s">
        <v>1718</v>
      </c>
      <c r="AG1004" s="15"/>
    </row>
    <row r="1005" spans="1:33">
      <c r="A1005" s="14">
        <v>1004</v>
      </c>
      <c r="B1005" s="14"/>
      <c r="C1005" s="14">
        <v>0</v>
      </c>
      <c r="D1005" s="15" t="s">
        <v>1718</v>
      </c>
      <c r="E1005" s="16" t="s">
        <v>9818</v>
      </c>
      <c r="F1005" s="32" t="s">
        <v>9819</v>
      </c>
      <c r="G1005" s="17"/>
      <c r="H1005" s="18">
        <v>201063777353</v>
      </c>
      <c r="I1005" s="16" t="s">
        <v>1718</v>
      </c>
      <c r="J1005" s="16"/>
      <c r="K1005" s="16"/>
      <c r="L1005" s="16"/>
      <c r="M1005" s="16"/>
      <c r="N1005" s="16"/>
      <c r="O1005" s="16"/>
      <c r="P1005" s="16"/>
      <c r="Q1005" s="16" t="s">
        <v>2215</v>
      </c>
      <c r="R1005" s="16" t="s">
        <v>7267</v>
      </c>
      <c r="S1005" s="19"/>
      <c r="T1005" s="20" t="s">
        <v>40</v>
      </c>
      <c r="U1005" s="16"/>
      <c r="V1005" s="16"/>
      <c r="W1005" s="30" t="s">
        <v>1718</v>
      </c>
      <c r="X1005" s="18" t="s">
        <v>1434</v>
      </c>
      <c r="Y1005" s="18" t="s">
        <v>43</v>
      </c>
      <c r="Z1005" s="18" t="s">
        <v>2215</v>
      </c>
      <c r="AA1005" s="16" t="s">
        <v>7222</v>
      </c>
      <c r="AB1005" s="16" t="s">
        <v>7223</v>
      </c>
      <c r="AC1005" s="16" t="s">
        <v>7224</v>
      </c>
      <c r="AD1005" s="123" t="str">
        <f t="shared" si="15"/>
        <v>Internal Transfer</v>
      </c>
      <c r="AE1005" s="123" t="str">
        <f>VLOOKUP(Table1[[#This Row],[Name of bank]],'اكواد البنوك'!$A$2:$B$34,2,0)</f>
        <v>NBEGEGCXXXX</v>
      </c>
      <c r="AF1005" s="30" t="s">
        <v>1718</v>
      </c>
      <c r="AG1005" s="15"/>
    </row>
    <row r="1006" spans="1:33">
      <c r="A1006" s="14">
        <v>1005</v>
      </c>
      <c r="B1006" s="22" t="s">
        <v>6581</v>
      </c>
      <c r="C1006" s="22" t="s">
        <v>6581</v>
      </c>
      <c r="D1006" s="23" t="s">
        <v>1839</v>
      </c>
      <c r="E1006" s="24" t="s">
        <v>9820</v>
      </c>
      <c r="F1006" s="33" t="s">
        <v>9821</v>
      </c>
      <c r="G1006" s="25" t="s">
        <v>9822</v>
      </c>
      <c r="H1006" s="26" t="s">
        <v>9823</v>
      </c>
      <c r="I1006" s="24" t="s">
        <v>9824</v>
      </c>
      <c r="J1006" s="24" t="s">
        <v>173</v>
      </c>
      <c r="K1006" s="24" t="s">
        <v>9825</v>
      </c>
      <c r="L1006" s="24" t="s">
        <v>136</v>
      </c>
      <c r="M1006" s="24" t="s">
        <v>136</v>
      </c>
      <c r="N1006" s="24" t="s">
        <v>9826</v>
      </c>
      <c r="O1006" s="24" t="s">
        <v>9827</v>
      </c>
      <c r="P1006" s="24" t="s">
        <v>9828</v>
      </c>
      <c r="Q1006" s="24" t="s">
        <v>1815</v>
      </c>
      <c r="R1006" s="24" t="s">
        <v>3598</v>
      </c>
      <c r="S1006" s="27" t="s">
        <v>9829</v>
      </c>
      <c r="T1006" s="2" t="s">
        <v>307</v>
      </c>
      <c r="U1006" s="16" t="s">
        <v>9830</v>
      </c>
      <c r="V1006" s="24" t="s">
        <v>9831</v>
      </c>
      <c r="W1006" s="30" t="s">
        <v>9832</v>
      </c>
      <c r="X1006" s="26" t="s">
        <v>542</v>
      </c>
      <c r="Y1006" s="26" t="s">
        <v>98</v>
      </c>
      <c r="Z1006" s="26" t="s">
        <v>1815</v>
      </c>
      <c r="AA1006" s="24" t="s">
        <v>4525</v>
      </c>
      <c r="AB1006" s="24" t="s">
        <v>5892</v>
      </c>
      <c r="AC1006" s="24" t="s">
        <v>4527</v>
      </c>
      <c r="AD1006" s="123" t="str">
        <f t="shared" si="15"/>
        <v>External Transfer-Other banks</v>
      </c>
      <c r="AE1006" s="123" t="str">
        <f>VLOOKUP(Table1[[#This Row],[Name of bank]],'اكواد البنوك'!$A$2:$B$34,2,0)</f>
        <v>CIBEEGCXXXX</v>
      </c>
      <c r="AF1006" s="28" t="s">
        <v>2028</v>
      </c>
      <c r="AG1006" s="15" t="s">
        <v>10381</v>
      </c>
    </row>
    <row r="1007" spans="1:33">
      <c r="A1007" s="35"/>
      <c r="B1007" s="14"/>
      <c r="C1007" s="14"/>
      <c r="D1007" s="15"/>
      <c r="E1007" s="16"/>
      <c r="F1007" s="32"/>
      <c r="G1007" s="36"/>
      <c r="H1007" s="18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9"/>
      <c r="T1007" s="17"/>
      <c r="U1007" s="16"/>
      <c r="V1007" s="16"/>
      <c r="W1007" s="37"/>
      <c r="X1007" s="18"/>
      <c r="Y1007" s="18"/>
      <c r="Z1007" s="18"/>
      <c r="AA1007" s="16"/>
      <c r="AB1007" s="18"/>
      <c r="AC1007" s="16"/>
      <c r="AD1007" s="20"/>
      <c r="AE1007" s="38"/>
      <c r="AF1007" s="21"/>
      <c r="AG1007" s="15"/>
    </row>
  </sheetData>
  <phoneticPr fontId="10" type="noConversion"/>
  <conditionalFormatting sqref="S453">
    <cfRule type="duplicateValues" dxfId="17" priority="15"/>
    <cfRule type="duplicateValues" dxfId="16" priority="16"/>
    <cfRule type="duplicateValues" dxfId="15" priority="17"/>
    <cfRule type="duplicateValues" dxfId="14" priority="18"/>
  </conditionalFormatting>
  <conditionalFormatting sqref="S477">
    <cfRule type="duplicateValues" dxfId="13" priority="7"/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  <cfRule type="duplicateValues" dxfId="7" priority="13"/>
    <cfRule type="duplicateValues" dxfId="6" priority="14"/>
  </conditionalFormatting>
  <conditionalFormatting sqref="S490">
    <cfRule type="duplicateValues" dxfId="5" priority="1"/>
    <cfRule type="duplicateValues" dxfId="4" priority="2"/>
    <cfRule type="duplicateValues" dxfId="3" priority="3"/>
    <cfRule type="duplicateValues" dxfId="2" priority="4"/>
    <cfRule type="duplicateValues" dxfId="1" priority="5"/>
    <cfRule type="duplicateValues" dxfId="0" priority="6"/>
  </conditionalFormatting>
  <hyperlinks>
    <hyperlink ref="N48" r:id="rId1" xr:uid="{500CC9B3-B7BE-4F02-B32A-DF90E66F37BE}"/>
    <hyperlink ref="O121" r:id="rId2" xr:uid="{34A59BF9-90CA-4ACB-8402-7886DFD0B3B9}"/>
    <hyperlink ref="P121" r:id="rId3" xr:uid="{7BF30A9B-6405-489C-8281-7EF31FB6E38E}"/>
    <hyperlink ref="O116" r:id="rId4" xr:uid="{D82757BD-2F7B-47B0-A4F3-5B452FF352E6}"/>
    <hyperlink ref="P116" r:id="rId5" xr:uid="{4740821A-B482-4B8D-B6E0-57DC70CA295A}"/>
    <hyperlink ref="O112" r:id="rId6" xr:uid="{A94D8A6B-AE09-4E46-A3E7-52E3625271BE}"/>
    <hyperlink ref="P112" r:id="rId7" xr:uid="{C5A5755B-1711-42BB-9A48-1B49B10A537C}"/>
    <hyperlink ref="O105" r:id="rId8" xr:uid="{1FF51B8D-DB32-4D11-AECB-67602E4B0D1A}"/>
    <hyperlink ref="P105" r:id="rId9" xr:uid="{9732914C-DC46-49E3-ACA0-E102BA889E72}"/>
    <hyperlink ref="O87" r:id="rId10" xr:uid="{A54D7091-F2E4-4677-ADAB-192CB38BDF40}"/>
    <hyperlink ref="P87" r:id="rId11" xr:uid="{FC53C042-5DF6-4486-95F5-C30C039FA711}"/>
    <hyperlink ref="O85" r:id="rId12" xr:uid="{045BCD47-04FF-4AD1-AB86-3A87477477FA}"/>
    <hyperlink ref="P85" r:id="rId13" xr:uid="{0601B744-2679-4DE7-80EC-F2B1BA821BA0}"/>
    <hyperlink ref="O76" r:id="rId14" xr:uid="{A3B478F8-8ED8-4042-9428-9ED3F6D7A29B}"/>
    <hyperlink ref="P76" r:id="rId15" xr:uid="{B22D37A7-8F8B-4757-895D-74DBAED2E020}"/>
    <hyperlink ref="O42" r:id="rId16" xr:uid="{28402F36-3D67-4C33-9FFD-E7A1AB466889}"/>
    <hyperlink ref="P42" r:id="rId17" xr:uid="{753FAEAB-31AE-46C8-8DD5-14516FF158BE}"/>
    <hyperlink ref="O24" r:id="rId18" xr:uid="{E0EBD281-3E2D-4262-AA2B-0D4A0E187D39}"/>
    <hyperlink ref="P24" r:id="rId19" xr:uid="{9B0046B3-B9E0-428D-A50D-89739F6597EE}"/>
    <hyperlink ref="O71" r:id="rId20" xr:uid="{46DE92AE-CE39-4BBE-A3AE-B5B7263BD470}"/>
    <hyperlink ref="P71" r:id="rId21" xr:uid="{ABBCCB4C-3C09-4481-9630-6C02211CFFF4}"/>
    <hyperlink ref="O65" r:id="rId22" xr:uid="{8DE17E59-B888-444B-929F-774D77B0AE4F}"/>
    <hyperlink ref="P65" r:id="rId23" xr:uid="{332916AF-3B59-4012-B272-3E183AF863BC}"/>
    <hyperlink ref="O45" r:id="rId24" xr:uid="{0E700941-C99A-4821-9D1F-6EC13B95CBED}"/>
    <hyperlink ref="P45" r:id="rId25" xr:uid="{7377451A-0914-4988-A36B-CE57A2899815}"/>
    <hyperlink ref="O34" r:id="rId26" xr:uid="{5F348B35-66BC-4386-8B51-CED3DAF9F38E}"/>
    <hyperlink ref="P34" r:id="rId27" xr:uid="{DFDB671D-CA32-437B-B6D8-A1581572CBB2}"/>
    <hyperlink ref="O23" r:id="rId28" xr:uid="{AF79FFE7-2B6C-4AB1-811C-F3104B77DC17}"/>
    <hyperlink ref="P23" r:id="rId29" xr:uid="{BB7DA341-AEB1-4D64-B3DA-577DA2DB400A}"/>
    <hyperlink ref="O32" r:id="rId30" xr:uid="{B20B0EC8-7CD6-43F8-A532-89ECAA194AF1}"/>
    <hyperlink ref="P32" r:id="rId31" xr:uid="{C77D0B7D-0A06-4C39-BF61-F73F923A85CB}"/>
    <hyperlink ref="O20" r:id="rId32" xr:uid="{67CD95E5-B5C4-4EAE-BA62-6021926AE8AD}"/>
    <hyperlink ref="P20" r:id="rId33" xr:uid="{720B3969-A4BB-4C41-AC25-F938D8BCE063}"/>
    <hyperlink ref="O29" r:id="rId34" xr:uid="{79CBA523-D638-477D-A25A-B59053986DAF}"/>
    <hyperlink ref="P29" r:id="rId35" xr:uid="{992364D5-A88D-4389-9157-1595FB598CC0}"/>
    <hyperlink ref="O13" r:id="rId36" xr:uid="{430B34EE-09CF-43BC-93C0-525775D381AF}"/>
    <hyperlink ref="P13" r:id="rId37" xr:uid="{AA590F11-4B59-449B-B976-331B37CE2AC6}"/>
    <hyperlink ref="O38" r:id="rId38" xr:uid="{495706A2-E19B-453B-A2AF-7220FCB953EE}"/>
    <hyperlink ref="P38" r:id="rId39" xr:uid="{2AF7270A-008D-4569-BC01-5EDBF7359B8B}"/>
    <hyperlink ref="O16" r:id="rId40" xr:uid="{2D42FB80-BBD7-475E-834F-DB01CA422F5D}"/>
    <hyperlink ref="P16" r:id="rId41" xr:uid="{E674C2C4-47F8-43C6-B1E5-3A32B769E8CB}"/>
    <hyperlink ref="O96" r:id="rId42" display="https://drive.google.com/open?id=1GAI6FJw0miaHfKyhVGLRd5anmWXer5E_" xr:uid="{375BAB6C-0516-4723-9ADE-6A246E9B6C64}"/>
    <hyperlink ref="P96" r:id="rId43" display="https://drive.google.com/open?id=1wzT-oDmHJtGV7JqpNeEczJ5sMcaQJeMh" xr:uid="{9141CED0-372F-48F2-938E-CA2FA883F49F}"/>
    <hyperlink ref="O91" r:id="rId44" xr:uid="{801EB888-93C7-42B1-BC8B-2CEB1C23980C}"/>
    <hyperlink ref="P91" r:id="rId45" xr:uid="{E906DD3B-8820-4503-987A-37A58F9D5B59}"/>
    <hyperlink ref="O12" r:id="rId46" xr:uid="{72DEC582-1DA0-4B20-9150-DB8CEFF25720}"/>
    <hyperlink ref="P12" r:id="rId47" xr:uid="{C9BF3940-C492-412D-8C27-A72704160985}"/>
    <hyperlink ref="O21" r:id="rId48" xr:uid="{5436E1D3-FA9E-4ABB-83FF-90756600E1A2}"/>
    <hyperlink ref="P21" r:id="rId49" xr:uid="{DA7D3BB5-4BB6-4C85-BF6B-D3A16161CB96}"/>
    <hyperlink ref="O64" r:id="rId50" xr:uid="{30070DE0-DD9B-4719-A1C7-F46EF0BA0170}"/>
    <hyperlink ref="P64" r:id="rId51" xr:uid="{E5544F56-0328-4A8A-B68E-785636F4951A}"/>
    <hyperlink ref="O102" r:id="rId52" xr:uid="{13A264F3-4ECC-43A2-BC8A-A4D127F8D6D0}"/>
    <hyperlink ref="P102" r:id="rId53" xr:uid="{17C9FF83-286F-4767-8BA0-B1531FAB2167}"/>
    <hyperlink ref="O93" r:id="rId54" xr:uid="{9060CE5F-A309-4343-AF96-61838DF8AA0D}"/>
    <hyperlink ref="P93" r:id="rId55" xr:uid="{1B11D22A-A58C-4642-BCBB-A403FAABF148}"/>
    <hyperlink ref="O47" r:id="rId56" xr:uid="{6DF7D344-8A73-45F7-B8D7-84999B41651B}"/>
    <hyperlink ref="P47" r:id="rId57" xr:uid="{E5245738-C6DD-4BB1-8285-49F12398E07E}"/>
    <hyperlink ref="O95" r:id="rId58" xr:uid="{A147C87E-92CB-445E-AE99-7600CAE6374C}"/>
    <hyperlink ref="P95" r:id="rId59" xr:uid="{33575903-272F-459C-BCE0-53E59A715816}"/>
    <hyperlink ref="O99" r:id="rId60" xr:uid="{E255A80C-7737-4BA3-8C91-8828726E7693}"/>
    <hyperlink ref="P99" r:id="rId61" xr:uid="{E863326C-A445-4A05-9C0B-2E5E9DA0C251}"/>
    <hyperlink ref="AC141" r:id="rId62" xr:uid="{233CFAB2-015A-423B-AA7D-1C0D006B4972}"/>
    <hyperlink ref="AC151" r:id="rId63" xr:uid="{297F73F0-3904-4084-BCC5-BB9704FF54F0}"/>
    <hyperlink ref="AC153" r:id="rId64" xr:uid="{EE00A367-C45C-4F27-9CA7-D08068FBB759}"/>
    <hyperlink ref="G155" r:id="rId65" xr:uid="{7DE11B9C-4F2C-4572-A9F5-84F3FE913543}"/>
    <hyperlink ref="AC155" r:id="rId66" xr:uid="{B87BB61B-0339-487C-95CE-BCB62C6ED537}"/>
    <hyperlink ref="G156" r:id="rId67" xr:uid="{A2BA3151-148F-4C96-85C1-4769DAA77FEC}"/>
    <hyperlink ref="AC156" r:id="rId68" xr:uid="{475DB420-FE48-44D9-809F-A4B3FB2D86B6}"/>
    <hyperlink ref="AC157" r:id="rId69" xr:uid="{97859E21-2B36-4962-BD08-8D9F0F83B1BB}"/>
    <hyperlink ref="AC158" r:id="rId70" xr:uid="{A8236911-223C-46D0-B519-CF8230D87F0F}"/>
    <hyperlink ref="AC160" r:id="rId71" xr:uid="{331DD9B5-0335-4FD6-929C-59FBC8E02E18}"/>
    <hyperlink ref="AC166" r:id="rId72" xr:uid="{9E927735-3F2B-463A-9B78-E7690204CAEB}"/>
    <hyperlink ref="AC168" r:id="rId73" xr:uid="{69C203A8-F2F5-4211-A67D-D6A31DC5B564}"/>
    <hyperlink ref="G175" r:id="rId74" xr:uid="{31F9F4A9-A0F7-4244-9DA3-D451A272EAE0}"/>
    <hyperlink ref="G176" r:id="rId75" xr:uid="{C75A4F50-52CB-41AE-9547-CF499FEE94F6}"/>
    <hyperlink ref="G178" r:id="rId76" xr:uid="{38491417-CFA0-456E-B0FE-4C45EC58F75F}"/>
    <hyperlink ref="G187" r:id="rId77" xr:uid="{715040D1-5919-4E7E-9B2C-1A126BB9BBA6}"/>
    <hyperlink ref="G191" r:id="rId78" xr:uid="{24472354-5B35-4166-9860-CF7596218AB5}"/>
    <hyperlink ref="G206" r:id="rId79" xr:uid="{D96097AE-0179-4A9F-BB28-E0F5CB73FF3A}"/>
    <hyperlink ref="AC206" r:id="rId80" display="https://maps.app.goo.gl/bMuFgkkjUTpLJ4zN8" xr:uid="{D2CEB57F-9BFD-443B-AF61-69039D8859D5}"/>
    <hyperlink ref="AC209" r:id="rId81" display="https://goo.gl/maps/QpH7dmNahszbVCFM6" xr:uid="{46660430-24CC-457F-BA25-78C6C6E1CE8E}"/>
    <hyperlink ref="AC385" r:id="rId82" display="https://maps.app.goo.gl/X8x8vWTE7HDTvGpD6?g_st=iw" xr:uid="{5336E345-54BF-40EF-AFEE-1FC54724BD24}"/>
    <hyperlink ref="G241" r:id="rId83" xr:uid="{FF2523EF-EB65-4122-A839-4147DFF48975}"/>
    <hyperlink ref="O472" r:id="rId84" xr:uid="{22DCBED3-6009-4845-A14C-C164A0897C7F}"/>
    <hyperlink ref="P472" r:id="rId85" xr:uid="{267FF83E-1EDF-428B-A4B4-904AF45102E8}"/>
    <hyperlink ref="O352" r:id="rId86" xr:uid="{56A0EB13-CBFB-4A76-8945-7E5295BA57C0}"/>
    <hyperlink ref="P352" r:id="rId87" xr:uid="{9EFFBB4E-98D1-4742-BE19-110C7F0FB1E7}"/>
    <hyperlink ref="O396" r:id="rId88" xr:uid="{7DC81289-92F4-42D5-8CC6-D245B8CDFFE5}"/>
    <hyperlink ref="P396" r:id="rId89" xr:uid="{AB800B72-C815-44FC-8012-30E4BF8728A3}"/>
    <hyperlink ref="O361" r:id="rId90" xr:uid="{5FDE6336-6D0D-4AB7-A08B-9540FED0BFA8}"/>
    <hyperlink ref="P361" r:id="rId91" xr:uid="{CC0A2175-83EE-49F8-884A-031A2B5B9A63}"/>
    <hyperlink ref="O275" r:id="rId92" xr:uid="{BD07FB12-BBEC-403C-8307-E2F7649085C6}"/>
    <hyperlink ref="P275" r:id="rId93" xr:uid="{FADC7B45-2952-41B1-9FCF-D1D4127C29F9}"/>
    <hyperlink ref="O344" r:id="rId94" xr:uid="{AFCE7DD1-B810-44F7-ABF7-F20C8BD0F4E2}"/>
    <hyperlink ref="P344" r:id="rId95" xr:uid="{24FAED1B-B9B9-48F2-9E90-B72C6389D3B4}"/>
    <hyperlink ref="O284" r:id="rId96" xr:uid="{16ED4714-5F91-4F60-8D18-793E40926FA5}"/>
    <hyperlink ref="P284" r:id="rId97" xr:uid="{F926DBAD-638C-419B-9FCE-758E5A738D30}"/>
    <hyperlink ref="O475" r:id="rId98" xr:uid="{74988672-2F7D-40CB-B48C-C75B5A2DFB36}"/>
    <hyperlink ref="P475" r:id="rId99" xr:uid="{C44AC0FC-C30B-45D1-A7BE-5FDEE8326E43}"/>
    <hyperlink ref="O327" r:id="rId100" xr:uid="{4C1E86B7-4D57-4263-B94E-B78C5A8D1AFD}"/>
    <hyperlink ref="P327" r:id="rId101" xr:uid="{8D6C14C2-1603-45A2-A201-111AA4EDDACA}"/>
    <hyperlink ref="O500" r:id="rId102" xr:uid="{E07E233B-2137-4D16-87D2-3BC269A2783B}"/>
    <hyperlink ref="P500" r:id="rId103" xr:uid="{B8824BB9-C948-4E47-9E9D-E7748FF0DCF2}"/>
    <hyperlink ref="O404" r:id="rId104" xr:uid="{99D7E9FF-1804-4B65-9E7F-380FE42AAA44}"/>
    <hyperlink ref="P404" r:id="rId105" xr:uid="{A851FC61-0485-47CE-87B0-2AFD856119DB}"/>
    <hyperlink ref="O460" r:id="rId106" xr:uid="{2C825FA6-6498-43ED-8F4D-54B40C065108}"/>
    <hyperlink ref="P460" r:id="rId107" xr:uid="{14585028-7D36-4BD2-B2C0-451A93CE7363}"/>
    <hyperlink ref="O415" r:id="rId108" xr:uid="{6F10325B-E0B7-475C-A02D-ED176359B02C}"/>
    <hyperlink ref="P415" r:id="rId109" xr:uid="{9D8F175F-C845-4784-879F-E73141333991}"/>
    <hyperlink ref="O388" r:id="rId110" xr:uid="{EEF47CEC-DF55-4320-9D9A-006FD0EF3350}"/>
    <hyperlink ref="P388" r:id="rId111" xr:uid="{FD7B933D-22A2-49F3-AD7B-500B5A814722}"/>
    <hyperlink ref="O431" r:id="rId112" xr:uid="{9DFAFD5B-9448-436B-9F22-E5476D36D692}"/>
    <hyperlink ref="P431" r:id="rId113" xr:uid="{8CA8E4E4-8C21-4E3A-81AC-7CA87CB3A0EE}"/>
    <hyperlink ref="O446" r:id="rId114" xr:uid="{77E5837D-A63F-45DC-9158-5ABE1C6AEEAC}"/>
    <hyperlink ref="P446" r:id="rId115" xr:uid="{57783626-0D7E-4EA5-AEF1-DE4734738C3B}"/>
    <hyperlink ref="O511" r:id="rId116" xr:uid="{61D5E2FE-D211-48FE-9DDA-A2144C357DD6}"/>
    <hyperlink ref="P511" r:id="rId117" xr:uid="{847778E3-03FC-4A3F-8091-4880F0E78C4B}"/>
    <hyperlink ref="O314" r:id="rId118" xr:uid="{C7D2BC99-B1DA-4EB8-8F01-F1B9639804E0}"/>
    <hyperlink ref="P314" r:id="rId119" xr:uid="{7F1B2978-1C2B-4DB9-A34C-8EFC8B862494}"/>
    <hyperlink ref="O212" r:id="rId120" xr:uid="{320CC9CC-0E00-4AFF-BBFE-6B5E1477879C}"/>
    <hyperlink ref="P212" r:id="rId121" xr:uid="{B9CCC5DF-2056-430F-9C9F-BAFF6E0FF634}"/>
    <hyperlink ref="O395" r:id="rId122" xr:uid="{2F9519F0-6FC8-44EC-BE8C-C2BDFD897F67}"/>
    <hyperlink ref="P395" r:id="rId123" xr:uid="{214393E2-3367-44DF-AE04-B265AD53D912}"/>
    <hyperlink ref="O513" r:id="rId124" xr:uid="{75739777-D1E1-4A71-B7E7-8DFCF4FEBBBB}"/>
    <hyperlink ref="P513" r:id="rId125" xr:uid="{F630258A-E7ED-4238-A70E-0C4470BBAA0B}"/>
    <hyperlink ref="G341" r:id="rId126" xr:uid="{B6363827-6E5F-45D5-AD81-5D31234985C4}"/>
    <hyperlink ref="G342" r:id="rId127" xr:uid="{F0CF2AD1-5A60-4128-A6A4-1DEAFAF00A65}"/>
    <hyperlink ref="O224" r:id="rId128" xr:uid="{54EB4FEF-9404-4E56-BB64-5CE34D1BC229}"/>
    <hyperlink ref="P224" r:id="rId129" xr:uid="{E4E31956-7475-470E-B0BB-6A4581419842}"/>
    <hyperlink ref="O386" r:id="rId130" xr:uid="{C5ADD71D-2AEE-47FD-B56E-5BC0F1F59FED}"/>
    <hyperlink ref="P386" r:id="rId131" xr:uid="{54919BAC-03C1-493F-9DCA-356494D39444}"/>
    <hyperlink ref="O387" r:id="rId132" xr:uid="{4B71875B-0936-4050-9BB8-9CC8882A2757}"/>
    <hyperlink ref="P387" r:id="rId133" xr:uid="{8CC7B2D7-92EA-4EFA-9621-EF0B325E4C58}"/>
    <hyperlink ref="O502" r:id="rId134" xr:uid="{03904724-517A-4E2E-8879-E626900FB96E}"/>
    <hyperlink ref="P502" r:id="rId135" xr:uid="{B52BCE0F-963C-426D-99CF-B5BE90A032F9}"/>
    <hyperlink ref="O492" r:id="rId136" xr:uid="{4349874B-89B0-4D6B-A262-CBC7E21CEEB6}"/>
    <hyperlink ref="P492" r:id="rId137" xr:uid="{E989BEC5-97BB-4027-A4B2-18957285B9F7}"/>
    <hyperlink ref="O490" r:id="rId138" xr:uid="{2CCF3ABC-46B1-4886-886C-5AA855F1FC18}"/>
    <hyperlink ref="P490" r:id="rId139" xr:uid="{1C9ADD13-C081-4A65-9914-E5B239A3B5FA}"/>
    <hyperlink ref="O485" r:id="rId140" xr:uid="{38A7DB03-49C6-4A99-A33F-DD5227B0B2C4}"/>
    <hyperlink ref="P485" r:id="rId141" xr:uid="{1B3F0963-7DFC-47CE-8E63-DB10867017F5}"/>
    <hyperlink ref="O477" r:id="rId142" xr:uid="{BF859BAB-3DB4-462B-B3E5-7D1978099361}"/>
    <hyperlink ref="P477" r:id="rId143" xr:uid="{DBA60026-521C-41EB-8365-66EBD2AFA186}"/>
    <hyperlink ref="O239" r:id="rId144" xr:uid="{A70576BF-0216-4D2D-8160-6289EAE09308}"/>
    <hyperlink ref="P239" r:id="rId145" xr:uid="{B55C5D31-0E73-4AFC-922E-F6CE034CFFFF}"/>
    <hyperlink ref="O234" r:id="rId146" xr:uid="{209DE17B-CBBC-4ED6-B20E-7125884F70DA}"/>
    <hyperlink ref="P234" r:id="rId147" xr:uid="{3AEB42B8-61C9-485A-AE43-781D41A67600}"/>
    <hyperlink ref="O248" r:id="rId148" xr:uid="{70315B5C-E982-4EF6-BABD-DAA5D0F8E667}"/>
    <hyperlink ref="P248" r:id="rId149" xr:uid="{2778830F-83D4-4E83-8B9D-43DA5BC3B172}"/>
    <hyperlink ref="O384" r:id="rId150" xr:uid="{D7FB2D5B-7C44-4DA8-9B96-20FE66E8D154}"/>
    <hyperlink ref="P384" r:id="rId151" xr:uid="{FD430F86-77A5-4FA0-B51D-78619F910BB4}"/>
    <hyperlink ref="O410" r:id="rId152" xr:uid="{8F036183-0AE9-47C7-8EBA-BFFF37561CB8}"/>
    <hyperlink ref="P410" r:id="rId153" xr:uid="{97856091-2931-4D77-936B-559C6E5B57D7}"/>
    <hyperlink ref="O320" r:id="rId154" xr:uid="{AFDD36AE-C392-4E46-A806-5058DABFF87D}"/>
    <hyperlink ref="P320" r:id="rId155" xr:uid="{D885C231-76C9-44FE-82D4-299B63D966AF}"/>
    <hyperlink ref="O321" r:id="rId156" xr:uid="{EA259529-685A-4EC6-8DA6-EC7466C5B33B}"/>
    <hyperlink ref="P321" r:id="rId157" xr:uid="{6E55086D-C476-42BF-B525-3BDC3D18B84E}"/>
    <hyperlink ref="O447" r:id="rId158" xr:uid="{FDA8A831-1AC5-48F1-B516-6FC60E574B9B}"/>
    <hyperlink ref="P447" r:id="rId159" xr:uid="{1B6920B3-122E-4EF1-A50E-EADCA139BC1C}"/>
    <hyperlink ref="O453" r:id="rId160" xr:uid="{CDBC0220-B099-4E63-BF97-33A8F9222A54}"/>
    <hyperlink ref="P453" r:id="rId161" xr:uid="{1DD8844A-B625-4E39-AF24-BAF35AD0BFA5}"/>
    <hyperlink ref="O302" r:id="rId162" xr:uid="{DEB3EBC7-BB44-49DE-A24F-19708E6ACE72}"/>
    <hyperlink ref="P302" r:id="rId163" xr:uid="{93E48B1D-684C-413D-8CE8-57A3403B5133}"/>
    <hyperlink ref="O267" r:id="rId164" xr:uid="{BF1D4889-A514-4788-A95F-00172D1A009E}"/>
    <hyperlink ref="P267" r:id="rId165" xr:uid="{2B6DBC3E-F2AF-4001-BAE0-6A6ED3E15DAE}"/>
    <hyperlink ref="AC390" r:id="rId166" xr:uid="{F7D82C3F-DF72-49BA-A4DC-0C288E0B5862}"/>
    <hyperlink ref="AC391" r:id="rId167" xr:uid="{DBA0B1E7-2B73-43D5-8826-E38F026AE779}"/>
    <hyperlink ref="AC392" r:id="rId168" xr:uid="{8D76CDD9-EBEB-4305-9D09-17CB32B9FD0D}"/>
    <hyperlink ref="AC393" r:id="rId169" xr:uid="{592D261F-AA07-4798-A768-B7ECB30D05CC}"/>
    <hyperlink ref="AC394" r:id="rId170" xr:uid="{55F9805F-17B3-45FE-A651-184ADC2667CD}"/>
    <hyperlink ref="AC395" r:id="rId171" xr:uid="{913AF799-08FA-4B7D-AE03-7DEE45FCF4CE}"/>
    <hyperlink ref="AC396" r:id="rId172" xr:uid="{B66BC342-677C-4C28-BB19-AF284819BFA6}"/>
    <hyperlink ref="AC397" r:id="rId173" xr:uid="{22EDEEAE-E7D6-4C0A-A776-C2DE9D704C54}"/>
    <hyperlink ref="AC398" r:id="rId174" xr:uid="{C9F25EFB-8DAE-4269-9E0A-713025F5FD86}"/>
    <hyperlink ref="AC399" r:id="rId175" xr:uid="{ED1A8074-E6B1-4F7A-A59A-F1BA0409F93E}"/>
    <hyperlink ref="AC400" r:id="rId176" xr:uid="{61BDACFA-A5D7-49C8-84E9-C09A5C9E2DBF}"/>
    <hyperlink ref="AC401" r:id="rId177" xr:uid="{CAD5E464-D49B-4C9C-B956-819C0A3C2848}"/>
    <hyperlink ref="AC403" r:id="rId178" xr:uid="{E3FB7030-1CE8-429D-903B-4E074DF92E1D}"/>
    <hyperlink ref="AC404" r:id="rId179" xr:uid="{6119F3F2-ACAE-4600-8935-5A7521A149DD}"/>
    <hyperlink ref="AC405" r:id="rId180" xr:uid="{EBBDADC5-F85D-48D8-8516-3667CE918017}"/>
    <hyperlink ref="AC406" r:id="rId181" xr:uid="{E27DF77A-EF9E-44A7-95F8-892368E55BBB}"/>
    <hyperlink ref="AC407" r:id="rId182" xr:uid="{BFC86827-949B-4863-A063-681540D0797E}"/>
    <hyperlink ref="AC408" r:id="rId183" xr:uid="{6F4C618A-F252-41BE-B551-6C0B300C9173}"/>
    <hyperlink ref="AC409" r:id="rId184" xr:uid="{1A07DA07-8A21-4633-B8C3-A9628C5B14B8}"/>
    <hyperlink ref="AC410" r:id="rId185" xr:uid="{15B34161-F67B-4390-B345-DEEE30A88AED}"/>
    <hyperlink ref="AC411" r:id="rId186" xr:uid="{8A9770D3-F300-4284-A385-900CC10B8422}"/>
    <hyperlink ref="AC412" r:id="rId187" xr:uid="{DD857422-3F10-48C6-92BC-14221C463C23}"/>
    <hyperlink ref="AC413" r:id="rId188" xr:uid="{F9843F0A-8701-4E7C-AA70-22F30B57F0DF}"/>
    <hyperlink ref="AC414" r:id="rId189" xr:uid="{B4FE16BF-ADCE-4750-AFF3-D9D5D37DB7AA}"/>
    <hyperlink ref="AC415" r:id="rId190" xr:uid="{3893489E-A655-47D7-A879-9712650D1505}"/>
    <hyperlink ref="AC416" r:id="rId191" xr:uid="{4E3B626F-5DE6-47E5-A2D6-CA60EC91C8E2}"/>
    <hyperlink ref="AC417" r:id="rId192" xr:uid="{80E4A2A5-06B4-48BA-B1D8-DA0E16E0659A}"/>
    <hyperlink ref="AC418" r:id="rId193" xr:uid="{1D48D852-32B1-4AAC-BD14-AF697253E32C}"/>
    <hyperlink ref="AC419" r:id="rId194" xr:uid="{42E14F9D-59CF-4E2C-A9D6-50E6F17F22B1}"/>
    <hyperlink ref="AC420" r:id="rId195" xr:uid="{0C63DDE7-9BFE-43FF-9E1D-F6DFB6CA03E7}"/>
    <hyperlink ref="AC421" r:id="rId196" xr:uid="{05D8C14A-958C-430D-A0A4-34A6D337A55A}"/>
    <hyperlink ref="O219" r:id="rId197" xr:uid="{F61517C3-D4EB-4187-A1F3-13E5A5ED2EE3}"/>
    <hyperlink ref="P219" r:id="rId198" xr:uid="{09547AB9-1931-4938-9ED5-03D4204D4226}"/>
    <hyperlink ref="O295" r:id="rId199" xr:uid="{B0374779-BE77-4EF0-8017-F1412B94A3F6}"/>
    <hyperlink ref="P295" r:id="rId200" xr:uid="{D9EEEB96-6D3B-4FE3-B685-F6FF8F4AC86C}"/>
    <hyperlink ref="O402" r:id="rId201" xr:uid="{923C0229-6F7F-4CA8-9DB2-09D95B748D97}"/>
    <hyperlink ref="P402" r:id="rId202" xr:uid="{E5A73BCB-CCA7-4FC7-BAAE-815210DD00D3}"/>
    <hyperlink ref="AC402" r:id="rId203" xr:uid="{0607EB0F-AE18-48E4-88CB-192DD215A2A7}"/>
    <hyperlink ref="G389" r:id="rId204" xr:uid="{5FB4A272-7833-425D-9A41-ED5EBB17A04E}"/>
    <hyperlink ref="O429" r:id="rId205" xr:uid="{610B0C6C-428F-4886-AC39-6F81F1858DA9}"/>
    <hyperlink ref="P429" r:id="rId206" xr:uid="{FB526E58-5759-4487-8B78-BDC5E85F1C5D}"/>
    <hyperlink ref="G208" r:id="rId207" xr:uid="{1E532562-8729-457A-B758-7EBB2E806AA4}"/>
    <hyperlink ref="AC188" r:id="rId208" xr:uid="{0741A4AA-B676-4D9F-BE2A-4BDA2847E7AF}"/>
    <hyperlink ref="O552" r:id="rId209" display="https://drive.google.com/open?id=1ezM6bkJXZzOqCHELzDMH38lpzUez5ADm" xr:uid="{24EF15F5-9A6D-40DF-AD89-A499CD230BAE}"/>
    <hyperlink ref="P552" r:id="rId210" display="https://drive.google.com/open?id=1jtdNuIuPv8YSaQZirEDdZjNHgZeMBARV" xr:uid="{EE7C94DF-364D-44FE-836B-8E56223EC165}"/>
    <hyperlink ref="O569" r:id="rId211" display="https://drive.google.com/open?id=14tDnflPAL4nJ4OxQFj2ag4Y3b_7SG6M2" xr:uid="{764DAAAB-CF05-4198-BEEC-49CA6A792A0B}"/>
    <hyperlink ref="P569" r:id="rId212" display="https://drive.google.com/open?id=1tLacza3nHN_Q5ZWsc-3S7syKmZrKVC76" xr:uid="{60BBF2CC-9AE3-4026-B1AD-AD2ADDE31721}"/>
    <hyperlink ref="O574" r:id="rId213" display="https://drive.google.com/open?id=1HGyS332McumaZCPjjc8lmPKOTzLI7J0e" xr:uid="{267D0EF5-7F45-443A-B8DC-57926D6F9B88}"/>
    <hyperlink ref="P574" r:id="rId214" display="https://drive.google.com/open?id=1FzXL7tkQIeAX5ipN_4O2pEKVfLvROc6C" xr:uid="{12DD976C-D79E-472D-967B-600F9FDEF7CD}"/>
    <hyperlink ref="O608" r:id="rId215" display="https://drive.google.com/open?id=1BNlcJKbnvXZ8lXgG3EsNvZ-MnYRQLaIi" xr:uid="{190D2B18-ACD3-441F-BE6A-20B54CC110FB}"/>
    <hyperlink ref="P608" r:id="rId216" display="https://drive.google.com/open?id=1rKzPdSgxoOofy_xMIotP-Dot4w0SDu9n" xr:uid="{E1C125F5-498D-43F3-8E37-822C43FC6B07}"/>
    <hyperlink ref="O580" r:id="rId217" display="https://drive.google.com/open?id=1TDGoc6em2pMcjhtUSHCq_Y2t36ZeCJZ7" xr:uid="{F26EAF37-7F49-4B63-9B4D-94ACDD0C6138}"/>
    <hyperlink ref="P580" r:id="rId218" display="https://drive.google.com/open?id=1FFh2YKYTxG8pwwcSzt_Ylw8o7EVt7WkB" xr:uid="{A3071AAE-634E-4843-9393-891599B025DB}"/>
    <hyperlink ref="G643" r:id="rId219" display="mohamed.khaled@york-press.com" xr:uid="{2CA93176-20CA-4941-A127-82843EBCAA7A}"/>
    <hyperlink ref="O602" r:id="rId220" display="https://drive.google.com/open?id=1vwG3du5pfTCaXKrLj0LyZkJTc5mGn98C" xr:uid="{156F8B78-7A20-48CB-BABA-DEAE4C5E69A8}"/>
    <hyperlink ref="P602" r:id="rId221" display="https://drive.google.com/open?id=1ZE5FcBC1N_F-LiJs9UjaC4vvU89Zxd3C" xr:uid="{AF907D8D-50D9-4BF0-AFA4-F966BF786142}"/>
    <hyperlink ref="O591" r:id="rId222" display="https://drive.google.com/open?id=1bagQ4GdUAT7c98pGeQbPuNA_Qrs5LACr" xr:uid="{F49E5ADA-C487-4676-B8D9-2EBDFEB19B9F}"/>
    <hyperlink ref="P591" r:id="rId223" display="https://drive.google.com/open?id=1yUUevAvB59uCAxso0NGdZVq86AndMrYX" xr:uid="{BFE9BA4A-9599-4C1B-B825-40A39080DC64}"/>
    <hyperlink ref="O613" r:id="rId224" display="https://drive.google.com/open?id=1o5k2wElEs6Uxnt-bz-nBUxP8FUFx2SQo" xr:uid="{76241839-B204-4B22-8CCB-8058E2A0ED0F}"/>
    <hyperlink ref="P613" r:id="rId225" display="https://drive.google.com/open?id=1EpmjBZR2db_s3xduTThxqO0t0rPMyYAL" xr:uid="{F7A6F2B4-82B5-4827-96B2-86E2ABB522A6}"/>
    <hyperlink ref="O628" r:id="rId226" display="https://drive.google.com/open?id=1n5xEuhUaIFjTGfjQRp5WyknXwMOWxYM8" xr:uid="{2064EABE-F684-47E0-BF23-5ECF174C8D72}"/>
    <hyperlink ref="P628" r:id="rId227" display="https://drive.google.com/open?id=1VhqyLpflPfdiZemgty3ql6QqeB9PYIvt" xr:uid="{C7FBFC1C-5ACF-4C02-844D-5BB3D6D0130E}"/>
    <hyperlink ref="O531" r:id="rId228" display="https://drive.google.com/open?id=1sHXi73gtBw4NHJlCbdcfZkP476svvio0" xr:uid="{79C28889-5AD8-4331-9443-C7C73F05D62B}"/>
    <hyperlink ref="P531" r:id="rId229" display="https://drive.google.com/open?id=1GAwpzs_jq7cOOTH0aydzFgxitok-knyu" xr:uid="{33BCFA3C-AB30-4576-8ED2-834B2746683D}"/>
    <hyperlink ref="O648" r:id="rId230" display="https://drive.google.com/open?id=1FqYU9YpKQ-NlAxzb7TcyNI3WC-aAHNuW" xr:uid="{A4975F2A-D362-4CF0-9BA9-8102886671A3}"/>
    <hyperlink ref="P648" r:id="rId231" display="https://drive.google.com/open?id=162y5ap4sKLBjGVOWUylpwUiP2vV2q_Sv" xr:uid="{7A1A1FE2-2010-44E2-9CCB-AD0F200A3C59}"/>
    <hyperlink ref="G713" r:id="rId232" xr:uid="{2D3F2144-8D52-456D-BF53-52B6A179405A}"/>
    <hyperlink ref="O534" r:id="rId233" xr:uid="{42D69C98-C8F6-48B0-84F6-0F69426970E7}"/>
    <hyperlink ref="P534" r:id="rId234" xr:uid="{C0AD8B89-F947-4DCE-BB7F-8CC07071B5B7}"/>
    <hyperlink ref="O554" r:id="rId235" xr:uid="{864F51B8-23C5-4FE3-8027-61FA14BE3B94}"/>
    <hyperlink ref="P554" r:id="rId236" xr:uid="{E9C75797-B1CF-495B-9E7A-D09E92380409}"/>
    <hyperlink ref="O528" r:id="rId237" xr:uid="{F15903AC-8747-46BC-AED5-B514C7EA2BA7}"/>
    <hyperlink ref="P528" r:id="rId238" xr:uid="{AB1DE56E-C725-47B5-9EAD-5F092380DB74}"/>
    <hyperlink ref="O592" r:id="rId239" xr:uid="{A7B75A9E-F8E9-47F7-AAF3-155B9FA70A70}"/>
    <hyperlink ref="P592" r:id="rId240" xr:uid="{C8F6B62E-B72E-4C5F-9460-30EB868A4031}"/>
    <hyperlink ref="O599" r:id="rId241" xr:uid="{E2EDF49C-AC61-4DA8-81D6-F595823960B9}"/>
    <hyperlink ref="P599" r:id="rId242" xr:uid="{0E743E60-7E05-4E5B-AF28-D9B3657063F1}"/>
    <hyperlink ref="O644" r:id="rId243" xr:uid="{BF1D55FD-E299-49DE-B275-0A8FE64E2781}"/>
    <hyperlink ref="P644" r:id="rId244" xr:uid="{CC31EF6F-D579-4789-A490-489BD56BBA85}"/>
    <hyperlink ref="O711" r:id="rId245" xr:uid="{78C57102-2D45-48D8-8D7D-B403863165CD}"/>
    <hyperlink ref="P711" r:id="rId246" xr:uid="{1872EE0B-8903-4E9B-9D3E-E0AEBAEFA3BB}"/>
    <hyperlink ref="O538" r:id="rId247" xr:uid="{4B744B38-CE5C-40D1-BFE8-EECDE0168C65}"/>
    <hyperlink ref="P538" r:id="rId248" xr:uid="{DD7FD265-3A77-4459-8C8E-04C847627E05}"/>
    <hyperlink ref="O542" r:id="rId249" xr:uid="{61D4CEC5-780C-4259-8A75-D10FB4D214FD}"/>
    <hyperlink ref="P542" r:id="rId250" xr:uid="{BBA088CA-EC5A-4F4C-BD32-1D324C24888C}"/>
    <hyperlink ref="O553" r:id="rId251" xr:uid="{98408D69-4123-425C-812C-4FAB512E5D96}"/>
    <hyperlink ref="P553" r:id="rId252" xr:uid="{D222B258-6DFD-4001-ABDE-5E31DE866AA3}"/>
    <hyperlink ref="O570" r:id="rId253" xr:uid="{AA25EC38-A36C-40F5-8B15-E0A9A5633F21}"/>
    <hyperlink ref="P570" r:id="rId254" xr:uid="{04991DEF-19D2-4003-B9B6-02EBDFC77318}"/>
    <hyperlink ref="AC579" r:id="rId255" xr:uid="{4735D459-EF2A-45BE-8F8C-895C3FD2698E}"/>
    <hyperlink ref="AC563" r:id="rId256" xr:uid="{7A50733A-566D-4353-BED4-409C8C75498B}"/>
    <hyperlink ref="AC564" r:id="rId257" xr:uid="{29DD106A-34CA-4914-BCBB-E78C8DF020ED}"/>
    <hyperlink ref="AC566" r:id="rId258" xr:uid="{50C37116-15F6-4018-9493-BDD3092F43D6}"/>
    <hyperlink ref="AC567" r:id="rId259" xr:uid="{BF02ACB8-28D8-419B-B424-AD0646DA59F8}"/>
    <hyperlink ref="AC568" r:id="rId260" xr:uid="{B10432D3-934C-44C0-A4D2-887A7E97C508}"/>
    <hyperlink ref="AC569" r:id="rId261" xr:uid="{E92C2186-F4E7-478C-8B03-18F0FA9E362E}"/>
    <hyperlink ref="AC570" r:id="rId262" xr:uid="{6C591E5E-41C7-4FF2-A47F-4F876BECBDCF}"/>
    <hyperlink ref="AC571" r:id="rId263" xr:uid="{BB1F8AC6-A967-4340-88D6-1ED07EF07CBF}"/>
    <hyperlink ref="AC572" r:id="rId264" xr:uid="{07BBC137-DB8A-41DD-BD3B-8D77203FB223}"/>
    <hyperlink ref="AC573" r:id="rId265" xr:uid="{0230C2E6-7584-4ACC-AF4C-8AFBE8E86CE2}"/>
    <hyperlink ref="AC574" r:id="rId266" xr:uid="{C01B475A-1DD2-4E1A-B76D-56DFE50D4B1C}"/>
    <hyperlink ref="AC575" r:id="rId267" xr:uid="{2FD62B11-0461-43EC-A2B0-0E84F6BECFB5}"/>
    <hyperlink ref="AC576" r:id="rId268" xr:uid="{7807A755-D39B-4486-B137-2897ACEC3BAF}"/>
    <hyperlink ref="AC577" r:id="rId269" xr:uid="{DF78111D-15D9-4DB5-8FB2-461F6E8FA96F}"/>
    <hyperlink ref="AC578" r:id="rId270" xr:uid="{8D345C43-8069-4162-9FD7-824ED041E8D3}"/>
    <hyperlink ref="AC580" r:id="rId271" xr:uid="{5C021CBA-FF71-455B-8495-973CB007CAAE}"/>
    <hyperlink ref="AC582" r:id="rId272" xr:uid="{3B78164E-B669-43AF-9FB3-1E3D83CCBB83}"/>
    <hyperlink ref="AC583" r:id="rId273" xr:uid="{45B388C4-747A-44E0-9591-E741A3E5A830}"/>
    <hyperlink ref="AC584" r:id="rId274" xr:uid="{AFA7970B-05C6-4E5C-82E9-81DFA0887DEB}"/>
    <hyperlink ref="AC585" r:id="rId275" xr:uid="{730BC104-EF01-4E26-B658-CE6687349F07}"/>
    <hyperlink ref="AC586" r:id="rId276" xr:uid="{02E9219B-3EE9-4ECB-8D16-F24E68B59136}"/>
    <hyperlink ref="AC587" r:id="rId277" xr:uid="{8BAE0150-D18E-4EB8-AEDA-832320D7D531}"/>
    <hyperlink ref="AC588" r:id="rId278" xr:uid="{E6753CE8-AC16-4C58-ADDD-2BA8EC25764D}"/>
    <hyperlink ref="AC589" r:id="rId279" xr:uid="{18A1A6FF-FCC7-4FDC-9319-05D97CDE28BF}"/>
    <hyperlink ref="AC592" r:id="rId280" xr:uid="{EA4A51F2-AE31-436E-9BE2-6D379C11735E}"/>
    <hyperlink ref="AC591" r:id="rId281" xr:uid="{13881469-FE9D-4960-99B3-047B3B1C0E15}"/>
    <hyperlink ref="AC593" r:id="rId282" xr:uid="{8815776F-5963-439C-9ABA-236D090AA405}"/>
    <hyperlink ref="AC594" r:id="rId283" xr:uid="{DC3D1E94-E4CF-47B7-AE1F-DFE61FF30898}"/>
    <hyperlink ref="AC595" r:id="rId284" xr:uid="{13E42EF1-BF9C-418D-8BFE-48821F120B6C}"/>
    <hyperlink ref="AC596" r:id="rId285" xr:uid="{4CC91E7C-4DCB-4661-9F3D-AD6C684DB3E8}"/>
    <hyperlink ref="AC597" r:id="rId286" xr:uid="{F1A3B58D-63E5-48F2-AFAF-24CEA8CE4727}"/>
    <hyperlink ref="AC643" r:id="rId287" xr:uid="{27AFFF7F-7C6B-44A5-9EB2-22179AB2BF23}"/>
    <hyperlink ref="AC644" r:id="rId288" xr:uid="{265EE87C-1A9B-4258-9889-08CA8069971A}"/>
    <hyperlink ref="AC712" r:id="rId289" xr:uid="{CE6CD819-FDAF-4CFA-A642-43C68659A890}"/>
    <hyperlink ref="AC647" r:id="rId290" xr:uid="{BB2549B5-FC53-40E8-9858-F9C197783E42}"/>
    <hyperlink ref="AC648" r:id="rId291" xr:uid="{6C25EAD8-DEBC-4C01-A85E-14920B39144C}"/>
    <hyperlink ref="AC649" r:id="rId292" xr:uid="{AB971DCE-EB9F-4F21-BD57-1C025BB09CA2}"/>
    <hyperlink ref="AC650" r:id="rId293" xr:uid="{32C1F5A9-AC50-46FF-A2E5-D2816DC28A2B}"/>
    <hyperlink ref="AC651" r:id="rId294" xr:uid="{C279F99B-3257-4990-9124-210DEDF07ED6}"/>
    <hyperlink ref="AC652" r:id="rId295" xr:uid="{9719E43F-5109-4F46-8B4B-1142B317FD35}"/>
    <hyperlink ref="AC653" r:id="rId296" xr:uid="{477FB2A3-B60F-46BB-A291-44653EC48181}"/>
    <hyperlink ref="AC654" r:id="rId297" xr:uid="{F79BA113-FA42-4628-9F8B-4E8D5190146B}"/>
    <hyperlink ref="AC655" r:id="rId298" xr:uid="{1E25A07C-443D-44F5-BF86-8E3C3B773BB4}"/>
    <hyperlink ref="AC657" r:id="rId299" xr:uid="{927C3BD6-3F65-4256-BF31-82CD91577ABC}"/>
    <hyperlink ref="AC658" r:id="rId300" xr:uid="{81F82EFE-17E9-4001-9780-EAC54E46F277}"/>
    <hyperlink ref="AC659" r:id="rId301" xr:uid="{18E4F313-3344-41CC-8DC7-A702D9E55364}"/>
    <hyperlink ref="AC660" r:id="rId302" xr:uid="{A5A276BB-BCCD-421D-BAA6-DDE6A4DA215A}"/>
    <hyperlink ref="AC661" r:id="rId303" xr:uid="{BAF0F5F3-C184-4CC2-B06C-F2C642B8877A}"/>
    <hyperlink ref="AC662" r:id="rId304" xr:uid="{3D73510B-F10B-485F-8DB7-4BF8A479297E}"/>
    <hyperlink ref="AC663" r:id="rId305" xr:uid="{E61986ED-7B4D-4C1D-8C33-8EEADA5B7093}"/>
    <hyperlink ref="AC664" r:id="rId306" xr:uid="{7E718266-0086-4E0B-951B-619F728F1A33}"/>
    <hyperlink ref="AC665" r:id="rId307" xr:uid="{46C476BF-25F2-4604-B7CE-CC5207C59B73}"/>
    <hyperlink ref="AC666" r:id="rId308" xr:uid="{BADCBC31-17E7-43D2-A278-74894E3B6A0E}"/>
    <hyperlink ref="AC667" r:id="rId309" xr:uid="{5C648730-DB0A-455B-81D6-8D081B8118E2}"/>
    <hyperlink ref="AC668" r:id="rId310" xr:uid="{93B4606C-83C3-4908-ACA5-23F8C128CD5E}"/>
    <hyperlink ref="AC669" r:id="rId311" xr:uid="{1D0931C8-6369-4868-BA02-CD13A2202ACC}"/>
    <hyperlink ref="AC670" r:id="rId312" xr:uid="{DB9F9C36-0F8A-4819-9CD4-CA7AC413FE26}"/>
    <hyperlink ref="AC671" r:id="rId313" xr:uid="{645BF1FA-0086-4EAD-9D44-6FF2728B8F23}"/>
    <hyperlink ref="AC672" r:id="rId314" xr:uid="{FAD2A229-5221-4EE8-9295-1F47CF21E21C}"/>
    <hyperlink ref="AC673" r:id="rId315" xr:uid="{E8C1033A-F0E5-42DE-90A3-16D4EED78317}"/>
    <hyperlink ref="AC674" r:id="rId316" xr:uid="{DC835029-2B28-4C0B-AFCE-3EEA71CD3AB1}"/>
    <hyperlink ref="AC675" r:id="rId317" xr:uid="{89FECB46-EDD6-47EB-BE67-8C145E0D57E6}"/>
    <hyperlink ref="AC676" r:id="rId318" xr:uid="{1289B1F0-6C8C-4A2C-A896-EFAC8718DA78}"/>
    <hyperlink ref="AC677" r:id="rId319" xr:uid="{1ED83875-B94A-4C7C-92BD-842A6EAF5450}"/>
    <hyperlink ref="AC678" r:id="rId320" xr:uid="{1AB0E918-7892-4A63-BD6A-53EED44ABF87}"/>
    <hyperlink ref="AC679" r:id="rId321" xr:uid="{F6C88513-652E-4E58-8F0F-54BD225A1199}"/>
    <hyperlink ref="AC680" r:id="rId322" xr:uid="{BBAF7199-5CBA-4424-9C5D-6B7902C95B19}"/>
    <hyperlink ref="AC681" r:id="rId323" xr:uid="{EC50C5D0-578F-42F1-B484-D88CC04B18E2}"/>
    <hyperlink ref="AC683" r:id="rId324" xr:uid="{E70B82C0-B951-4F0E-9FF3-2725C55136AB}"/>
    <hyperlink ref="AC684" r:id="rId325" xr:uid="{0F30E468-CBE4-4891-AA6B-1C9026B121AB}"/>
    <hyperlink ref="AC685" r:id="rId326" xr:uid="{47C50088-FCC7-4AE4-81FE-F88441DFA713}"/>
    <hyperlink ref="AC686" r:id="rId327" xr:uid="{90C77FD1-9623-4F50-A95B-1433C43F7C5F}"/>
    <hyperlink ref="AC687" r:id="rId328" xr:uid="{976D30B1-1C8D-48EF-86D6-F6D849AB2232}"/>
    <hyperlink ref="AC688" r:id="rId329" xr:uid="{075EF943-692E-4DB1-943D-87B8BF746332}"/>
    <hyperlink ref="AC689" r:id="rId330" xr:uid="{6C345E13-94A1-47A0-BCFE-0EA340D812E4}"/>
    <hyperlink ref="AC691" r:id="rId331" xr:uid="{68429620-2C36-4242-993F-550C0A4BE43D}"/>
    <hyperlink ref="AC692" r:id="rId332" xr:uid="{7A4D5B94-F9EC-4C79-BD6C-55D1BA2A1E45}"/>
    <hyperlink ref="AC693" r:id="rId333" xr:uid="{12AE0117-5DF1-41D5-9D81-A7EC68072D17}"/>
    <hyperlink ref="AC694" r:id="rId334" xr:uid="{D50DDE2A-28B9-45ED-90A3-D0EC76FCF67B}"/>
    <hyperlink ref="AC695" r:id="rId335" xr:uid="{1D1530DB-993C-4A15-BFC1-3212C7F8B6BD}"/>
    <hyperlink ref="AC696" r:id="rId336" xr:uid="{99E0585D-628B-4784-A51C-FB0E5C4E0D34}"/>
    <hyperlink ref="AC697" r:id="rId337" xr:uid="{8E048EE7-A610-458E-A4FB-BE9CC7166496}"/>
    <hyperlink ref="AC698" r:id="rId338" xr:uid="{C890B8A3-509C-49A7-901D-8755B0A3E6C7}"/>
    <hyperlink ref="AC699" r:id="rId339" xr:uid="{8BC241F1-B271-4FB1-BA2E-DD41C8122C41}"/>
    <hyperlink ref="AC700" r:id="rId340" xr:uid="{8A78E8DE-5A93-4670-90C1-32F4CAAACACC}"/>
    <hyperlink ref="AC701" r:id="rId341" xr:uid="{5EA1C3F9-F470-44A9-AB95-0B9811ECE92F}"/>
    <hyperlink ref="AC702" r:id="rId342" xr:uid="{9BD337B8-4D2F-4533-A942-6C599F853CBF}"/>
    <hyperlink ref="AC703" r:id="rId343" xr:uid="{53738C57-9EAB-48FE-870E-EF2AA228B0C8}"/>
    <hyperlink ref="AC704" r:id="rId344" xr:uid="{8F9DCBAA-1ECE-41B3-97DE-342FE8E3F0C4}"/>
    <hyperlink ref="AC705" r:id="rId345" xr:uid="{D8951277-1C18-450F-A55A-FAAA180F1CB2}"/>
    <hyperlink ref="O565" r:id="rId346" xr:uid="{2AFEC627-05CB-4EBF-9F17-F8BBD91055F0}"/>
    <hyperlink ref="P565" r:id="rId347" xr:uid="{E33F2D1A-7405-4718-99DB-40ADD8FA2E47}"/>
    <hyperlink ref="O645" r:id="rId348" xr:uid="{D3C4AE6A-7E2A-403A-926D-6B3D97A01DEE}"/>
    <hyperlink ref="P645" r:id="rId349" xr:uid="{8705FD68-E416-4F25-BA51-E738B92FB926}"/>
    <hyperlink ref="AC565" r:id="rId350" xr:uid="{FCEC1B58-3D94-4DFE-87A7-152989538D05}"/>
    <hyperlink ref="AC645" r:id="rId351" xr:uid="{C1C38C80-3357-4F1A-8FA7-DC474FC14E58}"/>
    <hyperlink ref="O615" r:id="rId352" xr:uid="{404D9D89-6EDF-4808-A7AB-8588DC911FD3}"/>
    <hyperlink ref="P615" r:id="rId353" xr:uid="{6186470D-B433-4338-AA87-9F73B9A0D41E}"/>
    <hyperlink ref="O656" r:id="rId354" xr:uid="{1CFA5519-D336-4644-B059-01573732CB34}"/>
    <hyperlink ref="P656" r:id="rId355" xr:uid="{EC339527-EAEF-4DA9-94A5-FBA1DDEB78DE}"/>
    <hyperlink ref="AC656" r:id="rId356" xr:uid="{EDFD573F-9368-4346-B6FF-97ECCD00E9C0}"/>
    <hyperlink ref="P724" r:id="rId357" xr:uid="{0B11E6C8-6CC2-49AD-A4A3-B387122BF03C}"/>
    <hyperlink ref="O724" r:id="rId358" xr:uid="{579D880A-9087-4EED-BFAD-B93B7B0ED599}"/>
    <hyperlink ref="O622" r:id="rId359" xr:uid="{B8D015B0-D79C-48F2-9C5A-8ADEA241344B}"/>
    <hyperlink ref="P622" r:id="rId360" xr:uid="{CF15B9E6-44DB-426B-88F9-2B77AEB141AA}"/>
    <hyperlink ref="G709" r:id="rId361" xr:uid="{72F72B97-AE7D-44ED-B27F-5E7F68186B4F}"/>
    <hyperlink ref="G707" r:id="rId362" xr:uid="{08A610B7-136F-4739-8743-B70A6E12CEE6}"/>
    <hyperlink ref="O790" r:id="rId363" xr:uid="{C1A468B0-EC8D-439D-BC6A-AFD40889A588}"/>
    <hyperlink ref="P790" r:id="rId364" xr:uid="{FA895527-01B4-4185-AEAC-5825D62694A7}"/>
    <hyperlink ref="P999" r:id="rId365" xr:uid="{3B85F1FE-5DA8-4760-87DA-B9C1320F4941}"/>
    <hyperlink ref="O770" r:id="rId366" xr:uid="{55AF5F55-8B8D-4A3A-A63F-00EEB067AE8C}"/>
    <hyperlink ref="P993" r:id="rId367" xr:uid="{AFA84441-EE77-410C-BAA8-E1847AA5465A}"/>
    <hyperlink ref="O784" r:id="rId368" xr:uid="{DC84E7A1-F1B1-492C-AFE4-11413DA4A55A}"/>
    <hyperlink ref="P784" r:id="rId369" xr:uid="{333F43A1-E8B9-4293-92C4-251E314AE05C}"/>
    <hyperlink ref="O775" r:id="rId370" xr:uid="{C77773CC-6E1E-42AE-AF3A-40BB2B6FEF96}"/>
    <hyperlink ref="P775" r:id="rId371" xr:uid="{AE0D082D-3342-4F13-96B9-0B7D1D3F9BFA}"/>
    <hyperlink ref="O800" r:id="rId372" xr:uid="{EC240CC1-3511-4B1F-B041-1F7D66B6EEA1}"/>
    <hyperlink ref="P800" r:id="rId373" xr:uid="{1B0FBD51-589F-49B0-9A03-57280DEED16D}"/>
    <hyperlink ref="O796" r:id="rId374" xr:uid="{FFC50635-13AB-44E3-BFF5-6EFD47C5FECC}"/>
    <hyperlink ref="P796" r:id="rId375" xr:uid="{CF682DA1-EA7B-41DD-8D41-FFA666A3B8D8}"/>
    <hyperlink ref="O805" r:id="rId376" xr:uid="{653318F3-E4E6-4CFC-8A81-33F3DC6C9FCE}"/>
    <hyperlink ref="P805" r:id="rId377" xr:uid="{2A02B962-FEC9-47DC-AD21-7B183C29302F}"/>
    <hyperlink ref="O792" r:id="rId378" xr:uid="{89FA88E6-1ED4-44A5-B816-5ED6F60B77BA}"/>
    <hyperlink ref="P792" r:id="rId379" xr:uid="{41D56EB1-6E99-459C-A94F-9AD77B6D995A}"/>
    <hyperlink ref="O778" r:id="rId380" xr:uid="{A0467771-ECF0-4E70-AA46-7E82FB3D84CE}"/>
    <hyperlink ref="P778" r:id="rId381" xr:uid="{E96253CC-2D20-462E-9D00-4462E71DD5D7}"/>
    <hyperlink ref="O996" r:id="rId382" xr:uid="{3216ACE3-4233-46BD-BBC2-A7FB6C506823}"/>
    <hyperlink ref="P996" r:id="rId383" xr:uid="{263C903F-F611-4694-90D1-6BC6880F79C6}"/>
    <hyperlink ref="O963" r:id="rId384" xr:uid="{CE08D303-5B13-4E85-8F8E-53DE9562C187}"/>
    <hyperlink ref="P963" r:id="rId385" xr:uid="{1A60B783-E9D9-46E9-9FA3-D21BDCDC1CBE}"/>
    <hyperlink ref="O930" r:id="rId386" xr:uid="{D2298869-7C38-4570-AF16-88DB69412F81}"/>
    <hyperlink ref="P930" r:id="rId387" xr:uid="{2D31751E-2DB4-424B-91BE-70A505BFB684}"/>
    <hyperlink ref="O862" r:id="rId388" xr:uid="{3811417F-45C6-4234-879E-1E858980975C}"/>
    <hyperlink ref="P862" r:id="rId389" xr:uid="{EBBA8E4E-B901-46EF-AC2E-EC489FE16E16}"/>
    <hyperlink ref="O772" r:id="rId390" xr:uid="{54B1FF9B-D66A-4785-B0B0-80F8756F4813}"/>
    <hyperlink ref="P772" r:id="rId391" xr:uid="{EE8142C0-E298-4DDF-AAFC-9F1BB85E0089}"/>
    <hyperlink ref="O808" r:id="rId392" xr:uid="{5105800A-50C2-4170-801B-8CCF12151F99}"/>
    <hyperlink ref="P808" r:id="rId393" xr:uid="{D6839C4C-5883-454B-8191-D00C54FD28DA}"/>
    <hyperlink ref="O826" r:id="rId394" xr:uid="{4F229E02-FC47-4C0A-A463-7F66DB927F9B}"/>
    <hyperlink ref="P826" r:id="rId395" xr:uid="{46E73EC4-3B60-4E2B-80ED-08EDC6D33D04}"/>
    <hyperlink ref="O858" r:id="rId396" xr:uid="{C44C9B0D-F7F2-4B63-9115-C7CC1A2558F2}"/>
    <hyperlink ref="P858" r:id="rId397" xr:uid="{E37D8BCD-C85C-42AE-8E8E-9B55C74D3F96}"/>
    <hyperlink ref="O961" r:id="rId398" xr:uid="{ACB0298A-93B0-4434-842F-A249C30ACC47}"/>
    <hyperlink ref="P961" r:id="rId399" xr:uid="{FB8769A0-91F2-41DD-8843-5FC300E7864E}"/>
    <hyperlink ref="P987" r:id="rId400" xr:uid="{937329C2-F0CD-4574-B5CB-73087756DE96}"/>
    <hyperlink ref="O985" r:id="rId401" xr:uid="{7545E377-2F62-4CC1-AE34-82BB7A91388F}"/>
    <hyperlink ref="P985" r:id="rId402" xr:uid="{1AD8435F-84C9-4003-BB06-4080DCFA9F0F}"/>
    <hyperlink ref="O983" r:id="rId403" xr:uid="{C717D663-4958-4FA2-AABC-1A98615BDA6B}"/>
    <hyperlink ref="P983" r:id="rId404" xr:uid="{3EF18596-3261-4E69-BA3C-22F34748BD7F}"/>
    <hyperlink ref="O981" r:id="rId405" xr:uid="{0F649157-68D7-4C63-A5B3-B40F41F77365}"/>
    <hyperlink ref="P981" r:id="rId406" xr:uid="{4C3A2CBA-AA38-4CE8-9E12-BB71ECEF9078}"/>
    <hyperlink ref="O979" r:id="rId407" xr:uid="{A9BFD018-26C5-472C-B0A1-3549C97746E5}"/>
    <hyperlink ref="P979" r:id="rId408" xr:uid="{069C8737-C4A6-4FD6-BC3A-50F132B297EC}"/>
    <hyperlink ref="O977" r:id="rId409" xr:uid="{430E934D-9C9C-4DDB-874B-9F7F787301BB}"/>
    <hyperlink ref="P977" r:id="rId410" xr:uid="{EB965F01-C809-4C4A-BABD-C775BDA669FF}"/>
    <hyperlink ref="O975" r:id="rId411" xr:uid="{478A6DC4-0A3E-4C0E-83CE-0417DFF1AFB7}"/>
    <hyperlink ref="P975" r:id="rId412" xr:uid="{EF88B2AB-671D-4D79-AA11-FFDC80F4F588}"/>
    <hyperlink ref="O787" r:id="rId413" xr:uid="{4D534DFA-57F7-4439-9DE2-2792774CF28E}"/>
    <hyperlink ref="P787" r:id="rId414" xr:uid="{003FF1D8-6BF6-4A2E-965D-F4D7C1001300}"/>
    <hyperlink ref="O818" r:id="rId415" xr:uid="{EC1AAF45-F6B6-4845-8836-1AF2B2FEFC2B}"/>
    <hyperlink ref="P818" r:id="rId416" xr:uid="{BFBB6BB2-AB4F-48B3-A6EA-68006EBABBAD}"/>
    <hyperlink ref="O814" r:id="rId417" xr:uid="{F25E6E87-92C9-4D34-9B15-A4972562E306}"/>
    <hyperlink ref="P814" r:id="rId418" xr:uid="{B5681204-B962-47D7-93E1-4CA1EB2453DE}"/>
    <hyperlink ref="O802" r:id="rId419" xr:uid="{0CDCA210-B876-44C3-9211-E25F7F969F9B}"/>
    <hyperlink ref="P802" r:id="rId420" xr:uid="{514DE408-845F-49BD-BDEC-E7B38C4F4749}"/>
    <hyperlink ref="P811" r:id="rId421" xr:uid="{AC99A7F8-FC78-4B92-8AF0-4AFFED071A21}"/>
    <hyperlink ref="O820" r:id="rId422" xr:uid="{18E26DE5-37C7-41C3-A9D4-EB1E96C4A96A}"/>
    <hyperlink ref="P820" r:id="rId423" xr:uid="{09F87AD8-B862-4CE9-8CC9-094BA173420E}"/>
    <hyperlink ref="O838" r:id="rId424" xr:uid="{5D2E424B-64E4-44D3-9990-F7ECA54F7DB1}"/>
    <hyperlink ref="P838" r:id="rId425" xr:uid="{7CDEB2FE-D70F-4534-8FBA-C175E206D89E}"/>
    <hyperlink ref="O973" r:id="rId426" xr:uid="{6953997D-F606-443C-9752-90E2A5ED7D2A}"/>
    <hyperlink ref="P973" r:id="rId427" xr:uid="{162A5927-E404-43B2-AF51-692C3F4D814B}"/>
    <hyperlink ref="O971" r:id="rId428" xr:uid="{FB46C291-DBB4-4397-8616-DB6591D0FE17}"/>
    <hyperlink ref="P971" r:id="rId429" xr:uid="{5E3C487B-E398-4EE9-96FD-56E4C024C8CA}"/>
    <hyperlink ref="O816" r:id="rId430" xr:uid="{372A7C3B-E935-46F4-8B42-F42B233BC1E7}"/>
    <hyperlink ref="P816" r:id="rId431" xr:uid="{ED04AAD6-7CB5-4784-AF01-AD7ACD325982}"/>
    <hyperlink ref="O831" r:id="rId432" xr:uid="{700FF78F-238A-4B92-B9FC-258FC3A448BD}"/>
    <hyperlink ref="P831" r:id="rId433" xr:uid="{4FC1DE16-0FC3-407E-B735-F0A486131648}"/>
    <hyperlink ref="O834" r:id="rId434" xr:uid="{6393590E-3E27-4A47-89AC-3A58394D9528}"/>
    <hyperlink ref="P834" r:id="rId435" xr:uid="{740C48AF-ADA8-4ADE-AFE3-DEB0A90F4504}"/>
    <hyperlink ref="O824" r:id="rId436" xr:uid="{8CD494AF-43E0-4D70-9BF8-F19406DDE63F}"/>
    <hyperlink ref="P824" r:id="rId437" xr:uid="{EE0DC3DD-2E43-48CC-BF0D-945E42A2F2A9}"/>
    <hyperlink ref="O840" r:id="rId438" xr:uid="{5186AE14-539D-4975-BAB0-D1D2ADCFA9F1}"/>
    <hyperlink ref="P840" r:id="rId439" xr:uid="{3DC4A1B4-645E-48F6-9FD8-6E266203FCDE}"/>
    <hyperlink ref="O846" r:id="rId440" xr:uid="{BBE85EFF-C735-4612-B0AC-A0362E1A3962}"/>
    <hyperlink ref="P846" r:id="rId441" xr:uid="{EC2C9D5F-7E13-4C0B-BE10-50CEB2068D45}"/>
    <hyperlink ref="O848" r:id="rId442" xr:uid="{CFACB8D6-0542-4611-B16B-55D41F7831BC}"/>
    <hyperlink ref="P848" r:id="rId443" xr:uid="{5B4D9CDF-F3AB-4A18-AAB4-7E49637D5AB3}"/>
    <hyperlink ref="O850" r:id="rId444" xr:uid="{A245E795-4031-4C7F-9D0A-5F1750D1CAC3}"/>
    <hyperlink ref="P850" r:id="rId445" xr:uid="{5D7E77A5-148E-462C-9A47-12074676A5F4}"/>
    <hyperlink ref="O852" r:id="rId446" xr:uid="{43A4CE1C-9505-4F01-9F12-D24E613FF6D7}"/>
    <hyperlink ref="P852" r:id="rId447" xr:uid="{B23131DB-64B9-445E-AA73-B79105F55181}"/>
    <hyperlink ref="O854" r:id="rId448" xr:uid="{09C150EF-067A-4557-B0D9-BD2CDF976F96}"/>
    <hyperlink ref="P854" r:id="rId449" xr:uid="{469FF82D-D906-4108-BCCD-016CDCB74C49}"/>
    <hyperlink ref="O895" r:id="rId450" xr:uid="{A25F702E-F572-4DD3-BFB7-CDA123BD8031}"/>
    <hyperlink ref="P895" r:id="rId451" xr:uid="{AAE56D89-846B-439C-8F2A-436AD2F31C76}"/>
    <hyperlink ref="O893" r:id="rId452" xr:uid="{F9FB64DD-0BEA-4052-A2B0-60303F782D91}"/>
    <hyperlink ref="P893" r:id="rId453" xr:uid="{F6730328-3774-4B5E-931F-8315210BE8C4}"/>
    <hyperlink ref="O891" r:id="rId454" xr:uid="{D38BB5BB-8A66-4ACC-91DD-4FDA98061B9F}"/>
    <hyperlink ref="P891" r:id="rId455" xr:uid="{CFE738D4-0EFF-4322-A8A9-DCAB46206693}"/>
    <hyperlink ref="O889" r:id="rId456" xr:uid="{3DF83FE2-F90F-4BC8-B022-1BAC16B5B860}"/>
    <hyperlink ref="P889" r:id="rId457" xr:uid="{D94FE0DC-3EE8-476B-82FA-88713E3495AC}"/>
    <hyperlink ref="O885" r:id="rId458" xr:uid="{A44CD710-D798-472E-9E36-C3625DD16251}"/>
    <hyperlink ref="P885" r:id="rId459" xr:uid="{9BF9BED7-5226-451E-A466-6FB73B6B44BB}"/>
    <hyperlink ref="O969" r:id="rId460" xr:uid="{94794A02-8430-4E76-802F-B31A8A0CE27B}"/>
    <hyperlink ref="P969" r:id="rId461" xr:uid="{9ED4EB3F-D995-4864-AEA9-7C86411D8C22}"/>
    <hyperlink ref="O966" r:id="rId462" xr:uid="{B0502616-DFEC-4DC9-A50F-B7F9A8F74817}"/>
    <hyperlink ref="P966" r:id="rId463" xr:uid="{C900CEE0-A001-4CA9-A99E-8F4DB92075C2}"/>
    <hyperlink ref="O957" r:id="rId464" xr:uid="{3D4B1CC4-484C-4CA9-A78E-92C043A23068}"/>
    <hyperlink ref="P957" r:id="rId465" xr:uid="{C547DF57-589F-4C30-BDE6-58BCDB0709C0}"/>
    <hyperlink ref="O956" r:id="rId466" xr:uid="{A5A25891-D2E7-4ECF-9DB3-B4EE9696D6E5}"/>
    <hyperlink ref="P956" r:id="rId467" xr:uid="{7319411B-6ED5-4CE8-AB9C-B7FD5D4D8017}"/>
    <hyperlink ref="O954" r:id="rId468" xr:uid="{5AC149A8-A45E-4A57-9CA3-F3F7CF149F13}"/>
    <hyperlink ref="P954" r:id="rId469" xr:uid="{966C017F-0160-46C8-8526-B84A5C685267}"/>
    <hyperlink ref="O952" r:id="rId470" xr:uid="{F9C5DDC3-3579-4133-BD82-CF198ACB08D0}"/>
    <hyperlink ref="P952" r:id="rId471" xr:uid="{BCA871B6-2256-40C9-8056-DC2378FA6EE0}"/>
    <hyperlink ref="O949" r:id="rId472" xr:uid="{EC325CDA-1C90-4818-B4F6-2EE280E99004}"/>
    <hyperlink ref="P949" r:id="rId473" xr:uid="{2D2F1C64-A0CA-4921-9C0C-328DE9196DE4}"/>
    <hyperlink ref="O947" r:id="rId474" xr:uid="{24A64772-B8A7-4977-B59C-684BCB5C12C8}"/>
    <hyperlink ref="P947" r:id="rId475" xr:uid="{9C427C1C-6CE8-4904-8E5B-3A6DBA9A4D75}"/>
    <hyperlink ref="O780" r:id="rId476" xr:uid="{B9D1B13F-B069-412C-ABA1-FED3DD836055}"/>
    <hyperlink ref="P780" r:id="rId477" xr:uid="{26ABA14F-8C2D-4177-8B0F-CCAC7102FBE2}"/>
    <hyperlink ref="O813" r:id="rId478" xr:uid="{0342A324-E1C9-4688-99CC-1D5F1868E4AC}"/>
    <hyperlink ref="P813" r:id="rId479" xr:uid="{403BD602-7C59-4010-ACA4-CC61536D704E}"/>
    <hyperlink ref="O786" r:id="rId480" xr:uid="{8E74D582-BC7A-4234-948A-9C736C498239}"/>
    <hyperlink ref="P786" r:id="rId481" xr:uid="{68FDEB06-AF32-4677-AFEC-ED8F57917BB7}"/>
    <hyperlink ref="O865" r:id="rId482" xr:uid="{E3DDE6CC-C55E-454B-A848-762BDD10B945}"/>
    <hyperlink ref="P865" r:id="rId483" xr:uid="{2668E6F6-0279-4F67-BAE1-D165F02A40C4}"/>
    <hyperlink ref="O868" r:id="rId484" xr:uid="{09AA3D9A-6D5C-4BFC-ACD8-0E9BB6A9F5D6}"/>
    <hyperlink ref="P868" r:id="rId485" xr:uid="{DFDC09EF-D6D8-4575-A6C4-AAED7B0B9D4C}"/>
    <hyperlink ref="O871" r:id="rId486" xr:uid="{1F8DAB5D-7124-4E11-9BFB-52C1FC357928}"/>
    <hyperlink ref="P871" r:id="rId487" xr:uid="{9988A168-87DE-4FF9-967B-C6DF1D0005D4}"/>
    <hyperlink ref="O873" r:id="rId488" xr:uid="{75FE3966-5792-40EB-BB7A-941AC9ACA4EC}"/>
    <hyperlink ref="P873" r:id="rId489" xr:uid="{BA3F4CCF-8746-4CE0-83C0-EC9C1216628A}"/>
    <hyperlink ref="O946" r:id="rId490" xr:uid="{3C22A923-925B-43B8-BCF3-991F5F899DEB}"/>
    <hyperlink ref="P946" r:id="rId491" xr:uid="{1DBAEE41-0EA6-477B-9249-2824108B7B92}"/>
    <hyperlink ref="O943" r:id="rId492" xr:uid="{169D3D89-F1C0-48CA-8F9F-CDF6B5DB12DF}"/>
    <hyperlink ref="P943" r:id="rId493" xr:uid="{B5B95EFF-414B-435B-B3D3-82C26131919E}"/>
    <hyperlink ref="O941" r:id="rId494" xr:uid="{1395F150-B3DE-4E93-AA63-EB44C0A2179B}"/>
    <hyperlink ref="P941" r:id="rId495" xr:uid="{81B3472D-72CD-493D-927D-24699CAB8F5F}"/>
    <hyperlink ref="O937" r:id="rId496" xr:uid="{FF084E3A-EABD-4E00-BD88-CDAC389BEFD1}"/>
    <hyperlink ref="P937" r:id="rId497" xr:uid="{AD47AFE9-3DCD-4DDB-AE02-E9799DB5CACA}"/>
    <hyperlink ref="O881" r:id="rId498" xr:uid="{003B3985-4026-483A-B8AB-9B154DDAFAA8}"/>
    <hyperlink ref="P881" r:id="rId499" xr:uid="{3B4A4001-D04A-4647-85B0-DAAF256AA759}"/>
    <hyperlink ref="O875" r:id="rId500" xr:uid="{5B9F1BC6-99C3-47AA-A3EF-6F2F4970205F}"/>
    <hyperlink ref="P875" r:id="rId501" xr:uid="{06A22029-C493-4EA5-B3EC-08F0E4F6017F}"/>
    <hyperlink ref="O876" r:id="rId502" xr:uid="{6CF1D8F2-5A84-4F62-A11E-62C779211CE7}"/>
    <hyperlink ref="P876" r:id="rId503" xr:uid="{951B2EFC-AE78-41E2-809F-A56A626A9822}"/>
    <hyperlink ref="O878" r:id="rId504" xr:uid="{49B7BF9F-B4BE-4FF0-94AD-C5CB65316CAD}"/>
    <hyperlink ref="P878" r:id="rId505" xr:uid="{B1A8E9B0-775D-4234-AE29-3EB04FB08161}"/>
    <hyperlink ref="O903" r:id="rId506" xr:uid="{112C23B9-1F18-4E2B-87F1-7D8726F43678}"/>
    <hyperlink ref="P903" r:id="rId507" xr:uid="{EA35F0A1-3BE0-4461-9B00-7F81465CDB64}"/>
    <hyperlink ref="O905" r:id="rId508" xr:uid="{555893CB-F6DE-4F99-B229-7D19D7096876}"/>
    <hyperlink ref="P905" r:id="rId509" xr:uid="{452428A2-8F87-41D8-9886-12EE7D141306}"/>
    <hyperlink ref="O934" r:id="rId510" xr:uid="{2028DE88-BB7B-4688-9319-445C2737752F}"/>
    <hyperlink ref="P934" r:id="rId511" xr:uid="{0A93D741-8676-45B3-B552-A98B7BB046C4}"/>
    <hyperlink ref="O927" r:id="rId512" xr:uid="{659E28F0-D9A1-4BF6-95D3-31D9CC2BAFD2}"/>
    <hyperlink ref="P927" r:id="rId513" xr:uid="{9F369544-9FB3-4769-ADE9-342C8C50BFFC}"/>
    <hyperlink ref="O924" r:id="rId514" xr:uid="{C6912DDD-BC96-4024-B248-25564E16FEF9}"/>
    <hyperlink ref="P924" r:id="rId515" xr:uid="{1D626BD7-A0A9-4D32-9A04-08CC68D78837}"/>
    <hyperlink ref="O907" r:id="rId516" xr:uid="{061CB41B-697A-4887-B70E-24D9322E6EF1}"/>
    <hyperlink ref="P907" r:id="rId517" xr:uid="{00484346-407A-41EE-8554-4497297F3198}"/>
    <hyperlink ref="O909" r:id="rId518" xr:uid="{831CADAC-7808-4278-9F75-D5EC5D5A30B1}"/>
    <hyperlink ref="P909" r:id="rId519" xr:uid="{D10CD391-70E2-4244-BAF8-B58612CF4482}"/>
    <hyperlink ref="O911" r:id="rId520" xr:uid="{DF4427DF-3D89-400E-B6BE-74FED09E63DC}"/>
    <hyperlink ref="P911" r:id="rId521" xr:uid="{401516E1-8B3D-4F8A-BB00-CDF7AD911C66}"/>
    <hyperlink ref="O913" r:id="rId522" xr:uid="{25858929-1493-425E-8674-2C0D4E0CE16B}"/>
    <hyperlink ref="P913" r:id="rId523" xr:uid="{89D35905-523C-4448-9764-3FFF9F29EB6F}"/>
    <hyperlink ref="O914" r:id="rId524" xr:uid="{98DFA5EF-4813-41F7-90BF-1DD0A8081982}"/>
    <hyperlink ref="P914" r:id="rId525" xr:uid="{87ACB5BE-4232-4F3D-B50D-52C37BC3612C}"/>
    <hyperlink ref="O916" r:id="rId526" xr:uid="{CB8C6085-EC3E-4F62-AADF-05231ABFEFE0}"/>
    <hyperlink ref="P916" r:id="rId527" xr:uid="{45BB1100-DB05-42BD-8337-DF2CA9907C11}"/>
    <hyperlink ref="O918" r:id="rId528" xr:uid="{650A1567-A77E-4D50-8049-DF7BB4AE4E0C}"/>
    <hyperlink ref="P918" r:id="rId529" xr:uid="{E7CF5B9C-A495-48BD-B11D-FCF7ABB16FAD}"/>
    <hyperlink ref="O920" r:id="rId530" xr:uid="{52636075-BE4C-4585-926F-AE9F4ED4FCA9}"/>
    <hyperlink ref="P920" r:id="rId531" xr:uid="{037A2048-08C4-4785-84E6-89F4F689E26A}"/>
    <hyperlink ref="O921" r:id="rId532" xr:uid="{90C0D396-A776-4A38-9B96-FFDA588D69A6}"/>
    <hyperlink ref="P921" r:id="rId533" xr:uid="{59042976-DADA-4D27-89C6-D2CDE305741C}"/>
    <hyperlink ref="O922" r:id="rId534" xr:uid="{AEC898DE-7670-4F43-89B6-A9A1D741349A}"/>
    <hyperlink ref="P922" r:id="rId535" xr:uid="{019E2F11-9F79-4093-927B-DA316FF73992}"/>
    <hyperlink ref="O776" r:id="rId536" xr:uid="{227141C5-4295-46EF-B3E9-68C15689F2CD}"/>
    <hyperlink ref="P776" r:id="rId537" xr:uid="{315EE534-4850-43E7-90A1-E3E1B73D4101}"/>
    <hyperlink ref="O797" r:id="rId538" xr:uid="{6D1A14C8-4C62-491D-9462-67824933A58A}"/>
    <hyperlink ref="P797" r:id="rId539" xr:uid="{DF01796C-5D7E-4D35-A383-1395674FB524}"/>
    <hyperlink ref="O896" r:id="rId540" xr:uid="{6E8CB331-B0F9-429B-9DD2-3A650735DDE9}"/>
    <hyperlink ref="P896" r:id="rId541" xr:uid="{FAC3F1BE-0730-41FC-8DB9-6C98C39D69CC}"/>
    <hyperlink ref="O904" r:id="rId542" xr:uid="{3B542636-9AA2-4305-815E-F5015A53614C}"/>
    <hyperlink ref="P904" r:id="rId543" xr:uid="{867664A7-F7F3-4830-B97C-63E6329AF465}"/>
    <hyperlink ref="O936" r:id="rId544" xr:uid="{82A1601C-46EE-4D41-8BD1-78A714B3FC3B}"/>
    <hyperlink ref="P936" r:id="rId545" xr:uid="{EB4352F7-6CCD-44B5-808F-95AB7DC6EBDD}"/>
    <hyperlink ref="O898" r:id="rId546" xr:uid="{876BA859-67C1-4178-BDBE-E2E29F6A3BCB}"/>
    <hyperlink ref="P898" r:id="rId547" xr:uid="{1661FB52-E87D-46A2-B6D0-3D806012C41A}"/>
    <hyperlink ref="O987" r:id="rId548" xr:uid="{12949073-FAC9-40A8-9AB2-7E3AA3ED06B6}"/>
    <hyperlink ref="O993" r:id="rId549" xr:uid="{D8152244-0863-4ACD-9C49-3951F5E72F8C}"/>
    <hyperlink ref="O999" r:id="rId550" xr:uid="{953AC708-6257-4397-8252-CA11702A07BF}"/>
    <hyperlink ref="O843" r:id="rId551" xr:uid="{6D69E8C4-86D7-437C-B31D-66721121BA45}"/>
    <hyperlink ref="P843" r:id="rId552" xr:uid="{35F057A3-EE94-44F7-A7CE-55672A07F946}"/>
    <hyperlink ref="O842" r:id="rId553" xr:uid="{182F104B-2DF8-4CB8-A84A-A6126BDC24D4}"/>
    <hyperlink ref="P842" r:id="rId554" xr:uid="{8B1C8A59-DF08-4D04-ADD4-304538D0D0B9}"/>
    <hyperlink ref="O877" r:id="rId555" xr:uid="{13ABB2D6-9B5A-4D87-9081-F834323B92DC}"/>
    <hyperlink ref="P877" r:id="rId556" xr:uid="{05552A10-DE2F-4E3A-B9CC-CCD357C8EE8C}"/>
    <hyperlink ref="O939" r:id="rId557" xr:uid="{A700B933-D7B9-4829-8572-D1B0C208597B}"/>
    <hyperlink ref="P939" r:id="rId558" xr:uid="{85BE459C-066A-4883-A64F-D0ABE33E2619}"/>
    <hyperlink ref="O781" r:id="rId559" xr:uid="{2155E7AC-50A5-440E-81D8-96E45D639B03}"/>
    <hyperlink ref="P781" r:id="rId560" xr:uid="{710183B6-EDA3-4AE2-99DC-96E5BBF3D07F}"/>
    <hyperlink ref="O989" r:id="rId561" xr:uid="{B886300A-8AFE-4740-9ED0-4C57E2AC766A}"/>
    <hyperlink ref="P989" r:id="rId562" xr:uid="{7D6B3BC2-CFDD-437C-B7D3-14D888180359}"/>
    <hyperlink ref="O950" r:id="rId563" xr:uid="{A3CC3AB6-9727-4E27-91A3-FEE6639E7EFF}"/>
    <hyperlink ref="P950" r:id="rId564" xr:uid="{D8D85434-1038-49C0-8424-D215B55183AF}"/>
    <hyperlink ref="O777" r:id="rId565" xr:uid="{AB5D2E1A-07F6-45D8-BFF5-671811BF6833}"/>
    <hyperlink ref="P777" r:id="rId566" xr:uid="{455BD8CF-4DBF-48DA-8148-A72B2856DEAB}"/>
    <hyperlink ref="O844" r:id="rId567" xr:uid="{D17FF42F-3220-4D9F-B493-49CBA6F26002}"/>
    <hyperlink ref="P844" r:id="rId568" xr:uid="{D712933D-AEC8-430F-AE8D-9DE22FFE7EE8}"/>
    <hyperlink ref="O832" r:id="rId569" xr:uid="{D8590F34-650A-4CFD-BE97-BA5618E985E0}"/>
    <hyperlink ref="P832" r:id="rId570" xr:uid="{227E5038-EF81-42DB-9904-0BCCA37DA1EC}"/>
    <hyperlink ref="O990" r:id="rId571" xr:uid="{82C71462-93DF-4F35-8ECC-A953A39B7CC1}"/>
    <hyperlink ref="P990" r:id="rId572" xr:uid="{D5E57BEE-23F6-48B7-8449-153126AEC6D6}"/>
    <hyperlink ref="G887" r:id="rId573" xr:uid="{A6290626-4F49-4DEB-874A-37507CA7C255}"/>
    <hyperlink ref="O822" r:id="rId574" xr:uid="{D114266A-35CF-43DD-8331-E074469636D6}"/>
    <hyperlink ref="P822" r:id="rId575" xr:uid="{87AF5127-EDBD-4407-BA7A-61C115A0B6ED}"/>
    <hyperlink ref="G963" r:id="rId576" xr:uid="{C184C041-6FE1-49CB-A4A6-BE982BF14292}"/>
    <hyperlink ref="O646" r:id="rId577" xr:uid="{83875B2D-1AAA-4520-85E6-244621D78B37}"/>
    <hyperlink ref="P646" r:id="rId578" xr:uid="{5D47B82F-E596-4BBC-9A37-51163CC47C0D}"/>
    <hyperlink ref="AC646" r:id="rId579" xr:uid="{439002FD-1E00-4160-A924-77DC41630A6B}"/>
    <hyperlink ref="O75" r:id="rId580" xr:uid="{FB592EBC-821C-4B47-A187-E4C4DF2A7E8A}"/>
    <hyperlink ref="P75" r:id="rId581" xr:uid="{9A19286B-FD86-433D-BBC8-2F18B4AFE56E}"/>
    <hyperlink ref="AC581" r:id="rId582" xr:uid="{6F898113-214B-4038-B1BC-8C016D6EEFC4}"/>
    <hyperlink ref="P581" r:id="rId583" xr:uid="{BB1B4A7A-785D-424A-8BCE-6AA0A732835A}"/>
    <hyperlink ref="O581" r:id="rId584" xr:uid="{BD61B846-563B-43E5-92ED-041ECC6F9BCF}"/>
    <hyperlink ref="AC180" r:id="rId585" xr:uid="{EEC30F4F-CFB4-46A9-8ACB-3F33B9CB29DF}"/>
    <hyperlink ref="AC1006" r:id="rId586" xr:uid="{B0F759D1-C9E4-47B6-9047-352AE5BC4504}"/>
    <hyperlink ref="AC525" r:id="rId587" xr:uid="{2BAB9250-C23D-4A60-9F30-AAB1104E62CC}"/>
  </hyperlinks>
  <pageMargins left="0.7" right="0.7" top="0.75" bottom="0.75" header="0.3" footer="0.3"/>
  <legacyDrawing r:id="rId588"/>
  <tableParts count="1">
    <tablePart r:id="rId58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234A8-1E80-4A9F-8889-D3A4B5A66717}">
  <dimension ref="A1:B34"/>
  <sheetViews>
    <sheetView topLeftCell="A19" workbookViewId="0">
      <selection activeCell="B24" sqref="B24"/>
    </sheetView>
  </sheetViews>
  <sheetFormatPr defaultRowHeight="15"/>
  <cols>
    <col min="1" max="1" width="37.28515625" customWidth="1"/>
    <col min="2" max="2" width="14.28515625" bestFit="1" customWidth="1"/>
  </cols>
  <sheetData>
    <row r="1" spans="1:2">
      <c r="A1" s="29" t="s">
        <v>16</v>
      </c>
      <c r="B1" s="29" t="s">
        <v>27</v>
      </c>
    </row>
    <row r="2" spans="1:2">
      <c r="A2" s="3" t="s">
        <v>10005</v>
      </c>
      <c r="B2" s="3" t="s">
        <v>4761</v>
      </c>
    </row>
    <row r="3" spans="1:2">
      <c r="A3" s="3" t="s">
        <v>10002</v>
      </c>
      <c r="B3" s="3" t="s">
        <v>9959</v>
      </c>
    </row>
    <row r="4" spans="1:2">
      <c r="A4" s="3" t="s">
        <v>3728</v>
      </c>
      <c r="B4" s="3" t="s">
        <v>3730</v>
      </c>
    </row>
    <row r="5" spans="1:2">
      <c r="A5" s="3" t="s">
        <v>1914</v>
      </c>
      <c r="B5" s="3" t="s">
        <v>1918</v>
      </c>
    </row>
    <row r="6" spans="1:2">
      <c r="A6" s="3" t="s">
        <v>993</v>
      </c>
      <c r="B6" s="3" t="s">
        <v>997</v>
      </c>
    </row>
    <row r="7" spans="1:2">
      <c r="A7" s="3" t="s">
        <v>908</v>
      </c>
      <c r="B7" s="3" t="s">
        <v>3583</v>
      </c>
    </row>
    <row r="8" spans="1:2">
      <c r="A8" s="3" t="s">
        <v>6966</v>
      </c>
      <c r="B8" s="3" t="s">
        <v>1898</v>
      </c>
    </row>
    <row r="9" spans="1:2">
      <c r="A9" s="3" t="s">
        <v>1018</v>
      </c>
      <c r="B9" s="3" t="s">
        <v>1021</v>
      </c>
    </row>
    <row r="10" spans="1:2">
      <c r="A10" s="3" t="s">
        <v>274</v>
      </c>
      <c r="B10" s="3" t="s">
        <v>278</v>
      </c>
    </row>
    <row r="11" spans="1:2">
      <c r="A11" s="3" t="s">
        <v>176</v>
      </c>
      <c r="B11" s="3" t="s">
        <v>180</v>
      </c>
    </row>
    <row r="12" spans="1:2">
      <c r="A12" s="3" t="s">
        <v>307</v>
      </c>
      <c r="B12" s="3" t="s">
        <v>153</v>
      </c>
    </row>
    <row r="13" spans="1:2">
      <c r="A13" s="3" t="s">
        <v>341</v>
      </c>
      <c r="B13" s="3" t="s">
        <v>345</v>
      </c>
    </row>
    <row r="14" spans="1:2">
      <c r="A14" s="3" t="s">
        <v>123</v>
      </c>
      <c r="B14" s="3" t="s">
        <v>128</v>
      </c>
    </row>
    <row r="15" spans="1:2">
      <c r="A15" s="3" t="s">
        <v>2848</v>
      </c>
      <c r="B15" s="3" t="s">
        <v>2852</v>
      </c>
    </row>
    <row r="16" spans="1:2">
      <c r="A16" s="3" t="s">
        <v>3600</v>
      </c>
      <c r="B16" s="3" t="s">
        <v>3603</v>
      </c>
    </row>
    <row r="17" spans="1:2">
      <c r="A17" s="3" t="s">
        <v>223</v>
      </c>
      <c r="B17" s="3" t="s">
        <v>226</v>
      </c>
    </row>
    <row r="18" spans="1:2">
      <c r="A18" s="3" t="s">
        <v>6292</v>
      </c>
      <c r="B18" s="3" t="s">
        <v>6296</v>
      </c>
    </row>
    <row r="19" spans="1:2">
      <c r="A19" s="3" t="s">
        <v>1566</v>
      </c>
      <c r="B19" s="3" t="s">
        <v>1466</v>
      </c>
    </row>
    <row r="20" spans="1:2">
      <c r="A20" s="3" t="s">
        <v>1464</v>
      </c>
      <c r="B20" s="3" t="s">
        <v>1466</v>
      </c>
    </row>
    <row r="21" spans="1:2">
      <c r="A21" s="3" t="s">
        <v>1238</v>
      </c>
      <c r="B21" s="3" t="s">
        <v>1241</v>
      </c>
    </row>
    <row r="22" spans="1:2">
      <c r="A22" s="3" t="s">
        <v>7906</v>
      </c>
      <c r="B22" s="3" t="s">
        <v>7906</v>
      </c>
    </row>
    <row r="23" spans="1:2">
      <c r="A23" s="3" t="s">
        <v>10363</v>
      </c>
      <c r="B23" s="3" t="s">
        <v>10363</v>
      </c>
    </row>
    <row r="24" spans="1:2">
      <c r="A24" s="3" t="s">
        <v>40</v>
      </c>
      <c r="B24" s="3" t="s">
        <v>48</v>
      </c>
    </row>
    <row r="25" spans="1:2">
      <c r="A25" s="3" t="s">
        <v>6535</v>
      </c>
      <c r="B25" s="3" t="s">
        <v>6539</v>
      </c>
    </row>
    <row r="26" spans="1:2">
      <c r="A26" s="3" t="s">
        <v>93</v>
      </c>
      <c r="B26" s="3" t="s">
        <v>99</v>
      </c>
    </row>
    <row r="27" spans="1:2">
      <c r="A27" s="3" t="s">
        <v>7790</v>
      </c>
      <c r="B27" s="3" t="s">
        <v>7794</v>
      </c>
    </row>
    <row r="28" spans="1:2">
      <c r="A28" s="3" t="s">
        <v>1741</v>
      </c>
      <c r="B28" s="3" t="s">
        <v>1744</v>
      </c>
    </row>
    <row r="29" spans="1:2">
      <c r="A29" s="3" t="s">
        <v>734</v>
      </c>
      <c r="B29" s="3" t="s">
        <v>738</v>
      </c>
    </row>
    <row r="30" spans="1:2">
      <c r="A30" s="3" t="s">
        <v>1285</v>
      </c>
      <c r="B30" s="3" t="s">
        <v>1289</v>
      </c>
    </row>
    <row r="31" spans="1:2">
      <c r="A31" s="3" t="s">
        <v>10259</v>
      </c>
      <c r="B31" s="31" t="s">
        <v>10271</v>
      </c>
    </row>
    <row r="32" spans="1:2">
      <c r="A32" s="3" t="s">
        <v>10269</v>
      </c>
      <c r="B32" s="3" t="s">
        <v>10270</v>
      </c>
    </row>
    <row r="33" spans="1:2">
      <c r="A33" s="3" t="s">
        <v>9993</v>
      </c>
      <c r="B33" s="3" t="s">
        <v>9902</v>
      </c>
    </row>
    <row r="34" spans="1:2">
      <c r="A34" s="3" t="s">
        <v>1837</v>
      </c>
      <c r="B34" s="3" t="s">
        <v>1838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اكواد البنوك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 Hasan</dc:creator>
  <cp:lastModifiedBy>Dina Hasan</cp:lastModifiedBy>
  <cp:lastPrinted>2026-02-15T12:27:12Z</cp:lastPrinted>
  <dcterms:created xsi:type="dcterms:W3CDTF">2026-02-03T09:35:04Z</dcterms:created>
  <dcterms:modified xsi:type="dcterms:W3CDTF">2026-03-19T22:35:22Z</dcterms:modified>
</cp:coreProperties>
</file>